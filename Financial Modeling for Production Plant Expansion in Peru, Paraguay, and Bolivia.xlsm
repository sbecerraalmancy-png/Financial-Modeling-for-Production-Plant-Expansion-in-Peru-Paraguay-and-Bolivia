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omments9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OWS 10\Documents\DE LA SELVA\PERU\"/>
    </mc:Choice>
  </mc:AlternateContent>
  <xr:revisionPtr revIDLastSave="0" documentId="13_ncr:1_{F388F76B-BFE9-483D-86BC-81EB0F4E8487}" xr6:coauthVersionLast="36" xr6:coauthVersionMax="36" xr10:uidLastSave="{00000000-0000-0000-0000-000000000000}"/>
  <bookViews>
    <workbookView xWindow="0" yWindow="0" windowWidth="19200" windowHeight="6930" xr2:uid="{3A1442E2-23F1-4385-8470-9EF7E8D9BB3A}"/>
  </bookViews>
  <sheets>
    <sheet name="DP" sheetId="1" r:id="rId1"/>
    <sheet name="IV0" sheetId="3" r:id="rId2"/>
    <sheet name="IV2" sheetId="35" r:id="rId3"/>
    <sheet name="VPN" sheetId="30" r:id="rId4"/>
    <sheet name="VPE" sheetId="24" r:id="rId5"/>
    <sheet name="PS" sheetId="5" r:id="rId6"/>
    <sheet name="GC" sheetId="7" r:id="rId7"/>
    <sheet name="GA" sheetId="8" r:id="rId8"/>
    <sheet name="EF" sheetId="9" r:id="rId9"/>
    <sheet name="SD(0)" sheetId="10" r:id="rId10"/>
    <sheet name="SD(2)" sheetId="36" r:id="rId11"/>
    <sheet name="DEP" sheetId="11" r:id="rId12"/>
    <sheet name="CP" sheetId="21" r:id="rId13"/>
    <sheet name="RCP" sheetId="37" r:id="rId14"/>
    <sheet name="PT" sheetId="29" r:id="rId15"/>
    <sheet name="VC" sheetId="15" r:id="rId16"/>
    <sheet name="IGV" sheetId="38" r:id="rId17"/>
    <sheet name="AS" sheetId="25" r:id="rId18"/>
    <sheet name="EERR" sheetId="14" r:id="rId19"/>
    <sheet name="FC" sheetId="32" r:id="rId20"/>
    <sheet name="BG" sheetId="13" r:id="rId21"/>
    <sheet name="FCL" sheetId="34" r:id="rId22"/>
  </sheets>
  <externalReferences>
    <externalReference r:id="rId23"/>
  </externalReferences>
  <definedNames>
    <definedName name="INTERES" localSheetId="9">'SD(0)'!$G$6</definedName>
    <definedName name="INTERES" localSheetId="10">'SD(2)'!$G$6</definedName>
    <definedName name="INTERES">'[1]Y4 (LP)'!$I$6</definedName>
    <definedName name="MONTO" localSheetId="9">'SD(0)'!$F$5</definedName>
    <definedName name="MONTO" localSheetId="10">'SD(2)'!$F$5</definedName>
    <definedName name="MONTO">'[1]Y4 (LP)'!$H$5</definedName>
    <definedName name="TASA" localSheetId="9">'SD(0)'!$F$6</definedName>
    <definedName name="TASA" localSheetId="10">'SD(2)'!$F$6</definedName>
    <definedName name="TASA">'[1]Y4 (LP)'!$H$6</definedName>
    <definedName name="TIPO" localSheetId="9">'SD(0)'!$AK$9</definedName>
    <definedName name="TIPO" localSheetId="10">'SD(2)'!$AK$9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" i="1" l="1"/>
  <c r="AM4" i="1"/>
  <c r="AM3" i="1"/>
  <c r="AQ37" i="1"/>
  <c r="AS36" i="1"/>
  <c r="BC7" i="1"/>
  <c r="BB7" i="1"/>
  <c r="D11" i="3"/>
  <c r="AB77" i="1"/>
  <c r="AB75" i="1"/>
  <c r="X78" i="1"/>
  <c r="X77" i="1"/>
  <c r="X76" i="1"/>
  <c r="X75" i="1"/>
  <c r="AX7" i="1"/>
  <c r="G39" i="14" l="1"/>
  <c r="C37" i="9"/>
  <c r="L25" i="1"/>
  <c r="AX3" i="1" l="1"/>
  <c r="O18" i="5" l="1"/>
  <c r="AQ25" i="1"/>
  <c r="G40" i="24"/>
  <c r="H40" i="24"/>
  <c r="I40" i="24"/>
  <c r="J40" i="24"/>
  <c r="K40" i="24"/>
  <c r="L40" i="24"/>
  <c r="M40" i="24"/>
  <c r="N40" i="24"/>
  <c r="O40" i="24"/>
  <c r="P40" i="24"/>
  <c r="Q40" i="24"/>
  <c r="G41" i="24"/>
  <c r="H41" i="24"/>
  <c r="I41" i="24"/>
  <c r="J41" i="24"/>
  <c r="K41" i="24"/>
  <c r="L41" i="24"/>
  <c r="M41" i="24"/>
  <c r="N41" i="24"/>
  <c r="O41" i="24"/>
  <c r="P41" i="24"/>
  <c r="Q41" i="24"/>
  <c r="G42" i="24"/>
  <c r="H42" i="24"/>
  <c r="I42" i="24"/>
  <c r="J42" i="24"/>
  <c r="K42" i="24"/>
  <c r="L42" i="24"/>
  <c r="M42" i="24"/>
  <c r="N42" i="24"/>
  <c r="O42" i="24"/>
  <c r="P42" i="24"/>
  <c r="Q42" i="24"/>
  <c r="F41" i="24"/>
  <c r="F42" i="24"/>
  <c r="F40" i="24"/>
  <c r="F39" i="24"/>
  <c r="F44" i="30"/>
  <c r="AX6" i="1"/>
  <c r="AX5" i="1"/>
  <c r="AX4" i="1"/>
  <c r="AF9" i="11" l="1"/>
  <c r="C17" i="1" l="1"/>
  <c r="C7" i="38" l="1"/>
  <c r="C3" i="38" l="1"/>
  <c r="AQ23" i="1" l="1"/>
  <c r="D39" i="7"/>
  <c r="D38" i="7"/>
  <c r="AN3" i="1" l="1"/>
  <c r="AP3" i="1" s="1"/>
  <c r="C52" i="14" l="1"/>
  <c r="C4" i="14"/>
  <c r="B59" i="14"/>
  <c r="F23" i="1"/>
  <c r="F22" i="1"/>
  <c r="C24" i="1"/>
  <c r="D52" i="14" l="1"/>
  <c r="E52" i="14" s="1"/>
  <c r="F52" i="14" s="1"/>
  <c r="G52" i="14" s="1"/>
  <c r="H52" i="14" s="1"/>
  <c r="I52" i="14" s="1"/>
  <c r="J52" i="14" s="1"/>
  <c r="K52" i="14" s="1"/>
  <c r="L52" i="14" s="1"/>
  <c r="C63" i="14"/>
  <c r="D63" i="14" s="1"/>
  <c r="E63" i="14" s="1"/>
  <c r="F63" i="14" s="1"/>
  <c r="G63" i="14" s="1"/>
  <c r="H63" i="14" s="1"/>
  <c r="I63" i="14" s="1"/>
  <c r="J63" i="14" s="1"/>
  <c r="K63" i="14" s="1"/>
  <c r="L63" i="14" s="1"/>
  <c r="Z45" i="5"/>
  <c r="AA45" i="5"/>
  <c r="Z37" i="5"/>
  <c r="AA37" i="5"/>
  <c r="Z38" i="5"/>
  <c r="AA38" i="5"/>
  <c r="T39" i="5"/>
  <c r="V39" i="5" s="1"/>
  <c r="U39" i="5" s="1"/>
  <c r="Z39" i="5"/>
  <c r="AA39" i="5"/>
  <c r="T40" i="5"/>
  <c r="V40" i="5" s="1"/>
  <c r="Z40" i="5"/>
  <c r="AA40" i="5"/>
  <c r="T41" i="5"/>
  <c r="V41" i="5" s="1"/>
  <c r="U41" i="5" s="1"/>
  <c r="Z41" i="5"/>
  <c r="AA41" i="5"/>
  <c r="T42" i="5"/>
  <c r="Z42" i="5"/>
  <c r="AA42" i="5"/>
  <c r="T43" i="5"/>
  <c r="V43" i="5" s="1"/>
  <c r="U43" i="5" s="1"/>
  <c r="Z43" i="5"/>
  <c r="AA43" i="5"/>
  <c r="T44" i="5"/>
  <c r="V44" i="5" s="1"/>
  <c r="U44" i="5" s="1"/>
  <c r="Z44" i="5"/>
  <c r="AA44" i="5"/>
  <c r="AA36" i="5"/>
  <c r="Z36" i="5"/>
  <c r="T29" i="5"/>
  <c r="V29" i="5" s="1"/>
  <c r="U29" i="5" s="1"/>
  <c r="T26" i="5"/>
  <c r="V26" i="5" s="1"/>
  <c r="U26" i="5" s="1"/>
  <c r="Z26" i="5"/>
  <c r="AA26" i="5"/>
  <c r="T27" i="5"/>
  <c r="V27" i="5" s="1"/>
  <c r="U27" i="5" s="1"/>
  <c r="Z27" i="5"/>
  <c r="AA27" i="5"/>
  <c r="T28" i="5"/>
  <c r="V28" i="5" s="1"/>
  <c r="U28" i="5" s="1"/>
  <c r="Z28" i="5"/>
  <c r="AA28" i="5"/>
  <c r="Z29" i="5"/>
  <c r="AA29" i="5"/>
  <c r="T30" i="5"/>
  <c r="V30" i="5" s="1"/>
  <c r="U30" i="5" s="1"/>
  <c r="Z30" i="5"/>
  <c r="Z34" i="5" s="1"/>
  <c r="AA30" i="5"/>
  <c r="AA34" i="5" s="1"/>
  <c r="T31" i="5"/>
  <c r="V31" i="5" s="1"/>
  <c r="Z31" i="5"/>
  <c r="AA31" i="5"/>
  <c r="T32" i="5"/>
  <c r="V32" i="5" s="1"/>
  <c r="W32" i="5" s="1"/>
  <c r="Z32" i="5"/>
  <c r="AA32" i="5"/>
  <c r="T33" i="5"/>
  <c r="V33" i="5" s="1"/>
  <c r="U33" i="5" s="1"/>
  <c r="Z33" i="5"/>
  <c r="AA33" i="5"/>
  <c r="AA25" i="5"/>
  <c r="Z25" i="5"/>
  <c r="T22" i="5"/>
  <c r="T16" i="5"/>
  <c r="T19" i="5"/>
  <c r="T20" i="5"/>
  <c r="V20" i="5" s="1"/>
  <c r="T21" i="5"/>
  <c r="V21" i="5" s="1"/>
  <c r="W21" i="5" s="1"/>
  <c r="AA15" i="5"/>
  <c r="Z10" i="5"/>
  <c r="AA10" i="5"/>
  <c r="Z11" i="5"/>
  <c r="AA11" i="5"/>
  <c r="Z12" i="5"/>
  <c r="AA12" i="5"/>
  <c r="Z13" i="5"/>
  <c r="AA13" i="5"/>
  <c r="Z14" i="5"/>
  <c r="AA14" i="5"/>
  <c r="Z15" i="5"/>
  <c r="Z16" i="5"/>
  <c r="AA16" i="5"/>
  <c r="Z17" i="5"/>
  <c r="AA17" i="5"/>
  <c r="Z18" i="5"/>
  <c r="AA18" i="5"/>
  <c r="Z19" i="5"/>
  <c r="AA19" i="5"/>
  <c r="Z20" i="5"/>
  <c r="AA20" i="5"/>
  <c r="Z21" i="5"/>
  <c r="AA21" i="5"/>
  <c r="AA9" i="5"/>
  <c r="Z9" i="5"/>
  <c r="AA7" i="5"/>
  <c r="T37" i="5"/>
  <c r="V37" i="5" s="1"/>
  <c r="W41" i="5" l="1"/>
  <c r="P41" i="5" s="1"/>
  <c r="T10" i="5"/>
  <c r="V10" i="5" s="1"/>
  <c r="T17" i="5"/>
  <c r="V17" i="5" s="1"/>
  <c r="U17" i="5" s="1"/>
  <c r="T25" i="5"/>
  <c r="V25" i="5" s="1"/>
  <c r="X25" i="5" s="1"/>
  <c r="T15" i="5"/>
  <c r="V15" i="5" s="1"/>
  <c r="W15" i="5" s="1"/>
  <c r="T18" i="5"/>
  <c r="V18" i="5" s="1"/>
  <c r="X18" i="5" s="1"/>
  <c r="Q18" i="5" s="1"/>
  <c r="T14" i="5"/>
  <c r="V14" i="5" s="1"/>
  <c r="U14" i="5" s="1"/>
  <c r="T38" i="5"/>
  <c r="V38" i="5" s="1"/>
  <c r="T36" i="5"/>
  <c r="V36" i="5" s="1"/>
  <c r="T9" i="5"/>
  <c r="T13" i="5"/>
  <c r="V13" i="5" s="1"/>
  <c r="T12" i="5"/>
  <c r="V12" i="5" s="1"/>
  <c r="X12" i="5" s="1"/>
  <c r="Q12" i="5" s="1"/>
  <c r="T11" i="5"/>
  <c r="V11" i="5" s="1"/>
  <c r="U40" i="5"/>
  <c r="W40" i="5"/>
  <c r="P40" i="5" s="1"/>
  <c r="X40" i="5"/>
  <c r="Q40" i="5" s="1"/>
  <c r="W26" i="5"/>
  <c r="P26" i="5" s="1"/>
  <c r="X32" i="5"/>
  <c r="Q32" i="5" s="1"/>
  <c r="X27" i="5"/>
  <c r="Q27" i="5" s="1"/>
  <c r="X41" i="5"/>
  <c r="U32" i="5"/>
  <c r="W27" i="5"/>
  <c r="R27" i="5" s="1"/>
  <c r="X44" i="5"/>
  <c r="Q44" i="5" s="1"/>
  <c r="W43" i="5"/>
  <c r="P43" i="5" s="1"/>
  <c r="X28" i="5"/>
  <c r="Q28" i="5" s="1"/>
  <c r="W44" i="5"/>
  <c r="P44" i="5" s="1"/>
  <c r="W39" i="5"/>
  <c r="P39" i="5" s="1"/>
  <c r="W28" i="5"/>
  <c r="X31" i="5"/>
  <c r="Q31" i="5" s="1"/>
  <c r="W31" i="5"/>
  <c r="P31" i="5" s="1"/>
  <c r="X37" i="5"/>
  <c r="Q37" i="5" s="1"/>
  <c r="U37" i="5"/>
  <c r="W37" i="5"/>
  <c r="R37" i="5" s="1"/>
  <c r="X43" i="5"/>
  <c r="Q43" i="5" s="1"/>
  <c r="V42" i="5"/>
  <c r="X42" i="5" s="1"/>
  <c r="Q42" i="5" s="1"/>
  <c r="X39" i="5"/>
  <c r="Q39" i="5" s="1"/>
  <c r="W30" i="5"/>
  <c r="P30" i="5" s="1"/>
  <c r="R32" i="5"/>
  <c r="P32" i="5"/>
  <c r="U31" i="5"/>
  <c r="X33" i="5"/>
  <c r="Q33" i="5" s="1"/>
  <c r="X29" i="5"/>
  <c r="Q29" i="5" s="1"/>
  <c r="W33" i="5"/>
  <c r="W29" i="5"/>
  <c r="R29" i="5" s="1"/>
  <c r="X30" i="5"/>
  <c r="Q30" i="5" s="1"/>
  <c r="X26" i="5"/>
  <c r="Q26" i="5" s="1"/>
  <c r="Z22" i="5"/>
  <c r="Z23" i="5" s="1"/>
  <c r="Z46" i="5" s="1"/>
  <c r="AA22" i="5"/>
  <c r="AA23" i="5" s="1"/>
  <c r="AA46" i="5" s="1"/>
  <c r="V22" i="5"/>
  <c r="W22" i="5" s="1"/>
  <c r="X21" i="5"/>
  <c r="Q21" i="5" s="1"/>
  <c r="U21" i="5"/>
  <c r="X20" i="5"/>
  <c r="Q20" i="5" s="1"/>
  <c r="W20" i="5"/>
  <c r="U20" i="5"/>
  <c r="P21" i="5"/>
  <c r="R21" i="5"/>
  <c r="V16" i="5"/>
  <c r="X16" i="5" s="1"/>
  <c r="Q16" i="5" s="1"/>
  <c r="V19" i="5"/>
  <c r="U19" i="5" s="1"/>
  <c r="P27" i="5" l="1"/>
  <c r="S27" i="5" s="1"/>
  <c r="X15" i="5"/>
  <c r="Q15" i="5" s="1"/>
  <c r="X11" i="5"/>
  <c r="Q11" i="5" s="1"/>
  <c r="U15" i="5"/>
  <c r="R39" i="5"/>
  <c r="S39" i="5" s="1"/>
  <c r="U11" i="5"/>
  <c r="V9" i="5"/>
  <c r="W9" i="5" s="1"/>
  <c r="P9" i="5" s="1"/>
  <c r="P15" i="5"/>
  <c r="R15" i="5"/>
  <c r="W11" i="5"/>
  <c r="P11" i="5" s="1"/>
  <c r="W25" i="5"/>
  <c r="R25" i="5" s="1"/>
  <c r="R41" i="5"/>
  <c r="R44" i="5"/>
  <c r="S44" i="5" s="1"/>
  <c r="R26" i="5"/>
  <c r="S26" i="5" s="1"/>
  <c r="W42" i="5"/>
  <c r="P42" i="5" s="1"/>
  <c r="Y33" i="5"/>
  <c r="AB33" i="5" s="1"/>
  <c r="U25" i="5"/>
  <c r="P37" i="5"/>
  <c r="S37" i="5" s="1"/>
  <c r="Y40" i="5"/>
  <c r="AB40" i="5" s="1"/>
  <c r="Y39" i="5"/>
  <c r="AB39" i="5" s="1"/>
  <c r="T45" i="5"/>
  <c r="Q25" i="5"/>
  <c r="Y43" i="5"/>
  <c r="AB43" i="5" s="1"/>
  <c r="U42" i="5"/>
  <c r="R31" i="5"/>
  <c r="S31" i="5" s="1"/>
  <c r="P33" i="5"/>
  <c r="Y32" i="5"/>
  <c r="AB32" i="5" s="1"/>
  <c r="R40" i="5"/>
  <c r="S40" i="5" s="1"/>
  <c r="Y44" i="5"/>
  <c r="AB44" i="5" s="1"/>
  <c r="U36" i="5"/>
  <c r="V45" i="5"/>
  <c r="Y27" i="5"/>
  <c r="AB27" i="5" s="1"/>
  <c r="S32" i="5"/>
  <c r="R43" i="5"/>
  <c r="S43" i="5" s="1"/>
  <c r="R33" i="5"/>
  <c r="Q41" i="5"/>
  <c r="Y41" i="5"/>
  <c r="AB41" i="5" s="1"/>
  <c r="U16" i="5"/>
  <c r="Y21" i="5"/>
  <c r="AB21" i="5" s="1"/>
  <c r="Y26" i="5"/>
  <c r="AB26" i="5" s="1"/>
  <c r="U38" i="5"/>
  <c r="W38" i="5"/>
  <c r="R38" i="5" s="1"/>
  <c r="X38" i="5"/>
  <c r="Q38" i="5" s="1"/>
  <c r="Y37" i="5"/>
  <c r="AB37" i="5" s="1"/>
  <c r="X36" i="5"/>
  <c r="W36" i="5"/>
  <c r="R30" i="5"/>
  <c r="S30" i="5" s="1"/>
  <c r="Y29" i="5"/>
  <c r="Y30" i="5"/>
  <c r="AB30" i="5" s="1"/>
  <c r="R28" i="5"/>
  <c r="P28" i="5"/>
  <c r="Y28" i="5"/>
  <c r="AB28" i="5" s="1"/>
  <c r="P29" i="5"/>
  <c r="S29" i="5" s="1"/>
  <c r="Y31" i="5"/>
  <c r="AB31" i="5" s="1"/>
  <c r="X22" i="5"/>
  <c r="U22" i="5"/>
  <c r="R22" i="5"/>
  <c r="W12" i="5"/>
  <c r="P12" i="5" s="1"/>
  <c r="X14" i="5"/>
  <c r="Q14" i="5" s="1"/>
  <c r="W14" i="5"/>
  <c r="P22" i="5"/>
  <c r="X17" i="5"/>
  <c r="Q17" i="5" s="1"/>
  <c r="W17" i="5"/>
  <c r="P17" i="5" s="1"/>
  <c r="R20" i="5"/>
  <c r="P20" i="5"/>
  <c r="Y20" i="5"/>
  <c r="AB20" i="5" s="1"/>
  <c r="X19" i="5"/>
  <c r="Q19" i="5" s="1"/>
  <c r="U12" i="5"/>
  <c r="U13" i="5"/>
  <c r="X13" i="5"/>
  <c r="Q13" i="5" s="1"/>
  <c r="W18" i="5"/>
  <c r="P18" i="5" s="1"/>
  <c r="S21" i="5"/>
  <c r="W10" i="5"/>
  <c r="P10" i="5" s="1"/>
  <c r="W13" i="5"/>
  <c r="P13" i="5" s="1"/>
  <c r="W16" i="5"/>
  <c r="X10" i="5"/>
  <c r="Q10" i="5" s="1"/>
  <c r="W19" i="5"/>
  <c r="U18" i="5"/>
  <c r="U10" i="5"/>
  <c r="Y15" i="5" l="1"/>
  <c r="AB15" i="5" s="1"/>
  <c r="S15" i="5"/>
  <c r="X9" i="5"/>
  <c r="Q9" i="5" s="1"/>
  <c r="U9" i="5"/>
  <c r="R9" i="5"/>
  <c r="AC39" i="5"/>
  <c r="Y11" i="5"/>
  <c r="AB11" i="5" s="1"/>
  <c r="AC44" i="5"/>
  <c r="R11" i="5"/>
  <c r="S11" i="5" s="1"/>
  <c r="Y42" i="5"/>
  <c r="AB42" i="5" s="1"/>
  <c r="AC27" i="5"/>
  <c r="Y25" i="5"/>
  <c r="AB25" i="5" s="1"/>
  <c r="AC40" i="5"/>
  <c r="P25" i="5"/>
  <c r="S25" i="5" s="1"/>
  <c r="S41" i="5"/>
  <c r="AC41" i="5" s="1"/>
  <c r="AC43" i="5"/>
  <c r="R42" i="5"/>
  <c r="S42" i="5" s="1"/>
  <c r="S28" i="5"/>
  <c r="AC28" i="5" s="1"/>
  <c r="AC32" i="5"/>
  <c r="Y14" i="5"/>
  <c r="AB14" i="5" s="1"/>
  <c r="S33" i="5"/>
  <c r="AC33" i="5" s="1"/>
  <c r="AC26" i="5"/>
  <c r="Q34" i="5"/>
  <c r="S20" i="5"/>
  <c r="AC20" i="5" s="1"/>
  <c r="Y38" i="5"/>
  <c r="AB38" i="5" s="1"/>
  <c r="U45" i="5"/>
  <c r="P36" i="5"/>
  <c r="W45" i="5"/>
  <c r="AC31" i="5"/>
  <c r="AC21" i="5"/>
  <c r="Y17" i="5"/>
  <c r="AB17" i="5" s="1"/>
  <c r="Y16" i="5"/>
  <c r="AB16" i="5" s="1"/>
  <c r="Q22" i="5"/>
  <c r="S22" i="5" s="1"/>
  <c r="Q36" i="5"/>
  <c r="Q45" i="5" s="1"/>
  <c r="X45" i="5"/>
  <c r="Y36" i="5"/>
  <c r="AC37" i="5"/>
  <c r="P38" i="5"/>
  <c r="S38" i="5" s="1"/>
  <c r="R36" i="5"/>
  <c r="AC30" i="5"/>
  <c r="AB29" i="5"/>
  <c r="AC29" i="5" s="1"/>
  <c r="Y22" i="5"/>
  <c r="AB22" i="5" s="1"/>
  <c r="R12" i="5"/>
  <c r="S12" i="5" s="1"/>
  <c r="P14" i="5"/>
  <c r="R14" i="5"/>
  <c r="Y13" i="5"/>
  <c r="AB13" i="5" s="1"/>
  <c r="R18" i="5"/>
  <c r="S18" i="5" s="1"/>
  <c r="Y12" i="5"/>
  <c r="AB12" i="5" s="1"/>
  <c r="R13" i="5"/>
  <c r="S13" i="5" s="1"/>
  <c r="R17" i="5"/>
  <c r="S17" i="5" s="1"/>
  <c r="Y18" i="5"/>
  <c r="AB18" i="5" s="1"/>
  <c r="R16" i="5"/>
  <c r="P16" i="5"/>
  <c r="R19" i="5"/>
  <c r="Y19" i="5"/>
  <c r="AB19" i="5" s="1"/>
  <c r="P19" i="5"/>
  <c r="R10" i="5"/>
  <c r="S10" i="5" s="1"/>
  <c r="Y10" i="5"/>
  <c r="AB10" i="5" s="1"/>
  <c r="AS3" i="1"/>
  <c r="AC15" i="5" l="1"/>
  <c r="S9" i="5"/>
  <c r="Y9" i="5"/>
  <c r="AB9" i="5" s="1"/>
  <c r="AC11" i="5"/>
  <c r="R45" i="5"/>
  <c r="Y34" i="5"/>
  <c r="AC25" i="5"/>
  <c r="AC42" i="5"/>
  <c r="AC10" i="5"/>
  <c r="AC12" i="5"/>
  <c r="S16" i="5"/>
  <c r="AC16" i="5" s="1"/>
  <c r="S19" i="5"/>
  <c r="AC19" i="5" s="1"/>
  <c r="AC17" i="5"/>
  <c r="S36" i="5"/>
  <c r="AC38" i="5"/>
  <c r="Q23" i="5"/>
  <c r="Q46" i="5" s="1"/>
  <c r="AB36" i="5"/>
  <c r="AB45" i="5" s="1"/>
  <c r="Y45" i="5"/>
  <c r="AC18" i="5"/>
  <c r="AC13" i="5"/>
  <c r="AC22" i="5"/>
  <c r="S14" i="5"/>
  <c r="AC14" i="5" s="1"/>
  <c r="AQ3" i="1"/>
  <c r="AC9" i="5" l="1"/>
  <c r="AC23" i="5" s="1"/>
  <c r="Y23" i="5"/>
  <c r="Y46" i="5" s="1"/>
  <c r="AC36" i="5"/>
  <c r="AC45" i="5" s="1"/>
  <c r="S45" i="5"/>
  <c r="S23" i="5"/>
  <c r="D28" i="7" l="1"/>
  <c r="E92" i="35"/>
  <c r="E91" i="35"/>
  <c r="E90" i="35"/>
  <c r="E83" i="35"/>
  <c r="E84" i="35"/>
  <c r="E85" i="35"/>
  <c r="E86" i="35"/>
  <c r="E87" i="35"/>
  <c r="E82" i="35"/>
  <c r="E75" i="35"/>
  <c r="E76" i="35"/>
  <c r="E77" i="35"/>
  <c r="E78" i="35"/>
  <c r="E79" i="35"/>
  <c r="E74" i="35"/>
  <c r="E67" i="35"/>
  <c r="E68" i="35"/>
  <c r="E69" i="35"/>
  <c r="E70" i="35"/>
  <c r="E71" i="35"/>
  <c r="E66" i="35"/>
  <c r="E56" i="35"/>
  <c r="E57" i="35"/>
  <c r="E58" i="35"/>
  <c r="E59" i="35"/>
  <c r="E60" i="35"/>
  <c r="E61" i="35"/>
  <c r="E62" i="35"/>
  <c r="E63" i="35"/>
  <c r="E55" i="35"/>
  <c r="E52" i="35"/>
  <c r="E51" i="35"/>
  <c r="E50" i="35"/>
  <c r="E49" i="35"/>
  <c r="E48" i="35"/>
  <c r="E47" i="35"/>
  <c r="E46" i="35"/>
  <c r="E45" i="35"/>
  <c r="E44" i="35"/>
  <c r="E38" i="35"/>
  <c r="E39" i="35"/>
  <c r="E40" i="35"/>
  <c r="E41" i="35"/>
  <c r="E37" i="35"/>
  <c r="E36" i="35"/>
  <c r="E35" i="35"/>
  <c r="E34" i="35"/>
  <c r="E33" i="35"/>
  <c r="E32" i="35"/>
  <c r="E19" i="35"/>
  <c r="E20" i="35"/>
  <c r="E21" i="35"/>
  <c r="E22" i="35"/>
  <c r="E23" i="35"/>
  <c r="E24" i="35"/>
  <c r="E25" i="35"/>
  <c r="E26" i="35"/>
  <c r="E27" i="35"/>
  <c r="E28" i="35"/>
  <c r="E29" i="35"/>
  <c r="E18" i="35"/>
  <c r="E15" i="35"/>
  <c r="E12" i="35"/>
  <c r="E13" i="35"/>
  <c r="E14" i="35"/>
  <c r="E11" i="35"/>
  <c r="E8" i="35"/>
  <c r="E7" i="35"/>
  <c r="E92" i="3"/>
  <c r="E91" i="3"/>
  <c r="E90" i="3"/>
  <c r="E87" i="3"/>
  <c r="E86" i="3"/>
  <c r="E85" i="3"/>
  <c r="E84" i="3"/>
  <c r="E83" i="3"/>
  <c r="E82" i="3"/>
  <c r="E79" i="3"/>
  <c r="E78" i="3"/>
  <c r="E77" i="3"/>
  <c r="E76" i="3"/>
  <c r="E75" i="3"/>
  <c r="E74" i="3"/>
  <c r="E71" i="3"/>
  <c r="E70" i="3"/>
  <c r="E69" i="3"/>
  <c r="E68" i="3"/>
  <c r="E67" i="3"/>
  <c r="E66" i="3"/>
  <c r="E57" i="3"/>
  <c r="E58" i="3"/>
  <c r="E59" i="3"/>
  <c r="E60" i="3"/>
  <c r="E61" i="3"/>
  <c r="E62" i="3"/>
  <c r="E63" i="3"/>
  <c r="E56" i="3"/>
  <c r="E55" i="3"/>
  <c r="E8" i="3"/>
  <c r="E7" i="3"/>
  <c r="E12" i="3"/>
  <c r="E13" i="3"/>
  <c r="E14" i="3"/>
  <c r="E15" i="3"/>
  <c r="E19" i="3"/>
  <c r="E20" i="3"/>
  <c r="E21" i="3"/>
  <c r="E22" i="3"/>
  <c r="E23" i="3"/>
  <c r="E24" i="3"/>
  <c r="E25" i="3"/>
  <c r="E26" i="3"/>
  <c r="E27" i="3"/>
  <c r="E28" i="3"/>
  <c r="E29" i="3"/>
  <c r="E33" i="3"/>
  <c r="E34" i="3"/>
  <c r="E35" i="3"/>
  <c r="E36" i="3"/>
  <c r="E37" i="3"/>
  <c r="E38" i="3"/>
  <c r="E39" i="3"/>
  <c r="E40" i="3"/>
  <c r="E41" i="3"/>
  <c r="E45" i="3"/>
  <c r="E46" i="3"/>
  <c r="E47" i="3"/>
  <c r="E48" i="3"/>
  <c r="E49" i="3"/>
  <c r="E50" i="3"/>
  <c r="E51" i="3"/>
  <c r="E52" i="3"/>
  <c r="E44" i="3"/>
  <c r="E32" i="3"/>
  <c r="E18" i="3"/>
  <c r="E11" i="3"/>
  <c r="E30" i="3" l="1"/>
  <c r="E53" i="35"/>
  <c r="D73" i="21" l="1"/>
  <c r="L23" i="1" l="1"/>
  <c r="L24" i="1"/>
  <c r="L22" i="1"/>
  <c r="T72" i="1" l="1"/>
  <c r="T73" i="1"/>
  <c r="T74" i="1"/>
  <c r="T75" i="1"/>
  <c r="T76" i="1"/>
  <c r="T77" i="1"/>
  <c r="T78" i="1"/>
  <c r="T71" i="1"/>
  <c r="T62" i="1"/>
  <c r="T63" i="1"/>
  <c r="T64" i="1"/>
  <c r="T65" i="1"/>
  <c r="T66" i="1"/>
  <c r="T67" i="1"/>
  <c r="T68" i="1"/>
  <c r="T61" i="1"/>
  <c r="J72" i="1"/>
  <c r="J73" i="1"/>
  <c r="J74" i="1"/>
  <c r="J75" i="1"/>
  <c r="J76" i="1"/>
  <c r="J77" i="1"/>
  <c r="J78" i="1"/>
  <c r="J71" i="1"/>
  <c r="J62" i="1"/>
  <c r="J63" i="1"/>
  <c r="J64" i="1"/>
  <c r="J65" i="1"/>
  <c r="J66" i="1"/>
  <c r="J67" i="1"/>
  <c r="J68" i="1"/>
  <c r="J61" i="1"/>
  <c r="M72" i="1"/>
  <c r="M73" i="1"/>
  <c r="M74" i="1"/>
  <c r="M75" i="1"/>
  <c r="M76" i="1"/>
  <c r="M77" i="1"/>
  <c r="M78" i="1"/>
  <c r="M71" i="1"/>
  <c r="M62" i="1"/>
  <c r="M63" i="1"/>
  <c r="M64" i="1"/>
  <c r="M65" i="1"/>
  <c r="M66" i="1"/>
  <c r="M67" i="1"/>
  <c r="M68" i="1"/>
  <c r="M61" i="1"/>
  <c r="F28" i="30" s="1"/>
  <c r="U61" i="1"/>
  <c r="W61" i="1" s="1"/>
  <c r="U62" i="1"/>
  <c r="W62" i="1" s="1"/>
  <c r="U63" i="1"/>
  <c r="W63" i="1" s="1"/>
  <c r="U64" i="1"/>
  <c r="W64" i="1" s="1"/>
  <c r="U65" i="1"/>
  <c r="W65" i="1" s="1"/>
  <c r="U66" i="1"/>
  <c r="W66" i="1" s="1"/>
  <c r="U67" i="1"/>
  <c r="W67" i="1" s="1"/>
  <c r="U68" i="1"/>
  <c r="W68" i="1" s="1"/>
  <c r="U71" i="1"/>
  <c r="W71" i="1" s="1"/>
  <c r="U72" i="1"/>
  <c r="W72" i="1" s="1"/>
  <c r="U73" i="1"/>
  <c r="W73" i="1" s="1"/>
  <c r="U74" i="1"/>
  <c r="W74" i="1" s="1"/>
  <c r="U75" i="1"/>
  <c r="W75" i="1" s="1"/>
  <c r="U76" i="1"/>
  <c r="U77" i="1"/>
  <c r="U78" i="1"/>
  <c r="G43" i="24" l="1"/>
  <c r="O43" i="24"/>
  <c r="L43" i="24"/>
  <c r="M43" i="24"/>
  <c r="F43" i="24"/>
  <c r="H43" i="24"/>
  <c r="P43" i="24"/>
  <c r="I43" i="24"/>
  <c r="Q43" i="24"/>
  <c r="J43" i="24"/>
  <c r="K43" i="24"/>
  <c r="N43" i="24"/>
  <c r="M38" i="30"/>
  <c r="L38" i="30"/>
  <c r="G38" i="30"/>
  <c r="F38" i="30"/>
  <c r="K38" i="30"/>
  <c r="J38" i="30"/>
  <c r="N38" i="30"/>
  <c r="Q38" i="30"/>
  <c r="I38" i="30"/>
  <c r="P38" i="30"/>
  <c r="H38" i="30"/>
  <c r="O38" i="30"/>
  <c r="M44" i="30"/>
  <c r="L44" i="30"/>
  <c r="K44" i="30"/>
  <c r="J44" i="30"/>
  <c r="Q44" i="30"/>
  <c r="I44" i="30"/>
  <c r="P44" i="30"/>
  <c r="H44" i="30"/>
  <c r="O44" i="30"/>
  <c r="G44" i="30"/>
  <c r="N44" i="30"/>
  <c r="Q43" i="30"/>
  <c r="I43" i="30"/>
  <c r="P43" i="30"/>
  <c r="H43" i="30"/>
  <c r="O43" i="30"/>
  <c r="G43" i="30"/>
  <c r="N43" i="30"/>
  <c r="F43" i="30"/>
  <c r="M43" i="30"/>
  <c r="L43" i="30"/>
  <c r="J43" i="30"/>
  <c r="K43" i="30"/>
  <c r="M42" i="30"/>
  <c r="L42" i="30"/>
  <c r="G42" i="30"/>
  <c r="K42" i="30"/>
  <c r="J42" i="30"/>
  <c r="O42" i="30"/>
  <c r="Q42" i="30"/>
  <c r="I42" i="30"/>
  <c r="P42" i="30"/>
  <c r="H42" i="30"/>
  <c r="F42" i="30"/>
  <c r="N42" i="30"/>
  <c r="Q41" i="30"/>
  <c r="I41" i="30"/>
  <c r="K41" i="30"/>
  <c r="P41" i="30"/>
  <c r="H41" i="30"/>
  <c r="J41" i="30"/>
  <c r="O41" i="30"/>
  <c r="G41" i="30"/>
  <c r="N41" i="30"/>
  <c r="F41" i="30"/>
  <c r="M41" i="30"/>
  <c r="L41" i="30"/>
  <c r="Q45" i="30"/>
  <c r="I45" i="30"/>
  <c r="P45" i="30"/>
  <c r="H45" i="30"/>
  <c r="O45" i="30"/>
  <c r="G45" i="30"/>
  <c r="N45" i="30"/>
  <c r="F45" i="30"/>
  <c r="M45" i="30"/>
  <c r="L45" i="30"/>
  <c r="K45" i="30"/>
  <c r="J45" i="30"/>
  <c r="M40" i="30"/>
  <c r="F40" i="30"/>
  <c r="L40" i="30"/>
  <c r="K40" i="30"/>
  <c r="G40" i="30"/>
  <c r="J40" i="30"/>
  <c r="Q40" i="30"/>
  <c r="I40" i="30"/>
  <c r="P40" i="30"/>
  <c r="H40" i="30"/>
  <c r="O40" i="30"/>
  <c r="N40" i="30"/>
  <c r="Q39" i="30"/>
  <c r="I39" i="30"/>
  <c r="P39" i="30"/>
  <c r="H39" i="30"/>
  <c r="O39" i="30"/>
  <c r="G39" i="30"/>
  <c r="N39" i="30"/>
  <c r="F39" i="30"/>
  <c r="M39" i="30"/>
  <c r="L39" i="30"/>
  <c r="K39" i="30"/>
  <c r="J39" i="30"/>
  <c r="W76" i="1"/>
  <c r="W77" i="1"/>
  <c r="W78" i="1"/>
  <c r="K39" i="24"/>
  <c r="G39" i="24"/>
  <c r="P39" i="24"/>
  <c r="L39" i="24"/>
  <c r="H39" i="24"/>
  <c r="M39" i="24"/>
  <c r="N39" i="24"/>
  <c r="O39" i="24"/>
  <c r="I39" i="24"/>
  <c r="Q39" i="24"/>
  <c r="J39" i="24"/>
  <c r="D6" i="37"/>
  <c r="E6" i="37"/>
  <c r="F6" i="37"/>
  <c r="G6" i="37"/>
  <c r="H6" i="37"/>
  <c r="I6" i="37"/>
  <c r="J6" i="37"/>
  <c r="K6" i="37"/>
  <c r="L6" i="37"/>
  <c r="M6" i="37"/>
  <c r="N6" i="37"/>
  <c r="C6" i="37"/>
  <c r="C26" i="37"/>
  <c r="D26" i="37"/>
  <c r="E26" i="37"/>
  <c r="F26" i="37"/>
  <c r="G26" i="37"/>
  <c r="H26" i="37"/>
  <c r="I26" i="37"/>
  <c r="J26" i="37"/>
  <c r="K26" i="37"/>
  <c r="L26" i="37"/>
  <c r="M26" i="37"/>
  <c r="N26" i="37"/>
  <c r="AW304" i="21"/>
  <c r="V185" i="29"/>
  <c r="V186" i="29"/>
  <c r="V187" i="29"/>
  <c r="V188" i="29"/>
  <c r="V189" i="29"/>
  <c r="V190" i="29"/>
  <c r="V191" i="29"/>
  <c r="V192" i="29"/>
  <c r="V193" i="29"/>
  <c r="V194" i="29"/>
  <c r="V195" i="29"/>
  <c r="V196" i="29"/>
  <c r="V197" i="29"/>
  <c r="V198" i="29"/>
  <c r="V199" i="29"/>
  <c r="V184" i="29"/>
  <c r="V169" i="29"/>
  <c r="V170" i="29"/>
  <c r="V171" i="29"/>
  <c r="V172" i="29"/>
  <c r="V173" i="29"/>
  <c r="V174" i="29"/>
  <c r="V175" i="29"/>
  <c r="V176" i="29"/>
  <c r="V177" i="29"/>
  <c r="V178" i="29"/>
  <c r="V179" i="29"/>
  <c r="V180" i="29"/>
  <c r="V181" i="29"/>
  <c r="V182" i="29"/>
  <c r="V183" i="29"/>
  <c r="V168" i="29"/>
  <c r="V153" i="29"/>
  <c r="V154" i="29"/>
  <c r="V155" i="29"/>
  <c r="V156" i="29"/>
  <c r="V157" i="29"/>
  <c r="V158" i="29"/>
  <c r="V159" i="29"/>
  <c r="V160" i="29"/>
  <c r="V161" i="29"/>
  <c r="V162" i="29"/>
  <c r="V163" i="29"/>
  <c r="V164" i="29"/>
  <c r="V165" i="29"/>
  <c r="V166" i="29"/>
  <c r="V167" i="29"/>
  <c r="V152" i="29"/>
  <c r="V137" i="29"/>
  <c r="V138" i="29"/>
  <c r="V139" i="29"/>
  <c r="V140" i="29"/>
  <c r="V141" i="29"/>
  <c r="V142" i="29"/>
  <c r="V143" i="29"/>
  <c r="V144" i="29"/>
  <c r="V145" i="29"/>
  <c r="V146" i="29"/>
  <c r="V147" i="29"/>
  <c r="V148" i="29"/>
  <c r="V149" i="29"/>
  <c r="V150" i="29"/>
  <c r="V151" i="29"/>
  <c r="V136" i="29"/>
  <c r="V121" i="29"/>
  <c r="V122" i="29"/>
  <c r="V123" i="29"/>
  <c r="V124" i="29"/>
  <c r="V125" i="29"/>
  <c r="V126" i="29"/>
  <c r="V127" i="29"/>
  <c r="V128" i="29"/>
  <c r="V129" i="29"/>
  <c r="V130" i="29"/>
  <c r="V131" i="29"/>
  <c r="V132" i="29"/>
  <c r="V133" i="29"/>
  <c r="V134" i="29"/>
  <c r="V135" i="29"/>
  <c r="V120" i="29"/>
  <c r="V105" i="29"/>
  <c r="V106" i="29"/>
  <c r="V107" i="29"/>
  <c r="V108" i="29"/>
  <c r="V109" i="29"/>
  <c r="V110" i="29"/>
  <c r="V111" i="29"/>
  <c r="V112" i="29"/>
  <c r="V113" i="29"/>
  <c r="V114" i="29"/>
  <c r="V115" i="29"/>
  <c r="V116" i="29"/>
  <c r="V117" i="29"/>
  <c r="V118" i="29"/>
  <c r="V119" i="29"/>
  <c r="V104" i="29"/>
  <c r="V89" i="29"/>
  <c r="V90" i="29"/>
  <c r="V91" i="29"/>
  <c r="V92" i="29"/>
  <c r="V93" i="29"/>
  <c r="V94" i="29"/>
  <c r="V95" i="29"/>
  <c r="V96" i="29"/>
  <c r="V97" i="29"/>
  <c r="V98" i="29"/>
  <c r="V99" i="29"/>
  <c r="V100" i="29"/>
  <c r="V101" i="29"/>
  <c r="V102" i="29"/>
  <c r="V103" i="29"/>
  <c r="V88" i="29"/>
  <c r="V73" i="29"/>
  <c r="V74" i="29"/>
  <c r="V75" i="29"/>
  <c r="V76" i="29"/>
  <c r="V77" i="29"/>
  <c r="V78" i="29"/>
  <c r="V79" i="29"/>
  <c r="V80" i="29"/>
  <c r="V81" i="29"/>
  <c r="V82" i="29"/>
  <c r="V83" i="29"/>
  <c r="V84" i="29"/>
  <c r="V85" i="29"/>
  <c r="V86" i="29"/>
  <c r="V87" i="29"/>
  <c r="V72" i="29"/>
  <c r="V57" i="29"/>
  <c r="V58" i="29"/>
  <c r="V59" i="29"/>
  <c r="V60" i="29"/>
  <c r="V61" i="29"/>
  <c r="V62" i="29"/>
  <c r="V63" i="29"/>
  <c r="V64" i="29"/>
  <c r="V65" i="29"/>
  <c r="V66" i="29"/>
  <c r="V67" i="29"/>
  <c r="V68" i="29"/>
  <c r="V69" i="29"/>
  <c r="V70" i="29"/>
  <c r="V71" i="29"/>
  <c r="V56" i="29"/>
  <c r="V41" i="29"/>
  <c r="V42" i="29"/>
  <c r="V43" i="29"/>
  <c r="V44" i="29"/>
  <c r="V45" i="29"/>
  <c r="V46" i="29"/>
  <c r="V47" i="29"/>
  <c r="V48" i="29"/>
  <c r="V49" i="29"/>
  <c r="V50" i="29"/>
  <c r="V51" i="29"/>
  <c r="V52" i="29"/>
  <c r="V53" i="29"/>
  <c r="V54" i="29"/>
  <c r="V55" i="29"/>
  <c r="V40" i="29"/>
  <c r="F24" i="30"/>
  <c r="F14" i="30"/>
  <c r="V33" i="29"/>
  <c r="V34" i="29"/>
  <c r="V35" i="29"/>
  <c r="V36" i="29"/>
  <c r="V37" i="29"/>
  <c r="V38" i="29"/>
  <c r="V39" i="29"/>
  <c r="V32" i="29"/>
  <c r="V25" i="29"/>
  <c r="V26" i="29"/>
  <c r="V27" i="29"/>
  <c r="V28" i="29"/>
  <c r="V29" i="29"/>
  <c r="V30" i="29"/>
  <c r="V31" i="29"/>
  <c r="V24" i="29"/>
  <c r="V17" i="29"/>
  <c r="V18" i="29"/>
  <c r="V19" i="29"/>
  <c r="V20" i="29"/>
  <c r="V21" i="29"/>
  <c r="V22" i="29"/>
  <c r="V23" i="29"/>
  <c r="V16" i="29"/>
  <c r="V15" i="29"/>
  <c r="V14" i="29"/>
  <c r="V13" i="29"/>
  <c r="V12" i="29"/>
  <c r="V11" i="29"/>
  <c r="V10" i="29"/>
  <c r="V9" i="29"/>
  <c r="V8" i="29"/>
  <c r="L44" i="24" l="1"/>
  <c r="M44" i="24"/>
  <c r="N44" i="24"/>
  <c r="I44" i="24"/>
  <c r="Q44" i="24"/>
  <c r="J44" i="24"/>
  <c r="K44" i="24"/>
  <c r="G44" i="24"/>
  <c r="O44" i="24"/>
  <c r="H44" i="24"/>
  <c r="P44" i="24"/>
  <c r="F44" i="24"/>
  <c r="I45" i="24"/>
  <c r="Q45" i="24"/>
  <c r="F45" i="24"/>
  <c r="K45" i="24"/>
  <c r="N45" i="24"/>
  <c r="O45" i="24"/>
  <c r="P45" i="24"/>
  <c r="J45" i="24"/>
  <c r="L45" i="24"/>
  <c r="M45" i="24"/>
  <c r="G45" i="24"/>
  <c r="H45" i="24"/>
  <c r="N46" i="24"/>
  <c r="G46" i="24"/>
  <c r="O46" i="24"/>
  <c r="F46" i="24"/>
  <c r="H46" i="24"/>
  <c r="P46" i="24"/>
  <c r="K46" i="24"/>
  <c r="L46" i="24"/>
  <c r="M46" i="24"/>
  <c r="I46" i="24"/>
  <c r="Q46" i="24"/>
  <c r="J46" i="24"/>
  <c r="C18" i="1"/>
  <c r="E22" i="1"/>
  <c r="C22" i="1"/>
  <c r="L47" i="24" l="1"/>
  <c r="J47" i="24"/>
  <c r="G47" i="24"/>
  <c r="H47" i="24"/>
  <c r="Q47" i="24"/>
  <c r="I47" i="24"/>
  <c r="N47" i="24"/>
  <c r="O47" i="24"/>
  <c r="M47" i="24"/>
  <c r="K47" i="24"/>
  <c r="P47" i="24"/>
  <c r="F47" i="24"/>
  <c r="C19" i="1"/>
  <c r="C20" i="1"/>
  <c r="C21" i="1"/>
  <c r="B20" i="8"/>
  <c r="B21" i="8"/>
  <c r="B22" i="8"/>
  <c r="B23" i="8"/>
  <c r="B24" i="8"/>
  <c r="B25" i="8"/>
  <c r="B26" i="8"/>
  <c r="B27" i="8"/>
  <c r="B19" i="8"/>
  <c r="B16" i="7"/>
  <c r="B17" i="7"/>
  <c r="B18" i="7"/>
  <c r="B19" i="7"/>
  <c r="B20" i="7"/>
  <c r="B21" i="7"/>
  <c r="B22" i="7"/>
  <c r="B23" i="7"/>
  <c r="B24" i="7"/>
  <c r="AG45" i="5"/>
  <c r="AH37" i="5"/>
  <c r="AI37" i="5"/>
  <c r="AJ37" i="5"/>
  <c r="AK37" i="5"/>
  <c r="AM37" i="5"/>
  <c r="AN37" i="5"/>
  <c r="AH38" i="5"/>
  <c r="AI38" i="5"/>
  <c r="AJ38" i="5"/>
  <c r="AK38" i="5"/>
  <c r="AM38" i="5"/>
  <c r="AN38" i="5"/>
  <c r="AH39" i="5"/>
  <c r="AI39" i="5"/>
  <c r="AJ39" i="5"/>
  <c r="AK39" i="5"/>
  <c r="AM39" i="5"/>
  <c r="AO39" i="5" s="1"/>
  <c r="AN39" i="5"/>
  <c r="AH40" i="5"/>
  <c r="AI40" i="5"/>
  <c r="AJ40" i="5"/>
  <c r="AK40" i="5"/>
  <c r="AM40" i="5"/>
  <c r="AO40" i="5" s="1"/>
  <c r="AN40" i="5"/>
  <c r="AH41" i="5"/>
  <c r="AI41" i="5"/>
  <c r="AJ41" i="5"/>
  <c r="AK41" i="5"/>
  <c r="AM41" i="5"/>
  <c r="AN41" i="5"/>
  <c r="AH42" i="5"/>
  <c r="AI42" i="5"/>
  <c r="AJ42" i="5"/>
  <c r="AK42" i="5"/>
  <c r="AM42" i="5"/>
  <c r="AN42" i="5"/>
  <c r="AH43" i="5"/>
  <c r="AI43" i="5"/>
  <c r="AJ43" i="5"/>
  <c r="AK43" i="5"/>
  <c r="AM43" i="5"/>
  <c r="AN43" i="5"/>
  <c r="AO43" i="5"/>
  <c r="AH44" i="5"/>
  <c r="AI44" i="5"/>
  <c r="AJ44" i="5"/>
  <c r="AK44" i="5"/>
  <c r="AM44" i="5"/>
  <c r="AN44" i="5"/>
  <c r="AH26" i="5"/>
  <c r="AI26" i="5"/>
  <c r="AJ26" i="5"/>
  <c r="AK26" i="5"/>
  <c r="AM26" i="5"/>
  <c r="AN26" i="5"/>
  <c r="AH27" i="5"/>
  <c r="AI27" i="5"/>
  <c r="AJ27" i="5"/>
  <c r="AK27" i="5"/>
  <c r="AM27" i="5"/>
  <c r="AO27" i="5" s="1"/>
  <c r="AN27" i="5"/>
  <c r="AH28" i="5"/>
  <c r="AL28" i="5" s="1"/>
  <c r="AI28" i="5"/>
  <c r="AJ28" i="5"/>
  <c r="AK28" i="5"/>
  <c r="AM28" i="5"/>
  <c r="AN28" i="5"/>
  <c r="AH29" i="5"/>
  <c r="AI29" i="5"/>
  <c r="AJ29" i="5"/>
  <c r="AK29" i="5"/>
  <c r="AL29" i="5"/>
  <c r="AM29" i="5"/>
  <c r="AN29" i="5"/>
  <c r="AH30" i="5"/>
  <c r="AI30" i="5"/>
  <c r="AJ30" i="5"/>
  <c r="AK30" i="5"/>
  <c r="AM30" i="5"/>
  <c r="AN30" i="5"/>
  <c r="AH31" i="5"/>
  <c r="AI31" i="5"/>
  <c r="AJ31" i="5"/>
  <c r="AK31" i="5"/>
  <c r="AM31" i="5"/>
  <c r="AO31" i="5" s="1"/>
  <c r="AN31" i="5"/>
  <c r="AH32" i="5"/>
  <c r="AI32" i="5"/>
  <c r="AJ32" i="5"/>
  <c r="AK32" i="5"/>
  <c r="AM32" i="5"/>
  <c r="AN32" i="5"/>
  <c r="AH33" i="5"/>
  <c r="AI33" i="5"/>
  <c r="AJ33" i="5"/>
  <c r="AK33" i="5"/>
  <c r="AM33" i="5"/>
  <c r="AO33" i="5" s="1"/>
  <c r="AN33" i="5"/>
  <c r="D37" i="5"/>
  <c r="E37" i="5"/>
  <c r="F37" i="5"/>
  <c r="I37" i="5"/>
  <c r="D38" i="5"/>
  <c r="E38" i="5"/>
  <c r="F38" i="5"/>
  <c r="I38" i="5"/>
  <c r="D39" i="5"/>
  <c r="E39" i="5"/>
  <c r="F39" i="5"/>
  <c r="I39" i="5"/>
  <c r="D40" i="5"/>
  <c r="E40" i="5"/>
  <c r="F40" i="5"/>
  <c r="I40" i="5"/>
  <c r="D41" i="5"/>
  <c r="E41" i="5"/>
  <c r="F41" i="5"/>
  <c r="I41" i="5"/>
  <c r="D42" i="5"/>
  <c r="E42" i="5"/>
  <c r="F42" i="5"/>
  <c r="I42" i="5"/>
  <c r="D43" i="5"/>
  <c r="E43" i="5"/>
  <c r="F43" i="5"/>
  <c r="I43" i="5"/>
  <c r="D44" i="5"/>
  <c r="E44" i="5"/>
  <c r="F44" i="5"/>
  <c r="I44" i="5"/>
  <c r="D26" i="5"/>
  <c r="E26" i="5"/>
  <c r="F26" i="5"/>
  <c r="I26" i="5"/>
  <c r="D27" i="5"/>
  <c r="E27" i="5"/>
  <c r="F27" i="5"/>
  <c r="I27" i="5"/>
  <c r="D28" i="5"/>
  <c r="E28" i="5"/>
  <c r="F28" i="5"/>
  <c r="I28" i="5"/>
  <c r="D29" i="5"/>
  <c r="E29" i="5"/>
  <c r="F29" i="5"/>
  <c r="I29" i="5"/>
  <c r="D30" i="5"/>
  <c r="E30" i="5"/>
  <c r="F30" i="5"/>
  <c r="I30" i="5"/>
  <c r="D31" i="5"/>
  <c r="E31" i="5"/>
  <c r="F31" i="5"/>
  <c r="I31" i="5"/>
  <c r="D32" i="5"/>
  <c r="E32" i="5"/>
  <c r="F32" i="5"/>
  <c r="I32" i="5"/>
  <c r="R47" i="24" l="1"/>
  <c r="AO26" i="5"/>
  <c r="AO32" i="5"/>
  <c r="AO37" i="5"/>
  <c r="AL44" i="5"/>
  <c r="AP44" i="5" s="1"/>
  <c r="AL40" i="5"/>
  <c r="AL27" i="5"/>
  <c r="AP27" i="5" s="1"/>
  <c r="AL26" i="5"/>
  <c r="AP26" i="5" s="1"/>
  <c r="AL38" i="5"/>
  <c r="AL43" i="5"/>
  <c r="AP43" i="5" s="1"/>
  <c r="AL41" i="5"/>
  <c r="AL42" i="5"/>
  <c r="AL37" i="5"/>
  <c r="AP37" i="5" s="1"/>
  <c r="AO28" i="5"/>
  <c r="G44" i="5"/>
  <c r="AO41" i="5"/>
  <c r="AO42" i="5"/>
  <c r="AP42" i="5" s="1"/>
  <c r="AO44" i="5"/>
  <c r="AL39" i="5"/>
  <c r="AP39" i="5" s="1"/>
  <c r="AP40" i="5"/>
  <c r="AO38" i="5"/>
  <c r="AP38" i="5"/>
  <c r="AL31" i="5"/>
  <c r="AP31" i="5" s="1"/>
  <c r="AL33" i="5"/>
  <c r="AP33" i="5" s="1"/>
  <c r="AO30" i="5"/>
  <c r="AO29" i="5"/>
  <c r="AP29" i="5" s="1"/>
  <c r="AL30" i="5"/>
  <c r="AL32" i="5"/>
  <c r="AP32" i="5" s="1"/>
  <c r="G40" i="5"/>
  <c r="G37" i="5"/>
  <c r="G38" i="5"/>
  <c r="G39" i="5"/>
  <c r="G43" i="5"/>
  <c r="G41" i="5"/>
  <c r="G42" i="5"/>
  <c r="G28" i="5"/>
  <c r="G31" i="5"/>
  <c r="G26" i="5"/>
  <c r="G29" i="5"/>
  <c r="G32" i="5"/>
  <c r="G27" i="5"/>
  <c r="G30" i="5"/>
  <c r="AP28" i="5"/>
  <c r="D25" i="8"/>
  <c r="B28" i="32"/>
  <c r="AP41" i="5" l="1"/>
  <c r="D22" i="8"/>
  <c r="D21" i="8"/>
  <c r="D20" i="7"/>
  <c r="F20" i="7" s="1"/>
  <c r="D22" i="7"/>
  <c r="F22" i="7" s="1"/>
  <c r="D21" i="7"/>
  <c r="F21" i="7" s="1"/>
  <c r="D26" i="8"/>
  <c r="D24" i="7"/>
  <c r="F24" i="7" s="1"/>
  <c r="D18" i="7"/>
  <c r="F18" i="7" s="1"/>
  <c r="D17" i="7"/>
  <c r="F17" i="7" s="1"/>
  <c r="D27" i="8"/>
  <c r="D20" i="8"/>
  <c r="D24" i="8"/>
  <c r="D23" i="7"/>
  <c r="F23" i="7" s="1"/>
  <c r="AP30" i="5"/>
  <c r="D23" i="8"/>
  <c r="D19" i="7"/>
  <c r="F19" i="7" s="1"/>
  <c r="O23" i="5"/>
  <c r="AH14" i="5"/>
  <c r="AI14" i="5"/>
  <c r="AJ14" i="5"/>
  <c r="AK14" i="5"/>
  <c r="AM14" i="5"/>
  <c r="AN14" i="5"/>
  <c r="AH15" i="5"/>
  <c r="AI15" i="5"/>
  <c r="AJ15" i="5"/>
  <c r="AK15" i="5"/>
  <c r="AM15" i="5"/>
  <c r="AN15" i="5"/>
  <c r="AH16" i="5"/>
  <c r="AI16" i="5"/>
  <c r="AJ16" i="5"/>
  <c r="AK16" i="5"/>
  <c r="AM16" i="5"/>
  <c r="AN16" i="5"/>
  <c r="AH17" i="5"/>
  <c r="AI17" i="5"/>
  <c r="AJ17" i="5"/>
  <c r="AK17" i="5"/>
  <c r="AM17" i="5"/>
  <c r="AN17" i="5"/>
  <c r="AH18" i="5"/>
  <c r="AI18" i="5"/>
  <c r="AJ18" i="5"/>
  <c r="AK18" i="5"/>
  <c r="AM18" i="5"/>
  <c r="AN18" i="5"/>
  <c r="AH19" i="5"/>
  <c r="AI19" i="5"/>
  <c r="AJ19" i="5"/>
  <c r="AK19" i="5"/>
  <c r="AM19" i="5"/>
  <c r="AN19" i="5"/>
  <c r="AH20" i="5"/>
  <c r="AI20" i="5"/>
  <c r="AJ20" i="5"/>
  <c r="AK20" i="5"/>
  <c r="AM20" i="5"/>
  <c r="AN20" i="5"/>
  <c r="AH21" i="5"/>
  <c r="AI21" i="5"/>
  <c r="AJ21" i="5"/>
  <c r="AK21" i="5"/>
  <c r="AM21" i="5"/>
  <c r="AN21" i="5"/>
  <c r="AH22" i="5"/>
  <c r="AI22" i="5"/>
  <c r="AJ22" i="5"/>
  <c r="AK22" i="5"/>
  <c r="AM22" i="5"/>
  <c r="AN22" i="5"/>
  <c r="D14" i="5"/>
  <c r="E14" i="5"/>
  <c r="F14" i="5"/>
  <c r="I14" i="5"/>
  <c r="D15" i="5"/>
  <c r="E15" i="5"/>
  <c r="F15" i="5"/>
  <c r="I15" i="5"/>
  <c r="D16" i="5"/>
  <c r="E16" i="5"/>
  <c r="F16" i="5"/>
  <c r="I16" i="5"/>
  <c r="D17" i="5"/>
  <c r="E17" i="5"/>
  <c r="F17" i="5"/>
  <c r="I17" i="5"/>
  <c r="D18" i="5"/>
  <c r="E18" i="5"/>
  <c r="F18" i="5"/>
  <c r="I18" i="5"/>
  <c r="D19" i="5"/>
  <c r="E19" i="5"/>
  <c r="F19" i="5"/>
  <c r="I19" i="5"/>
  <c r="D20" i="5"/>
  <c r="E20" i="5"/>
  <c r="F20" i="5"/>
  <c r="I20" i="5"/>
  <c r="D21" i="5"/>
  <c r="E21" i="5"/>
  <c r="F21" i="5"/>
  <c r="I21" i="5"/>
  <c r="D22" i="5"/>
  <c r="E22" i="5"/>
  <c r="F22" i="5"/>
  <c r="I22" i="5"/>
  <c r="AO22" i="5" l="1"/>
  <c r="AO18" i="5"/>
  <c r="AO14" i="5"/>
  <c r="G15" i="5"/>
  <c r="G19" i="5"/>
  <c r="AL17" i="5"/>
  <c r="AO15" i="5"/>
  <c r="AL18" i="5"/>
  <c r="G16" i="5"/>
  <c r="G20" i="5"/>
  <c r="G17" i="5"/>
  <c r="G22" i="5"/>
  <c r="G18" i="5"/>
  <c r="G14" i="5"/>
  <c r="G21" i="5"/>
  <c r="AL19" i="5"/>
  <c r="AO16" i="5"/>
  <c r="AL15" i="5"/>
  <c r="AP15" i="5" s="1"/>
  <c r="AO20" i="5"/>
  <c r="AO19" i="5"/>
  <c r="AP19" i="5" s="1"/>
  <c r="AL16" i="5"/>
  <c r="AL22" i="5"/>
  <c r="AL21" i="5"/>
  <c r="AO21" i="5"/>
  <c r="AL20" i="5"/>
  <c r="AO17" i="5"/>
  <c r="AP17" i="5" s="1"/>
  <c r="AL14" i="5"/>
  <c r="V378" i="36"/>
  <c r="B10" i="36"/>
  <c r="F8" i="36"/>
  <c r="H7" i="36"/>
  <c r="H6" i="36"/>
  <c r="F6" i="36"/>
  <c r="AM21" i="36" s="1"/>
  <c r="AP18" i="5" l="1"/>
  <c r="AP14" i="5"/>
  <c r="AP22" i="5"/>
  <c r="AP16" i="5"/>
  <c r="AM20" i="36"/>
  <c r="AP20" i="5"/>
  <c r="AP21" i="5"/>
  <c r="B13" i="36"/>
  <c r="AM19" i="36"/>
  <c r="G6" i="36" s="1"/>
  <c r="AM22" i="36"/>
  <c r="E50" i="25"/>
  <c r="F50" i="25"/>
  <c r="G50" i="25"/>
  <c r="H50" i="25"/>
  <c r="I50" i="25"/>
  <c r="J50" i="25"/>
  <c r="K50" i="25"/>
  <c r="L50" i="25"/>
  <c r="D50" i="25"/>
  <c r="E32" i="25"/>
  <c r="F32" i="25"/>
  <c r="G32" i="25"/>
  <c r="H32" i="25"/>
  <c r="I32" i="25"/>
  <c r="J32" i="25"/>
  <c r="K32" i="25"/>
  <c r="L32" i="25"/>
  <c r="D32" i="25"/>
  <c r="E24" i="25"/>
  <c r="F24" i="25"/>
  <c r="G24" i="25"/>
  <c r="H24" i="25"/>
  <c r="I24" i="25"/>
  <c r="J24" i="25"/>
  <c r="K24" i="25"/>
  <c r="L24" i="25"/>
  <c r="D24" i="25"/>
  <c r="E19" i="25"/>
  <c r="F19" i="25"/>
  <c r="G19" i="25"/>
  <c r="H19" i="25"/>
  <c r="I19" i="25"/>
  <c r="J19" i="25"/>
  <c r="K19" i="25"/>
  <c r="L19" i="25"/>
  <c r="D19" i="25"/>
  <c r="E9" i="25"/>
  <c r="F9" i="25"/>
  <c r="G9" i="25"/>
  <c r="H9" i="25"/>
  <c r="H43" i="25" s="1"/>
  <c r="I9" i="25"/>
  <c r="J9" i="25"/>
  <c r="K9" i="25"/>
  <c r="L9" i="25"/>
  <c r="D9" i="25"/>
  <c r="D43" i="25" s="1"/>
  <c r="L89" i="1"/>
  <c r="M89" i="1" s="1"/>
  <c r="N89" i="1" s="1"/>
  <c r="O89" i="1" s="1"/>
  <c r="P89" i="1" s="1"/>
  <c r="Q89" i="1" s="1"/>
  <c r="R89" i="1" s="1"/>
  <c r="S89" i="1" s="1"/>
  <c r="T89" i="1" s="1"/>
  <c r="D27" i="9"/>
  <c r="D28" i="9"/>
  <c r="D29" i="9"/>
  <c r="D30" i="9"/>
  <c r="D31" i="9"/>
  <c r="D32" i="9"/>
  <c r="D33" i="9"/>
  <c r="D34" i="9"/>
  <c r="D35" i="9"/>
  <c r="D36" i="9"/>
  <c r="D26" i="9"/>
  <c r="D10" i="9"/>
  <c r="D11" i="9"/>
  <c r="D12" i="9"/>
  <c r="D13" i="9"/>
  <c r="D14" i="9"/>
  <c r="D15" i="9"/>
  <c r="D16" i="9"/>
  <c r="D17" i="9"/>
  <c r="D18" i="9"/>
  <c r="D19" i="9"/>
  <c r="F19" i="9" s="1"/>
  <c r="D9" i="9"/>
  <c r="AY71" i="1"/>
  <c r="AY70" i="1"/>
  <c r="AY69" i="1"/>
  <c r="AY68" i="1"/>
  <c r="AY67" i="1"/>
  <c r="AY66" i="1"/>
  <c r="AY65" i="1"/>
  <c r="AY64" i="1"/>
  <c r="AY63" i="1"/>
  <c r="AY62" i="1"/>
  <c r="AY61" i="1"/>
  <c r="AO71" i="1"/>
  <c r="AO70" i="1"/>
  <c r="AO69" i="1"/>
  <c r="AO68" i="1"/>
  <c r="AO67" i="1"/>
  <c r="AO66" i="1"/>
  <c r="AO65" i="1"/>
  <c r="AO64" i="1"/>
  <c r="AO63" i="1"/>
  <c r="AO62" i="1"/>
  <c r="AO61" i="1"/>
  <c r="F6" i="10"/>
  <c r="C51" i="32" s="1"/>
  <c r="B14" i="36" l="1"/>
  <c r="C27" i="11"/>
  <c r="E29" i="11"/>
  <c r="E30" i="11"/>
  <c r="E31" i="11"/>
  <c r="E32" i="11"/>
  <c r="E33" i="11"/>
  <c r="E34" i="11"/>
  <c r="E35" i="11"/>
  <c r="E42" i="11"/>
  <c r="E43" i="11"/>
  <c r="B36" i="9"/>
  <c r="AV71" i="1" s="1"/>
  <c r="B35" i="9"/>
  <c r="AV70" i="1" s="1"/>
  <c r="B34" i="9"/>
  <c r="AV69" i="1" s="1"/>
  <c r="B33" i="9"/>
  <c r="AV68" i="1" s="1"/>
  <c r="B32" i="9"/>
  <c r="AV67" i="1" s="1"/>
  <c r="B31" i="9"/>
  <c r="AV66" i="1" s="1"/>
  <c r="B30" i="9"/>
  <c r="AV65" i="1" s="1"/>
  <c r="B29" i="9"/>
  <c r="AV64" i="1" s="1"/>
  <c r="B28" i="9"/>
  <c r="AV63" i="1" s="1"/>
  <c r="B27" i="9"/>
  <c r="AV62" i="1" s="1"/>
  <c r="B26" i="9"/>
  <c r="AV61" i="1" s="1"/>
  <c r="C24" i="9"/>
  <c r="E26" i="9"/>
  <c r="E27" i="9"/>
  <c r="E28" i="9"/>
  <c r="E29" i="9"/>
  <c r="E30" i="9"/>
  <c r="E31" i="9"/>
  <c r="E32" i="9"/>
  <c r="E33" i="9"/>
  <c r="E34" i="9"/>
  <c r="E35" i="9"/>
  <c r="E36" i="9"/>
  <c r="B15" i="36" l="1"/>
  <c r="C106" i="35"/>
  <c r="C36" i="9" s="1"/>
  <c r="AW71" i="1" s="1"/>
  <c r="E93" i="35"/>
  <c r="E88" i="35"/>
  <c r="E80" i="35"/>
  <c r="E72" i="35"/>
  <c r="E64" i="35"/>
  <c r="E42" i="35"/>
  <c r="E30" i="35"/>
  <c r="E16" i="35"/>
  <c r="E9" i="35"/>
  <c r="C26" i="9" s="1"/>
  <c r="F26" i="9" l="1"/>
  <c r="F8" i="38"/>
  <c r="F31" i="11"/>
  <c r="C29" i="9"/>
  <c r="F32" i="11"/>
  <c r="C30" i="9"/>
  <c r="F33" i="11"/>
  <c r="C31" i="9"/>
  <c r="F30" i="11"/>
  <c r="C28" i="9"/>
  <c r="F35" i="11"/>
  <c r="C33" i="9"/>
  <c r="F42" i="11"/>
  <c r="C34" i="9"/>
  <c r="F34" i="11"/>
  <c r="C32" i="9"/>
  <c r="F36" i="9"/>
  <c r="F43" i="11"/>
  <c r="G43" i="11" s="1"/>
  <c r="H43" i="11" s="1"/>
  <c r="C35" i="9"/>
  <c r="G36" i="9"/>
  <c r="F29" i="11"/>
  <c r="C27" i="9"/>
  <c r="G26" i="9"/>
  <c r="AW61" i="1"/>
  <c r="B16" i="36"/>
  <c r="AW66" i="1" l="1"/>
  <c r="F31" i="9"/>
  <c r="G31" i="9"/>
  <c r="AW63" i="1"/>
  <c r="G28" i="9"/>
  <c r="F28" i="9"/>
  <c r="AW67" i="1"/>
  <c r="G32" i="9"/>
  <c r="F32" i="9"/>
  <c r="AW69" i="1"/>
  <c r="F34" i="9"/>
  <c r="G34" i="9"/>
  <c r="AW65" i="1"/>
  <c r="G30" i="9"/>
  <c r="F30" i="9"/>
  <c r="F36" i="11"/>
  <c r="G42" i="11"/>
  <c r="F44" i="11"/>
  <c r="AW68" i="1"/>
  <c r="F33" i="9"/>
  <c r="G33" i="9"/>
  <c r="AW64" i="1"/>
  <c r="G29" i="9"/>
  <c r="F29" i="9"/>
  <c r="AW70" i="1"/>
  <c r="F35" i="9"/>
  <c r="G35" i="9"/>
  <c r="AW62" i="1"/>
  <c r="G27" i="9"/>
  <c r="F27" i="9"/>
  <c r="B17" i="36"/>
  <c r="I43" i="11"/>
  <c r="E19" i="9"/>
  <c r="B19" i="9"/>
  <c r="AL71" i="1" s="1"/>
  <c r="F37" i="9" l="1"/>
  <c r="F21" i="32" s="1"/>
  <c r="G37" i="9"/>
  <c r="F5" i="36" s="1"/>
  <c r="E15" i="36" s="1"/>
  <c r="J28" i="32" s="1"/>
  <c r="H42" i="11"/>
  <c r="H44" i="11" s="1"/>
  <c r="G44" i="11"/>
  <c r="B18" i="36"/>
  <c r="J43" i="11"/>
  <c r="E40" i="24"/>
  <c r="E19" i="24"/>
  <c r="E20" i="24"/>
  <c r="E21" i="24"/>
  <c r="E22" i="24"/>
  <c r="E45" i="24"/>
  <c r="E17" i="30"/>
  <c r="E18" i="30"/>
  <c r="E20" i="30"/>
  <c r="E21" i="30"/>
  <c r="E22" i="30"/>
  <c r="E23" i="30"/>
  <c r="E7" i="30"/>
  <c r="E8" i="30"/>
  <c r="E9" i="30"/>
  <c r="E10" i="30"/>
  <c r="E11" i="30"/>
  <c r="E12" i="30"/>
  <c r="E13" i="30"/>
  <c r="D17" i="29"/>
  <c r="D18" i="29"/>
  <c r="D19" i="29"/>
  <c r="D20" i="29"/>
  <c r="D21" i="29"/>
  <c r="D22" i="29"/>
  <c r="D23" i="29"/>
  <c r="D16" i="29"/>
  <c r="D9" i="29"/>
  <c r="D10" i="29"/>
  <c r="D11" i="29"/>
  <c r="D12" i="29"/>
  <c r="D13" i="29"/>
  <c r="D14" i="29"/>
  <c r="D15" i="29"/>
  <c r="D8" i="29"/>
  <c r="C17" i="29"/>
  <c r="C18" i="29"/>
  <c r="C19" i="29"/>
  <c r="C20" i="29"/>
  <c r="C21" i="29"/>
  <c r="C22" i="29"/>
  <c r="C23" i="29"/>
  <c r="C16" i="29"/>
  <c r="C9" i="29"/>
  <c r="C10" i="29"/>
  <c r="C11" i="29"/>
  <c r="C12" i="29"/>
  <c r="C13" i="29"/>
  <c r="C14" i="29"/>
  <c r="C15" i="29"/>
  <c r="C8" i="29"/>
  <c r="B7" i="24" s="1"/>
  <c r="L9" i="29"/>
  <c r="L10" i="29"/>
  <c r="L11" i="29"/>
  <c r="L12" i="29"/>
  <c r="L13" i="29"/>
  <c r="L14" i="29"/>
  <c r="L15" i="29"/>
  <c r="L16" i="29"/>
  <c r="L17" i="29"/>
  <c r="L18" i="29"/>
  <c r="L19" i="29"/>
  <c r="L20" i="29"/>
  <c r="L21" i="29"/>
  <c r="L22" i="29"/>
  <c r="L23" i="29"/>
  <c r="L24" i="29"/>
  <c r="L25" i="29"/>
  <c r="L26" i="29"/>
  <c r="L27" i="29"/>
  <c r="L28" i="29"/>
  <c r="L29" i="29"/>
  <c r="L30" i="29"/>
  <c r="L31" i="29"/>
  <c r="L32" i="29"/>
  <c r="L33" i="29"/>
  <c r="L34" i="29"/>
  <c r="L35" i="29"/>
  <c r="L36" i="29"/>
  <c r="L37" i="29"/>
  <c r="L38" i="29"/>
  <c r="L39" i="29"/>
  <c r="L40" i="29"/>
  <c r="L41" i="29"/>
  <c r="L42" i="29"/>
  <c r="L43" i="29"/>
  <c r="L44" i="29"/>
  <c r="L45" i="29"/>
  <c r="L46" i="29"/>
  <c r="L47" i="29"/>
  <c r="L48" i="29"/>
  <c r="L49" i="29"/>
  <c r="L50" i="29"/>
  <c r="L51" i="29"/>
  <c r="L52" i="29"/>
  <c r="L53" i="29"/>
  <c r="L54" i="29"/>
  <c r="L55" i="29"/>
  <c r="L56" i="29"/>
  <c r="L57" i="29"/>
  <c r="L58" i="29"/>
  <c r="L59" i="29"/>
  <c r="L60" i="29"/>
  <c r="L61" i="29"/>
  <c r="L62" i="29"/>
  <c r="L63" i="29"/>
  <c r="L64" i="29"/>
  <c r="L65" i="29"/>
  <c r="L66" i="29"/>
  <c r="L67" i="29"/>
  <c r="L68" i="29"/>
  <c r="L69" i="29"/>
  <c r="L70" i="29"/>
  <c r="L71" i="29"/>
  <c r="L72" i="29"/>
  <c r="L73" i="29"/>
  <c r="L74" i="29"/>
  <c r="L75" i="29"/>
  <c r="L76" i="29"/>
  <c r="L77" i="29"/>
  <c r="L78" i="29"/>
  <c r="L79" i="29"/>
  <c r="L80" i="29"/>
  <c r="L81" i="29"/>
  <c r="L82" i="29"/>
  <c r="L83" i="29"/>
  <c r="L84" i="29"/>
  <c r="L85" i="29"/>
  <c r="L86" i="29"/>
  <c r="L87" i="29"/>
  <c r="L88" i="29"/>
  <c r="L89" i="29"/>
  <c r="L90" i="29"/>
  <c r="L91" i="29"/>
  <c r="L92" i="29"/>
  <c r="L93" i="29"/>
  <c r="L94" i="29"/>
  <c r="L95" i="29"/>
  <c r="L96" i="29"/>
  <c r="L97" i="29"/>
  <c r="L98" i="29"/>
  <c r="L99" i="29"/>
  <c r="L100" i="29"/>
  <c r="L101" i="29"/>
  <c r="L102" i="29"/>
  <c r="L103" i="29"/>
  <c r="L104" i="29"/>
  <c r="L105" i="29"/>
  <c r="L106" i="29"/>
  <c r="L107" i="29"/>
  <c r="L108" i="29"/>
  <c r="L109" i="29"/>
  <c r="L110" i="29"/>
  <c r="L111" i="29"/>
  <c r="L112" i="29"/>
  <c r="L113" i="29"/>
  <c r="L114" i="29"/>
  <c r="L115" i="29"/>
  <c r="L116" i="29"/>
  <c r="L117" i="29"/>
  <c r="L118" i="29"/>
  <c r="L119" i="29"/>
  <c r="L120" i="29"/>
  <c r="L121" i="29"/>
  <c r="L122" i="29"/>
  <c r="L123" i="29"/>
  <c r="L124" i="29"/>
  <c r="L125" i="29"/>
  <c r="L126" i="29"/>
  <c r="L127" i="29"/>
  <c r="L128" i="29"/>
  <c r="L129" i="29"/>
  <c r="L130" i="29"/>
  <c r="L131" i="29"/>
  <c r="L132" i="29"/>
  <c r="L133" i="29"/>
  <c r="L134" i="29"/>
  <c r="L135" i="29"/>
  <c r="L136" i="29"/>
  <c r="L137" i="29"/>
  <c r="L138" i="29"/>
  <c r="L139" i="29"/>
  <c r="L140" i="29"/>
  <c r="L141" i="29"/>
  <c r="L142" i="29"/>
  <c r="L143" i="29"/>
  <c r="L144" i="29"/>
  <c r="L145" i="29"/>
  <c r="L146" i="29"/>
  <c r="L147" i="29"/>
  <c r="L148" i="29"/>
  <c r="L149" i="29"/>
  <c r="L150" i="29"/>
  <c r="L151" i="29"/>
  <c r="L152" i="29"/>
  <c r="S152" i="29" s="1"/>
  <c r="L153" i="29"/>
  <c r="S153" i="29" s="1"/>
  <c r="L154" i="29"/>
  <c r="S154" i="29" s="1"/>
  <c r="L155" i="29"/>
  <c r="S155" i="29" s="1"/>
  <c r="L156" i="29"/>
  <c r="S156" i="29" s="1"/>
  <c r="L157" i="29"/>
  <c r="S157" i="29" s="1"/>
  <c r="L158" i="29"/>
  <c r="S158" i="29" s="1"/>
  <c r="L159" i="29"/>
  <c r="S159" i="29" s="1"/>
  <c r="L160" i="29"/>
  <c r="S160" i="29" s="1"/>
  <c r="L161" i="29"/>
  <c r="S161" i="29" s="1"/>
  <c r="L162" i="29"/>
  <c r="S162" i="29" s="1"/>
  <c r="L163" i="29"/>
  <c r="S163" i="29" s="1"/>
  <c r="L164" i="29"/>
  <c r="S164" i="29" s="1"/>
  <c r="L165" i="29"/>
  <c r="S165" i="29" s="1"/>
  <c r="L166" i="29"/>
  <c r="S166" i="29" s="1"/>
  <c r="L167" i="29"/>
  <c r="S167" i="29" s="1"/>
  <c r="L168" i="29"/>
  <c r="S168" i="29" s="1"/>
  <c r="L169" i="29"/>
  <c r="S169" i="29" s="1"/>
  <c r="L170" i="29"/>
  <c r="S170" i="29" s="1"/>
  <c r="L171" i="29"/>
  <c r="S171" i="29" s="1"/>
  <c r="L172" i="29"/>
  <c r="S172" i="29" s="1"/>
  <c r="L173" i="29"/>
  <c r="S173" i="29" s="1"/>
  <c r="L174" i="29"/>
  <c r="S174" i="29" s="1"/>
  <c r="L175" i="29"/>
  <c r="S175" i="29" s="1"/>
  <c r="L176" i="29"/>
  <c r="S176" i="29" s="1"/>
  <c r="L177" i="29"/>
  <c r="S177" i="29" s="1"/>
  <c r="L178" i="29"/>
  <c r="S178" i="29" s="1"/>
  <c r="L179" i="29"/>
  <c r="S179" i="29" s="1"/>
  <c r="L180" i="29"/>
  <c r="S180" i="29" s="1"/>
  <c r="L181" i="29"/>
  <c r="S181" i="29" s="1"/>
  <c r="L182" i="29"/>
  <c r="S182" i="29" s="1"/>
  <c r="L183" i="29"/>
  <c r="S183" i="29" s="1"/>
  <c r="L184" i="29"/>
  <c r="S184" i="29" s="1"/>
  <c r="L185" i="29"/>
  <c r="S185" i="29" s="1"/>
  <c r="L186" i="29"/>
  <c r="S186" i="29" s="1"/>
  <c r="L187" i="29"/>
  <c r="S187" i="29" s="1"/>
  <c r="L188" i="29"/>
  <c r="S188" i="29" s="1"/>
  <c r="L189" i="29"/>
  <c r="S189" i="29" s="1"/>
  <c r="L190" i="29"/>
  <c r="S190" i="29" s="1"/>
  <c r="L191" i="29"/>
  <c r="S191" i="29" s="1"/>
  <c r="L192" i="29"/>
  <c r="S192" i="29" s="1"/>
  <c r="L193" i="29"/>
  <c r="S193" i="29" s="1"/>
  <c r="L194" i="29"/>
  <c r="S194" i="29" s="1"/>
  <c r="L195" i="29"/>
  <c r="S195" i="29" s="1"/>
  <c r="L196" i="29"/>
  <c r="S196" i="29" s="1"/>
  <c r="L197" i="29"/>
  <c r="S197" i="29" s="1"/>
  <c r="L198" i="29"/>
  <c r="S198" i="29" s="1"/>
  <c r="L199" i="29"/>
  <c r="S199" i="29" s="1"/>
  <c r="K198" i="29"/>
  <c r="K199" i="29"/>
  <c r="K9" i="29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K106" i="29"/>
  <c r="K107" i="29"/>
  <c r="K108" i="29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K125" i="29"/>
  <c r="K126" i="29"/>
  <c r="K127" i="29"/>
  <c r="K128" i="29"/>
  <c r="K129" i="29"/>
  <c r="K130" i="29"/>
  <c r="K131" i="29"/>
  <c r="K132" i="29"/>
  <c r="K133" i="29"/>
  <c r="K134" i="29"/>
  <c r="K135" i="29"/>
  <c r="K136" i="29"/>
  <c r="K137" i="29"/>
  <c r="K138" i="29"/>
  <c r="K139" i="29"/>
  <c r="K140" i="29"/>
  <c r="K141" i="29"/>
  <c r="K142" i="29"/>
  <c r="K143" i="29"/>
  <c r="K144" i="29"/>
  <c r="K145" i="29"/>
  <c r="K146" i="29"/>
  <c r="K147" i="29"/>
  <c r="K148" i="29"/>
  <c r="K149" i="29"/>
  <c r="K150" i="29"/>
  <c r="K151" i="29"/>
  <c r="K152" i="29"/>
  <c r="R152" i="29" s="1"/>
  <c r="K153" i="29"/>
  <c r="R153" i="29" s="1"/>
  <c r="K154" i="29"/>
  <c r="K155" i="29"/>
  <c r="K156" i="29"/>
  <c r="R156" i="29" s="1"/>
  <c r="K157" i="29"/>
  <c r="R157" i="29" s="1"/>
  <c r="K158" i="29"/>
  <c r="R158" i="29" s="1"/>
  <c r="K159" i="29"/>
  <c r="R159" i="29" s="1"/>
  <c r="K160" i="29"/>
  <c r="R160" i="29" s="1"/>
  <c r="K161" i="29"/>
  <c r="R161" i="29" s="1"/>
  <c r="K162" i="29"/>
  <c r="K163" i="29"/>
  <c r="K164" i="29"/>
  <c r="R164" i="29" s="1"/>
  <c r="K165" i="29"/>
  <c r="R165" i="29" s="1"/>
  <c r="K166" i="29"/>
  <c r="R166" i="29" s="1"/>
  <c r="T166" i="29" s="1"/>
  <c r="K167" i="29"/>
  <c r="R167" i="29" s="1"/>
  <c r="K168" i="29"/>
  <c r="R168" i="29" s="1"/>
  <c r="K169" i="29"/>
  <c r="R169" i="29" s="1"/>
  <c r="K170" i="29"/>
  <c r="K171" i="29"/>
  <c r="K172" i="29"/>
  <c r="R172" i="29" s="1"/>
  <c r="K173" i="29"/>
  <c r="R173" i="29" s="1"/>
  <c r="K174" i="29"/>
  <c r="R174" i="29" s="1"/>
  <c r="T174" i="29" s="1"/>
  <c r="K175" i="29"/>
  <c r="R175" i="29" s="1"/>
  <c r="K176" i="29"/>
  <c r="R176" i="29" s="1"/>
  <c r="K177" i="29"/>
  <c r="R177" i="29" s="1"/>
  <c r="K178" i="29"/>
  <c r="K179" i="29"/>
  <c r="K180" i="29"/>
  <c r="R180" i="29" s="1"/>
  <c r="K181" i="29"/>
  <c r="R181" i="29" s="1"/>
  <c r="K182" i="29"/>
  <c r="R182" i="29" s="1"/>
  <c r="T182" i="29" s="1"/>
  <c r="K183" i="29"/>
  <c r="R183" i="29" s="1"/>
  <c r="K184" i="29"/>
  <c r="R184" i="29" s="1"/>
  <c r="K185" i="29"/>
  <c r="R185" i="29" s="1"/>
  <c r="K186" i="29"/>
  <c r="K187" i="29"/>
  <c r="M187" i="29" s="1"/>
  <c r="K188" i="29"/>
  <c r="R188" i="29" s="1"/>
  <c r="K189" i="29"/>
  <c r="R189" i="29" s="1"/>
  <c r="K190" i="29"/>
  <c r="R190" i="29" s="1"/>
  <c r="T190" i="29" s="1"/>
  <c r="K191" i="29"/>
  <c r="R191" i="29" s="1"/>
  <c r="K192" i="29"/>
  <c r="R192" i="29" s="1"/>
  <c r="K193" i="29"/>
  <c r="R193" i="29" s="1"/>
  <c r="K194" i="29"/>
  <c r="K195" i="29"/>
  <c r="M195" i="29" s="1"/>
  <c r="K196" i="29"/>
  <c r="R196" i="29" s="1"/>
  <c r="K197" i="29"/>
  <c r="R197" i="29" s="1"/>
  <c r="AQ35" i="1"/>
  <c r="AR35" i="1"/>
  <c r="AP35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W370" i="21"/>
  <c r="M179" i="29" l="1"/>
  <c r="E17" i="36"/>
  <c r="L28" i="32" s="1"/>
  <c r="E13" i="36"/>
  <c r="H28" i="32" s="1"/>
  <c r="F11" i="36"/>
  <c r="F26" i="32" s="1"/>
  <c r="E16" i="36"/>
  <c r="K28" i="32" s="1"/>
  <c r="E14" i="36"/>
  <c r="I28" i="32" s="1"/>
  <c r="E12" i="36"/>
  <c r="G28" i="32" s="1"/>
  <c r="I42" i="11"/>
  <c r="I44" i="11" s="1"/>
  <c r="B8" i="30"/>
  <c r="B9" i="24"/>
  <c r="B18" i="30"/>
  <c r="B19" i="24"/>
  <c r="B7" i="30"/>
  <c r="B8" i="24"/>
  <c r="B17" i="30"/>
  <c r="B18" i="24"/>
  <c r="B16" i="30"/>
  <c r="B17" i="24"/>
  <c r="B13" i="30"/>
  <c r="B14" i="24"/>
  <c r="B23" i="30"/>
  <c r="B24" i="24"/>
  <c r="B12" i="30"/>
  <c r="B13" i="24"/>
  <c r="B22" i="30"/>
  <c r="B23" i="24"/>
  <c r="B11" i="30"/>
  <c r="B12" i="24"/>
  <c r="B21" i="30"/>
  <c r="B22" i="24"/>
  <c r="B10" i="30"/>
  <c r="B11" i="24"/>
  <c r="B20" i="30"/>
  <c r="B21" i="24"/>
  <c r="B9" i="30"/>
  <c r="B10" i="24"/>
  <c r="B19" i="30"/>
  <c r="B20" i="24"/>
  <c r="M171" i="29"/>
  <c r="T8" i="29"/>
  <c r="B6" i="30"/>
  <c r="M163" i="29"/>
  <c r="M155" i="29"/>
  <c r="B19" i="36"/>
  <c r="E18" i="36"/>
  <c r="M28" i="32" s="1"/>
  <c r="M198" i="29"/>
  <c r="T158" i="29"/>
  <c r="M194" i="29"/>
  <c r="M186" i="29"/>
  <c r="M178" i="29"/>
  <c r="T196" i="29"/>
  <c r="T188" i="29"/>
  <c r="T180" i="29"/>
  <c r="T172" i="29"/>
  <c r="K43" i="11"/>
  <c r="E18" i="24"/>
  <c r="T197" i="29"/>
  <c r="T189" i="29"/>
  <c r="T181" i="29"/>
  <c r="T173" i="29"/>
  <c r="T165" i="29"/>
  <c r="T157" i="29"/>
  <c r="M199" i="29"/>
  <c r="T191" i="29"/>
  <c r="T183" i="29"/>
  <c r="T175" i="29"/>
  <c r="T167" i="29"/>
  <c r="T159" i="29"/>
  <c r="E43" i="30"/>
  <c r="E40" i="30"/>
  <c r="E23" i="24"/>
  <c r="M170" i="29"/>
  <c r="M162" i="29"/>
  <c r="M154" i="29"/>
  <c r="E44" i="24"/>
  <c r="E24" i="24"/>
  <c r="E46" i="24"/>
  <c r="E19" i="30"/>
  <c r="E41" i="30"/>
  <c r="T164" i="29"/>
  <c r="E39" i="30"/>
  <c r="E43" i="24"/>
  <c r="E42" i="24"/>
  <c r="E45" i="30"/>
  <c r="E41" i="24"/>
  <c r="E44" i="30"/>
  <c r="T156" i="29"/>
  <c r="E42" i="30"/>
  <c r="M193" i="29"/>
  <c r="R187" i="29"/>
  <c r="T187" i="29" s="1"/>
  <c r="R195" i="29"/>
  <c r="T195" i="29" s="1"/>
  <c r="M185" i="29"/>
  <c r="R179" i="29"/>
  <c r="T179" i="29" s="1"/>
  <c r="M177" i="29"/>
  <c r="R171" i="29"/>
  <c r="T171" i="29" s="1"/>
  <c r="M169" i="29"/>
  <c r="R163" i="29"/>
  <c r="T163" i="29" s="1"/>
  <c r="M161" i="29"/>
  <c r="R155" i="29"/>
  <c r="T155" i="29" s="1"/>
  <c r="M153" i="29"/>
  <c r="M192" i="29"/>
  <c r="M184" i="29"/>
  <c r="M176" i="29"/>
  <c r="M168" i="29"/>
  <c r="M160" i="29"/>
  <c r="M152" i="29"/>
  <c r="R194" i="29"/>
  <c r="T194" i="29" s="1"/>
  <c r="R186" i="29"/>
  <c r="T186" i="29" s="1"/>
  <c r="R178" i="29"/>
  <c r="T178" i="29" s="1"/>
  <c r="R170" i="29"/>
  <c r="T170" i="29" s="1"/>
  <c r="R162" i="29"/>
  <c r="T162" i="29" s="1"/>
  <c r="R154" i="29"/>
  <c r="T154" i="29" s="1"/>
  <c r="M191" i="29"/>
  <c r="M183" i="29"/>
  <c r="M175" i="29"/>
  <c r="M167" i="29"/>
  <c r="M159" i="29"/>
  <c r="M190" i="29"/>
  <c r="M182" i="29"/>
  <c r="M174" i="29"/>
  <c r="M166" i="29"/>
  <c r="M158" i="29"/>
  <c r="M197" i="29"/>
  <c r="M189" i="29"/>
  <c r="M181" i="29"/>
  <c r="M173" i="29"/>
  <c r="M165" i="29"/>
  <c r="M157" i="29"/>
  <c r="R199" i="29"/>
  <c r="T199" i="29" s="1"/>
  <c r="M196" i="29"/>
  <c r="M188" i="29"/>
  <c r="M180" i="29"/>
  <c r="M172" i="29"/>
  <c r="M164" i="29"/>
  <c r="M156" i="29"/>
  <c r="R198" i="29"/>
  <c r="T198" i="29" s="1"/>
  <c r="T153" i="29"/>
  <c r="T152" i="29"/>
  <c r="T193" i="29"/>
  <c r="T185" i="29"/>
  <c r="T177" i="29"/>
  <c r="T169" i="29"/>
  <c r="T161" i="29"/>
  <c r="T192" i="29"/>
  <c r="T184" i="29"/>
  <c r="T176" i="29"/>
  <c r="T168" i="29"/>
  <c r="T160" i="29"/>
  <c r="AZ376" i="21"/>
  <c r="AZ377" i="21"/>
  <c r="AZ378" i="21"/>
  <c r="AZ379" i="21"/>
  <c r="AZ380" i="21"/>
  <c r="AZ381" i="21"/>
  <c r="AZ382" i="21"/>
  <c r="AZ383" i="21"/>
  <c r="AZ384" i="21"/>
  <c r="AZ385" i="21"/>
  <c r="AZ386" i="21"/>
  <c r="AZ387" i="21"/>
  <c r="AZ388" i="21"/>
  <c r="AZ389" i="21"/>
  <c r="AZ390" i="21"/>
  <c r="AZ391" i="21"/>
  <c r="AZ392" i="21"/>
  <c r="AZ393" i="21"/>
  <c r="AZ375" i="21"/>
  <c r="AW375" i="21"/>
  <c r="AX375" i="21"/>
  <c r="AW376" i="21"/>
  <c r="AX376" i="21"/>
  <c r="AW377" i="21"/>
  <c r="AX377" i="21"/>
  <c r="AW378" i="21"/>
  <c r="AX378" i="21"/>
  <c r="AW379" i="21"/>
  <c r="AX379" i="21"/>
  <c r="AW380" i="21"/>
  <c r="AX380" i="21"/>
  <c r="AW381" i="21"/>
  <c r="AX381" i="21"/>
  <c r="AW382" i="21"/>
  <c r="AX382" i="21"/>
  <c r="AW383" i="21"/>
  <c r="AX383" i="21"/>
  <c r="AW384" i="21"/>
  <c r="AX384" i="21"/>
  <c r="AW385" i="21"/>
  <c r="AX385" i="21"/>
  <c r="AW386" i="21"/>
  <c r="AX386" i="21"/>
  <c r="AW387" i="21"/>
  <c r="AX387" i="21"/>
  <c r="AW388" i="21"/>
  <c r="AX388" i="21"/>
  <c r="AW389" i="21"/>
  <c r="AX389" i="21"/>
  <c r="AW390" i="21"/>
  <c r="AX390" i="21"/>
  <c r="AW391" i="21"/>
  <c r="AX391" i="21"/>
  <c r="AW392" i="21"/>
  <c r="AX392" i="21"/>
  <c r="AW393" i="21"/>
  <c r="AX393" i="21"/>
  <c r="AV376" i="21"/>
  <c r="AV377" i="21"/>
  <c r="AV378" i="21"/>
  <c r="C604" i="21" s="1"/>
  <c r="AV379" i="21"/>
  <c r="C605" i="21" s="1"/>
  <c r="AV380" i="21"/>
  <c r="C606" i="21" s="1"/>
  <c r="AV381" i="21"/>
  <c r="C607" i="21" s="1"/>
  <c r="AV382" i="21"/>
  <c r="C608" i="21" s="1"/>
  <c r="AV383" i="21"/>
  <c r="AV384" i="21"/>
  <c r="AV385" i="21"/>
  <c r="AV386" i="21"/>
  <c r="AV387" i="21"/>
  <c r="AV388" i="21"/>
  <c r="AV389" i="21"/>
  <c r="AV390" i="21"/>
  <c r="AV391" i="21"/>
  <c r="AV392" i="21"/>
  <c r="AV393" i="21"/>
  <c r="AV375" i="21"/>
  <c r="AW337" i="21"/>
  <c r="AZ343" i="21"/>
  <c r="AZ344" i="21"/>
  <c r="AZ345" i="21"/>
  <c r="AZ346" i="21"/>
  <c r="AZ347" i="21"/>
  <c r="AZ348" i="21"/>
  <c r="AZ349" i="21"/>
  <c r="AZ350" i="21"/>
  <c r="AZ351" i="21"/>
  <c r="AZ352" i="21"/>
  <c r="AZ353" i="21"/>
  <c r="AZ354" i="21"/>
  <c r="AZ355" i="21"/>
  <c r="AZ356" i="21"/>
  <c r="AZ357" i="21"/>
  <c r="AZ358" i="21"/>
  <c r="AZ359" i="21"/>
  <c r="AZ360" i="21"/>
  <c r="AZ342" i="21"/>
  <c r="AW342" i="21"/>
  <c r="AX342" i="21"/>
  <c r="AW343" i="21"/>
  <c r="AX343" i="21"/>
  <c r="AW344" i="21"/>
  <c r="AX344" i="21"/>
  <c r="AW345" i="21"/>
  <c r="AX345" i="21"/>
  <c r="AW346" i="21"/>
  <c r="AX346" i="21"/>
  <c r="AW347" i="21"/>
  <c r="AX347" i="21"/>
  <c r="AW348" i="21"/>
  <c r="AX348" i="21"/>
  <c r="AW349" i="21"/>
  <c r="AX349" i="21"/>
  <c r="AW350" i="21"/>
  <c r="AX350" i="21"/>
  <c r="AW351" i="21"/>
  <c r="AX351" i="21"/>
  <c r="AW352" i="21"/>
  <c r="AX352" i="21"/>
  <c r="AW353" i="21"/>
  <c r="AX353" i="21"/>
  <c r="AW354" i="21"/>
  <c r="AX354" i="21"/>
  <c r="AW355" i="21"/>
  <c r="AX355" i="21"/>
  <c r="AW356" i="21"/>
  <c r="AX356" i="21"/>
  <c r="AW357" i="21"/>
  <c r="AX357" i="21"/>
  <c r="AW358" i="21"/>
  <c r="AX358" i="21"/>
  <c r="AW359" i="21"/>
  <c r="AX359" i="21"/>
  <c r="AW360" i="21"/>
  <c r="AX360" i="21"/>
  <c r="AV343" i="21"/>
  <c r="AV344" i="21"/>
  <c r="AV345" i="21"/>
  <c r="C588" i="21" s="1"/>
  <c r="AV346" i="21"/>
  <c r="C589" i="21" s="1"/>
  <c r="AV347" i="21"/>
  <c r="C590" i="21" s="1"/>
  <c r="AV348" i="21"/>
  <c r="C591" i="21" s="1"/>
  <c r="AV349" i="21"/>
  <c r="C592" i="21" s="1"/>
  <c r="AV350" i="21"/>
  <c r="AV351" i="21"/>
  <c r="AV352" i="21"/>
  <c r="AV353" i="21"/>
  <c r="AV354" i="21"/>
  <c r="AV355" i="21"/>
  <c r="AV356" i="21"/>
  <c r="AV357" i="21"/>
  <c r="AV358" i="21"/>
  <c r="AV359" i="21"/>
  <c r="AV360" i="21"/>
  <c r="AV342" i="21"/>
  <c r="AZ310" i="21"/>
  <c r="AZ311" i="21"/>
  <c r="AZ312" i="21"/>
  <c r="AZ313" i="21"/>
  <c r="AZ314" i="21"/>
  <c r="AZ315" i="21"/>
  <c r="AZ316" i="21"/>
  <c r="AZ317" i="21"/>
  <c r="AZ318" i="21"/>
  <c r="AZ319" i="21"/>
  <c r="AZ320" i="21"/>
  <c r="AZ321" i="21"/>
  <c r="AZ322" i="21"/>
  <c r="AZ323" i="21"/>
  <c r="AZ324" i="21"/>
  <c r="AZ325" i="21"/>
  <c r="AZ326" i="21"/>
  <c r="AZ327" i="21"/>
  <c r="AZ309" i="21"/>
  <c r="AW309" i="21"/>
  <c r="AX309" i="21"/>
  <c r="AW310" i="21"/>
  <c r="AX310" i="21"/>
  <c r="AW311" i="21"/>
  <c r="AX311" i="21"/>
  <c r="AW312" i="21"/>
  <c r="AX312" i="21"/>
  <c r="AW313" i="21"/>
  <c r="AX313" i="21"/>
  <c r="AW314" i="21"/>
  <c r="AX314" i="21"/>
  <c r="AW315" i="21"/>
  <c r="AX315" i="21"/>
  <c r="AW316" i="21"/>
  <c r="AX316" i="21"/>
  <c r="AW317" i="21"/>
  <c r="AX317" i="21"/>
  <c r="AW318" i="21"/>
  <c r="AX318" i="21"/>
  <c r="AW319" i="21"/>
  <c r="AX319" i="21"/>
  <c r="AW320" i="21"/>
  <c r="AX320" i="21"/>
  <c r="AW321" i="21"/>
  <c r="AX321" i="21"/>
  <c r="AW322" i="21"/>
  <c r="AX322" i="21"/>
  <c r="AW323" i="21"/>
  <c r="AX323" i="21"/>
  <c r="AW324" i="21"/>
  <c r="AX324" i="21"/>
  <c r="AW325" i="21"/>
  <c r="AX325" i="21"/>
  <c r="AW326" i="21"/>
  <c r="AX326" i="21"/>
  <c r="AW327" i="21"/>
  <c r="AX327" i="21"/>
  <c r="AV310" i="21"/>
  <c r="AV311" i="21"/>
  <c r="AV312" i="21"/>
  <c r="C572" i="21" s="1"/>
  <c r="AV313" i="21"/>
  <c r="C573" i="21" s="1"/>
  <c r="AV314" i="21"/>
  <c r="C574" i="21" s="1"/>
  <c r="AV315" i="21"/>
  <c r="C575" i="21" s="1"/>
  <c r="AV316" i="21"/>
  <c r="C576" i="21" s="1"/>
  <c r="AV317" i="21"/>
  <c r="AV318" i="21"/>
  <c r="AV319" i="21"/>
  <c r="AV320" i="21"/>
  <c r="AV321" i="21"/>
  <c r="AV322" i="21"/>
  <c r="AV323" i="21"/>
  <c r="AV324" i="21"/>
  <c r="AV325" i="21"/>
  <c r="AV326" i="21"/>
  <c r="AV327" i="21"/>
  <c r="AV309" i="21"/>
  <c r="AW271" i="21"/>
  <c r="AZ277" i="21"/>
  <c r="AZ278" i="21"/>
  <c r="AZ279" i="21"/>
  <c r="AZ280" i="21"/>
  <c r="AZ281" i="21"/>
  <c r="AZ282" i="21"/>
  <c r="AZ283" i="21"/>
  <c r="AZ284" i="21"/>
  <c r="AZ285" i="21"/>
  <c r="AZ286" i="21"/>
  <c r="AZ287" i="21"/>
  <c r="AZ288" i="21"/>
  <c r="AZ289" i="21"/>
  <c r="AZ290" i="21"/>
  <c r="AZ291" i="21"/>
  <c r="AZ292" i="21"/>
  <c r="AZ293" i="21"/>
  <c r="AZ294" i="21"/>
  <c r="AZ276" i="21"/>
  <c r="AW276" i="21"/>
  <c r="AX276" i="21"/>
  <c r="AW277" i="21"/>
  <c r="AX277" i="21"/>
  <c r="AW278" i="21"/>
  <c r="AX278" i="21"/>
  <c r="AW279" i="21"/>
  <c r="AX279" i="21"/>
  <c r="AW280" i="21"/>
  <c r="AX280" i="21"/>
  <c r="AW281" i="21"/>
  <c r="AX281" i="21"/>
  <c r="AW282" i="21"/>
  <c r="AX282" i="21"/>
  <c r="AW283" i="21"/>
  <c r="AX283" i="21"/>
  <c r="AW284" i="21"/>
  <c r="AX284" i="21"/>
  <c r="AW285" i="21"/>
  <c r="AX285" i="21"/>
  <c r="AW286" i="21"/>
  <c r="AX286" i="21"/>
  <c r="AW287" i="21"/>
  <c r="AX287" i="21"/>
  <c r="AW288" i="21"/>
  <c r="AX288" i="21"/>
  <c r="AW289" i="21"/>
  <c r="AX289" i="21"/>
  <c r="AW290" i="21"/>
  <c r="AX290" i="21"/>
  <c r="AW291" i="21"/>
  <c r="AX291" i="21"/>
  <c r="AW292" i="21"/>
  <c r="AX292" i="21"/>
  <c r="AW293" i="21"/>
  <c r="AX293" i="21"/>
  <c r="AW294" i="21"/>
  <c r="AX294" i="21"/>
  <c r="AV277" i="21"/>
  <c r="AV278" i="21"/>
  <c r="AV279" i="21"/>
  <c r="C556" i="21" s="1"/>
  <c r="AV280" i="21"/>
  <c r="C557" i="21" s="1"/>
  <c r="AV281" i="21"/>
  <c r="C558" i="21" s="1"/>
  <c r="AV282" i="21"/>
  <c r="C559" i="21" s="1"/>
  <c r="AV283" i="21"/>
  <c r="C560" i="21" s="1"/>
  <c r="AV284" i="21"/>
  <c r="AV285" i="21"/>
  <c r="AV286" i="21"/>
  <c r="AV287" i="21"/>
  <c r="AV288" i="21"/>
  <c r="AV289" i="21"/>
  <c r="AV290" i="21"/>
  <c r="AV291" i="21"/>
  <c r="AV292" i="21"/>
  <c r="AV293" i="21"/>
  <c r="AV294" i="21"/>
  <c r="AV276" i="21"/>
  <c r="AW238" i="21"/>
  <c r="AZ244" i="21"/>
  <c r="AZ245" i="21"/>
  <c r="AZ246" i="21"/>
  <c r="AZ247" i="21"/>
  <c r="AZ248" i="21"/>
  <c r="AZ249" i="21"/>
  <c r="AZ250" i="21"/>
  <c r="AZ251" i="21"/>
  <c r="AZ252" i="21"/>
  <c r="AZ253" i="21"/>
  <c r="AZ254" i="21"/>
  <c r="AZ255" i="21"/>
  <c r="AZ256" i="21"/>
  <c r="AZ257" i="21"/>
  <c r="AZ258" i="21"/>
  <c r="AZ259" i="21"/>
  <c r="AZ260" i="21"/>
  <c r="AZ261" i="21"/>
  <c r="AZ243" i="21"/>
  <c r="AW243" i="21"/>
  <c r="AX243" i="21"/>
  <c r="AW244" i="21"/>
  <c r="AX244" i="21"/>
  <c r="AW245" i="21"/>
  <c r="AX245" i="21"/>
  <c r="AW246" i="21"/>
  <c r="AX246" i="21"/>
  <c r="AW247" i="21"/>
  <c r="AX247" i="21"/>
  <c r="AW248" i="21"/>
  <c r="AX248" i="21"/>
  <c r="AW249" i="21"/>
  <c r="AX249" i="21"/>
  <c r="AW250" i="21"/>
  <c r="AX250" i="21"/>
  <c r="AW251" i="21"/>
  <c r="AX251" i="21"/>
  <c r="AW252" i="21"/>
  <c r="AX252" i="21"/>
  <c r="AW253" i="21"/>
  <c r="AX253" i="21"/>
  <c r="AW254" i="21"/>
  <c r="AX254" i="21"/>
  <c r="AW255" i="21"/>
  <c r="AX255" i="21"/>
  <c r="AW256" i="21"/>
  <c r="AX256" i="21"/>
  <c r="AW257" i="21"/>
  <c r="AX257" i="21"/>
  <c r="AW258" i="21"/>
  <c r="AX258" i="21"/>
  <c r="AW259" i="21"/>
  <c r="AX259" i="21"/>
  <c r="AW260" i="21"/>
  <c r="AX260" i="21"/>
  <c r="AW261" i="21"/>
  <c r="AX261" i="21"/>
  <c r="AV244" i="21"/>
  <c r="C538" i="21" s="1"/>
  <c r="AV245" i="21"/>
  <c r="C539" i="21" s="1"/>
  <c r="AV246" i="21"/>
  <c r="C540" i="21" s="1"/>
  <c r="AV247" i="21"/>
  <c r="C541" i="21" s="1"/>
  <c r="AV248" i="21"/>
  <c r="C542" i="21" s="1"/>
  <c r="AV249" i="21"/>
  <c r="C543" i="21" s="1"/>
  <c r="AV250" i="21"/>
  <c r="C544" i="21" s="1"/>
  <c r="AV251" i="21"/>
  <c r="AV252" i="21"/>
  <c r="AV253" i="21"/>
  <c r="AV254" i="21"/>
  <c r="AV255" i="21"/>
  <c r="AV256" i="21"/>
  <c r="AV257" i="21"/>
  <c r="AV258" i="21"/>
  <c r="AV259" i="21"/>
  <c r="AV260" i="21"/>
  <c r="AV261" i="21"/>
  <c r="AV243" i="21"/>
  <c r="AW205" i="21"/>
  <c r="AZ211" i="21"/>
  <c r="AZ212" i="21"/>
  <c r="AZ213" i="21"/>
  <c r="AZ214" i="21"/>
  <c r="AZ215" i="21"/>
  <c r="AZ216" i="21"/>
  <c r="AZ217" i="21"/>
  <c r="AZ218" i="21"/>
  <c r="AZ219" i="21"/>
  <c r="AZ220" i="21"/>
  <c r="AZ221" i="21"/>
  <c r="AZ222" i="21"/>
  <c r="AZ223" i="21"/>
  <c r="AZ224" i="21"/>
  <c r="AZ225" i="21"/>
  <c r="AZ226" i="21"/>
  <c r="AZ227" i="21"/>
  <c r="AZ228" i="21"/>
  <c r="AZ210" i="21"/>
  <c r="AW210" i="21"/>
  <c r="AX210" i="21"/>
  <c r="AW211" i="21"/>
  <c r="AX211" i="21"/>
  <c r="AW212" i="21"/>
  <c r="AX212" i="21"/>
  <c r="AW213" i="21"/>
  <c r="AX213" i="21"/>
  <c r="AW214" i="21"/>
  <c r="AX214" i="21"/>
  <c r="AW215" i="21"/>
  <c r="AX215" i="21"/>
  <c r="AW216" i="21"/>
  <c r="AX216" i="21"/>
  <c r="AW217" i="21"/>
  <c r="AX217" i="21"/>
  <c r="AW218" i="21"/>
  <c r="AX218" i="21"/>
  <c r="AW219" i="21"/>
  <c r="AX219" i="21"/>
  <c r="AW220" i="21"/>
  <c r="AX220" i="21"/>
  <c r="AW221" i="21"/>
  <c r="AX221" i="21"/>
  <c r="AW222" i="21"/>
  <c r="AX222" i="21"/>
  <c r="AW223" i="21"/>
  <c r="AX223" i="21"/>
  <c r="AW224" i="21"/>
  <c r="AX224" i="21"/>
  <c r="AW225" i="21"/>
  <c r="AX225" i="21"/>
  <c r="AW226" i="21"/>
  <c r="AX226" i="21"/>
  <c r="AW227" i="21"/>
  <c r="AX227" i="21"/>
  <c r="AW228" i="21"/>
  <c r="AX228" i="21"/>
  <c r="AV211" i="21"/>
  <c r="AV212" i="21"/>
  <c r="AV213" i="21"/>
  <c r="C524" i="21" s="1"/>
  <c r="AV214" i="21"/>
  <c r="C525" i="21" s="1"/>
  <c r="AV215" i="21"/>
  <c r="C526" i="21" s="1"/>
  <c r="AV216" i="21"/>
  <c r="C527" i="21" s="1"/>
  <c r="AV217" i="21"/>
  <c r="C528" i="21" s="1"/>
  <c r="AV218" i="21"/>
  <c r="AV219" i="21"/>
  <c r="AV220" i="21"/>
  <c r="AV221" i="21"/>
  <c r="AV222" i="21"/>
  <c r="AV223" i="21"/>
  <c r="AV224" i="21"/>
  <c r="AV225" i="21"/>
  <c r="AV226" i="21"/>
  <c r="AV227" i="21"/>
  <c r="AV228" i="21"/>
  <c r="AV210" i="21"/>
  <c r="AW172" i="21"/>
  <c r="AZ178" i="21"/>
  <c r="AZ179" i="21"/>
  <c r="AZ180" i="21"/>
  <c r="AZ181" i="21"/>
  <c r="AZ182" i="21"/>
  <c r="AZ183" i="21"/>
  <c r="AZ184" i="21"/>
  <c r="AZ185" i="21"/>
  <c r="AZ186" i="21"/>
  <c r="AZ187" i="21"/>
  <c r="AZ188" i="21"/>
  <c r="AZ189" i="21"/>
  <c r="AZ190" i="21"/>
  <c r="AZ191" i="21"/>
  <c r="AZ192" i="21"/>
  <c r="AZ193" i="21"/>
  <c r="AZ194" i="21"/>
  <c r="AZ195" i="21"/>
  <c r="AZ177" i="21"/>
  <c r="AW177" i="21"/>
  <c r="AX177" i="21"/>
  <c r="AW178" i="21"/>
  <c r="AX178" i="21"/>
  <c r="AW179" i="21"/>
  <c r="AX179" i="21"/>
  <c r="AW180" i="21"/>
  <c r="AX180" i="21"/>
  <c r="AW181" i="21"/>
  <c r="AX181" i="21"/>
  <c r="AW182" i="21"/>
  <c r="AX182" i="21"/>
  <c r="AW183" i="21"/>
  <c r="AX183" i="21"/>
  <c r="AW184" i="21"/>
  <c r="AX184" i="21"/>
  <c r="AW185" i="21"/>
  <c r="AX185" i="21"/>
  <c r="AW186" i="21"/>
  <c r="AX186" i="21"/>
  <c r="AW187" i="21"/>
  <c r="AX187" i="21"/>
  <c r="AW188" i="21"/>
  <c r="AX188" i="21"/>
  <c r="AW189" i="21"/>
  <c r="AX189" i="21"/>
  <c r="AW190" i="21"/>
  <c r="AX190" i="21"/>
  <c r="AW191" i="21"/>
  <c r="AX191" i="21"/>
  <c r="AW192" i="21"/>
  <c r="AX192" i="21"/>
  <c r="AW193" i="21"/>
  <c r="AX193" i="21"/>
  <c r="AW194" i="21"/>
  <c r="AX194" i="21"/>
  <c r="AW195" i="21"/>
  <c r="AX195" i="21"/>
  <c r="AV178" i="21"/>
  <c r="AV179" i="21"/>
  <c r="AV180" i="21"/>
  <c r="C508" i="21" s="1"/>
  <c r="AV181" i="21"/>
  <c r="C509" i="21" s="1"/>
  <c r="AV182" i="21"/>
  <c r="C510" i="21" s="1"/>
  <c r="AV183" i="21"/>
  <c r="C511" i="21" s="1"/>
  <c r="AV184" i="21"/>
  <c r="C512" i="21" s="1"/>
  <c r="AV185" i="21"/>
  <c r="AV186" i="21"/>
  <c r="AV187" i="21"/>
  <c r="AV188" i="21"/>
  <c r="AV189" i="21"/>
  <c r="AV190" i="21"/>
  <c r="AV191" i="21"/>
  <c r="AV192" i="21"/>
  <c r="AV193" i="21"/>
  <c r="AV194" i="21"/>
  <c r="AV195" i="21"/>
  <c r="AV177" i="21"/>
  <c r="AW139" i="21"/>
  <c r="AZ145" i="21"/>
  <c r="AZ146" i="21"/>
  <c r="AZ147" i="21"/>
  <c r="AZ148" i="21"/>
  <c r="AZ149" i="21"/>
  <c r="AZ150" i="21"/>
  <c r="AZ151" i="21"/>
  <c r="AZ152" i="21"/>
  <c r="AZ153" i="21"/>
  <c r="AZ154" i="21"/>
  <c r="AZ155" i="21"/>
  <c r="AZ156" i="21"/>
  <c r="AZ157" i="21"/>
  <c r="AZ158" i="21"/>
  <c r="AZ159" i="21"/>
  <c r="AZ160" i="21"/>
  <c r="AZ161" i="21"/>
  <c r="AZ162" i="21"/>
  <c r="AZ144" i="21"/>
  <c r="AW144" i="21"/>
  <c r="AX144" i="21"/>
  <c r="AW145" i="21"/>
  <c r="AX145" i="21"/>
  <c r="AW146" i="21"/>
  <c r="AX146" i="21"/>
  <c r="AW147" i="21"/>
  <c r="AX147" i="21"/>
  <c r="AW148" i="21"/>
  <c r="AX148" i="21"/>
  <c r="AW149" i="21"/>
  <c r="AX149" i="21"/>
  <c r="AW150" i="21"/>
  <c r="AX150" i="21"/>
  <c r="AW151" i="21"/>
  <c r="AX151" i="21"/>
  <c r="AW152" i="21"/>
  <c r="AX152" i="21"/>
  <c r="AW153" i="21"/>
  <c r="AX153" i="21"/>
  <c r="AW154" i="21"/>
  <c r="AX154" i="21"/>
  <c r="AW155" i="21"/>
  <c r="AX155" i="21"/>
  <c r="AW156" i="21"/>
  <c r="AX156" i="21"/>
  <c r="AW157" i="21"/>
  <c r="AX157" i="21"/>
  <c r="AW158" i="21"/>
  <c r="AX158" i="21"/>
  <c r="AW159" i="21"/>
  <c r="AX159" i="21"/>
  <c r="AW160" i="21"/>
  <c r="AX160" i="21"/>
  <c r="AW161" i="21"/>
  <c r="AX161" i="21"/>
  <c r="AW162" i="21"/>
  <c r="AX162" i="21"/>
  <c r="AV145" i="21"/>
  <c r="AV146" i="21"/>
  <c r="AV147" i="21"/>
  <c r="C492" i="21" s="1"/>
  <c r="AV148" i="21"/>
  <c r="C493" i="21" s="1"/>
  <c r="AV149" i="21"/>
  <c r="C494" i="21" s="1"/>
  <c r="AV150" i="21"/>
  <c r="C495" i="21" s="1"/>
  <c r="AV151" i="21"/>
  <c r="C496" i="21" s="1"/>
  <c r="AV152" i="21"/>
  <c r="AV153" i="21"/>
  <c r="AV154" i="21"/>
  <c r="AV155" i="21"/>
  <c r="AV156" i="21"/>
  <c r="AV157" i="21"/>
  <c r="AV158" i="21"/>
  <c r="AV159" i="21"/>
  <c r="AV160" i="21"/>
  <c r="AV161" i="21"/>
  <c r="AV162" i="21"/>
  <c r="AV144" i="21"/>
  <c r="AW106" i="21"/>
  <c r="AZ112" i="21"/>
  <c r="AZ113" i="21"/>
  <c r="AZ114" i="21"/>
  <c r="AZ115" i="21"/>
  <c r="AZ116" i="21"/>
  <c r="AZ117" i="21"/>
  <c r="AZ118" i="21"/>
  <c r="AZ119" i="21"/>
  <c r="AZ120" i="21"/>
  <c r="AZ121" i="21"/>
  <c r="AZ122" i="21"/>
  <c r="AZ123" i="21"/>
  <c r="AZ124" i="21"/>
  <c r="AZ125" i="21"/>
  <c r="AZ126" i="21"/>
  <c r="AZ127" i="21"/>
  <c r="AZ128" i="21"/>
  <c r="AZ129" i="21"/>
  <c r="AZ111" i="21"/>
  <c r="AW111" i="21"/>
  <c r="AX111" i="21"/>
  <c r="AW112" i="21"/>
  <c r="AX112" i="21"/>
  <c r="AW113" i="21"/>
  <c r="AX113" i="21"/>
  <c r="AW114" i="21"/>
  <c r="AX114" i="21"/>
  <c r="AW115" i="21"/>
  <c r="AX115" i="21"/>
  <c r="AW116" i="21"/>
  <c r="AX116" i="21"/>
  <c r="AW117" i="21"/>
  <c r="AX117" i="21"/>
  <c r="AW118" i="21"/>
  <c r="AX118" i="21"/>
  <c r="AW119" i="21"/>
  <c r="AX119" i="21"/>
  <c r="AW120" i="21"/>
  <c r="AX120" i="21"/>
  <c r="AW121" i="21"/>
  <c r="AX121" i="21"/>
  <c r="AW122" i="21"/>
  <c r="AX122" i="21"/>
  <c r="AW123" i="21"/>
  <c r="AX123" i="21"/>
  <c r="AW124" i="21"/>
  <c r="AX124" i="21"/>
  <c r="AW125" i="21"/>
  <c r="AX125" i="21"/>
  <c r="AW126" i="21"/>
  <c r="AX126" i="21"/>
  <c r="AW127" i="21"/>
  <c r="AX127" i="21"/>
  <c r="AW128" i="21"/>
  <c r="AX128" i="21"/>
  <c r="AW129" i="21"/>
  <c r="AX129" i="21"/>
  <c r="AV112" i="21"/>
  <c r="AV113" i="21"/>
  <c r="AV114" i="21"/>
  <c r="AV115" i="21"/>
  <c r="C477" i="21" s="1"/>
  <c r="AV116" i="21"/>
  <c r="C478" i="21" s="1"/>
  <c r="AV117" i="21"/>
  <c r="C479" i="21" s="1"/>
  <c r="AV118" i="21"/>
  <c r="C480" i="21" s="1"/>
  <c r="AV119" i="21"/>
  <c r="AV120" i="21"/>
  <c r="AV121" i="21"/>
  <c r="AV122" i="21"/>
  <c r="AV123" i="21"/>
  <c r="AV124" i="21"/>
  <c r="AV125" i="21"/>
  <c r="AV126" i="21"/>
  <c r="AV127" i="21"/>
  <c r="AV128" i="21"/>
  <c r="AV129" i="21"/>
  <c r="AV111" i="21"/>
  <c r="AW73" i="21"/>
  <c r="AZ79" i="21"/>
  <c r="AZ80" i="21"/>
  <c r="AZ81" i="21"/>
  <c r="AZ82" i="21"/>
  <c r="AZ83" i="21"/>
  <c r="AZ84" i="21"/>
  <c r="AZ85" i="21"/>
  <c r="AZ86" i="21"/>
  <c r="AZ87" i="21"/>
  <c r="AZ88" i="21"/>
  <c r="AZ89" i="21"/>
  <c r="AZ90" i="21"/>
  <c r="AZ91" i="21"/>
  <c r="AZ92" i="21"/>
  <c r="AZ93" i="21"/>
  <c r="AZ94" i="21"/>
  <c r="AZ95" i="21"/>
  <c r="AZ96" i="21"/>
  <c r="AZ78" i="21"/>
  <c r="AV79" i="21"/>
  <c r="AW79" i="21"/>
  <c r="AX79" i="21"/>
  <c r="AV80" i="21"/>
  <c r="AW80" i="21"/>
  <c r="AX80" i="21"/>
  <c r="AV81" i="21"/>
  <c r="C460" i="21" s="1"/>
  <c r="AW81" i="21"/>
  <c r="AX81" i="21"/>
  <c r="AV82" i="21"/>
  <c r="C461" i="21" s="1"/>
  <c r="AW82" i="21"/>
  <c r="AX82" i="21"/>
  <c r="AV83" i="21"/>
  <c r="C462" i="21" s="1"/>
  <c r="AW83" i="21"/>
  <c r="AX83" i="21"/>
  <c r="AV84" i="21"/>
  <c r="C463" i="21" s="1"/>
  <c r="AW84" i="21"/>
  <c r="AX84" i="21"/>
  <c r="AV85" i="21"/>
  <c r="C464" i="21" s="1"/>
  <c r="AW85" i="21"/>
  <c r="AX85" i="21"/>
  <c r="AV86" i="21"/>
  <c r="AW86" i="21"/>
  <c r="AX86" i="21"/>
  <c r="AV87" i="21"/>
  <c r="AW87" i="21"/>
  <c r="AX87" i="21"/>
  <c r="AV88" i="21"/>
  <c r="AW88" i="21"/>
  <c r="AX88" i="21"/>
  <c r="AV89" i="21"/>
  <c r="AW89" i="21"/>
  <c r="AX89" i="21"/>
  <c r="AV90" i="21"/>
  <c r="AW90" i="21"/>
  <c r="AX90" i="21"/>
  <c r="AV91" i="21"/>
  <c r="AW91" i="21"/>
  <c r="AX91" i="21"/>
  <c r="AV92" i="21"/>
  <c r="AW92" i="21"/>
  <c r="AX92" i="21"/>
  <c r="AV93" i="21"/>
  <c r="AW93" i="21"/>
  <c r="AX93" i="21"/>
  <c r="AV94" i="21"/>
  <c r="AW94" i="21"/>
  <c r="AX94" i="21"/>
  <c r="AV95" i="21"/>
  <c r="AW95" i="21"/>
  <c r="AX95" i="21"/>
  <c r="AV96" i="21"/>
  <c r="AW96" i="21"/>
  <c r="AX96" i="21"/>
  <c r="AW78" i="21"/>
  <c r="AX78" i="21"/>
  <c r="AV78" i="21"/>
  <c r="AW40" i="21"/>
  <c r="AZ46" i="21"/>
  <c r="AZ47" i="21"/>
  <c r="AZ48" i="21"/>
  <c r="AZ49" i="21"/>
  <c r="AZ50" i="21"/>
  <c r="AZ51" i="21"/>
  <c r="AZ52" i="21"/>
  <c r="AZ53" i="21"/>
  <c r="AZ54" i="21"/>
  <c r="AZ55" i="21"/>
  <c r="AZ56" i="21"/>
  <c r="AZ57" i="21"/>
  <c r="AZ58" i="21"/>
  <c r="AZ59" i="21"/>
  <c r="AZ60" i="21"/>
  <c r="AZ61" i="21"/>
  <c r="AZ62" i="21"/>
  <c r="AZ63" i="21"/>
  <c r="AZ45" i="21"/>
  <c r="AW45" i="21"/>
  <c r="AX45" i="21"/>
  <c r="AW46" i="21"/>
  <c r="AX46" i="21"/>
  <c r="AW47" i="21"/>
  <c r="AX47" i="21"/>
  <c r="AW48" i="21"/>
  <c r="AX48" i="21"/>
  <c r="AW49" i="21"/>
  <c r="AX49" i="21"/>
  <c r="AW50" i="21"/>
  <c r="AX50" i="21"/>
  <c r="AW51" i="21"/>
  <c r="AX51" i="21"/>
  <c r="AW52" i="21"/>
  <c r="AX52" i="21"/>
  <c r="AW53" i="21"/>
  <c r="AX53" i="21"/>
  <c r="AW54" i="21"/>
  <c r="AX54" i="21"/>
  <c r="AW55" i="21"/>
  <c r="AX55" i="21"/>
  <c r="AW56" i="21"/>
  <c r="AX56" i="21"/>
  <c r="AW57" i="21"/>
  <c r="AX57" i="21"/>
  <c r="AW58" i="21"/>
  <c r="AX58" i="21"/>
  <c r="AW59" i="21"/>
  <c r="AX59" i="21"/>
  <c r="AW60" i="21"/>
  <c r="AX60" i="21"/>
  <c r="AW61" i="21"/>
  <c r="AX61" i="21"/>
  <c r="AW62" i="21"/>
  <c r="AX62" i="21"/>
  <c r="AW63" i="21"/>
  <c r="AX63" i="21"/>
  <c r="AV46" i="21"/>
  <c r="AV47" i="21"/>
  <c r="AV48" i="21"/>
  <c r="C444" i="21" s="1"/>
  <c r="AV49" i="21"/>
  <c r="C445" i="21" s="1"/>
  <c r="AV50" i="21"/>
  <c r="C446" i="21" s="1"/>
  <c r="AV51" i="21"/>
  <c r="C447" i="21" s="1"/>
  <c r="AV52" i="21"/>
  <c r="C448" i="21" s="1"/>
  <c r="AV53" i="21"/>
  <c r="AV54" i="21"/>
  <c r="AV55" i="21"/>
  <c r="AV56" i="21"/>
  <c r="AV57" i="21"/>
  <c r="AV58" i="21"/>
  <c r="AV59" i="21"/>
  <c r="AV60" i="21"/>
  <c r="AV61" i="21"/>
  <c r="AV62" i="21"/>
  <c r="AV63" i="21"/>
  <c r="AV45" i="21"/>
  <c r="E32" i="13" l="1"/>
  <c r="J42" i="11"/>
  <c r="J44" i="11" s="1"/>
  <c r="D12" i="36"/>
  <c r="F39" i="14" s="1"/>
  <c r="F12" i="36"/>
  <c r="F32" i="13" s="1"/>
  <c r="K42" i="11"/>
  <c r="B20" i="36"/>
  <c r="E19" i="36"/>
  <c r="L43" i="11"/>
  <c r="AW7" i="21"/>
  <c r="AZ13" i="21"/>
  <c r="AZ14" i="21"/>
  <c r="AZ15" i="21"/>
  <c r="AZ16" i="21"/>
  <c r="AZ17" i="21"/>
  <c r="AZ18" i="21"/>
  <c r="AZ19" i="21"/>
  <c r="AZ20" i="21"/>
  <c r="AZ21" i="21"/>
  <c r="AZ22" i="21"/>
  <c r="AZ23" i="21"/>
  <c r="AZ24" i="21"/>
  <c r="AZ25" i="21"/>
  <c r="AZ26" i="21"/>
  <c r="AZ27" i="21"/>
  <c r="AZ28" i="21"/>
  <c r="AZ29" i="21"/>
  <c r="AZ30" i="21"/>
  <c r="AZ12" i="21"/>
  <c r="AW12" i="21"/>
  <c r="AX12" i="21"/>
  <c r="AW13" i="21"/>
  <c r="AX13" i="21"/>
  <c r="AW14" i="21"/>
  <c r="AX14" i="21"/>
  <c r="AW15" i="21"/>
  <c r="AX15" i="21"/>
  <c r="AW16" i="21"/>
  <c r="AX16" i="21"/>
  <c r="AW17" i="21"/>
  <c r="AX17" i="21"/>
  <c r="AW18" i="21"/>
  <c r="AX18" i="21"/>
  <c r="AW19" i="21"/>
  <c r="AX19" i="21"/>
  <c r="AW20" i="21"/>
  <c r="AX20" i="21"/>
  <c r="AW21" i="21"/>
  <c r="AX21" i="21"/>
  <c r="AW22" i="21"/>
  <c r="AX22" i="21"/>
  <c r="AW23" i="21"/>
  <c r="AX23" i="21"/>
  <c r="AW24" i="21"/>
  <c r="AX24" i="21"/>
  <c r="AW25" i="21"/>
  <c r="AX25" i="21"/>
  <c r="AW26" i="21"/>
  <c r="AX26" i="21"/>
  <c r="AW27" i="21"/>
  <c r="AX27" i="21"/>
  <c r="AW28" i="21"/>
  <c r="AX28" i="21"/>
  <c r="AW29" i="21"/>
  <c r="AX29" i="21"/>
  <c r="AW30" i="21"/>
  <c r="AX30" i="21"/>
  <c r="AV30" i="21"/>
  <c r="AV13" i="21"/>
  <c r="AV14" i="21"/>
  <c r="AV15" i="21"/>
  <c r="AV16" i="21"/>
  <c r="C429" i="21" s="1"/>
  <c r="B19" i="37" s="1"/>
  <c r="B39" i="37" s="1"/>
  <c r="AV17" i="21"/>
  <c r="C430" i="21" s="1"/>
  <c r="B20" i="37" s="1"/>
  <c r="B40" i="37" s="1"/>
  <c r="AV18" i="21"/>
  <c r="C431" i="21" s="1"/>
  <c r="B21" i="37" s="1"/>
  <c r="B41" i="37" s="1"/>
  <c r="AV19" i="21"/>
  <c r="C432" i="21" s="1"/>
  <c r="B22" i="37" s="1"/>
  <c r="B42" i="37" s="1"/>
  <c r="AV20" i="21"/>
  <c r="AV21" i="21"/>
  <c r="AV22" i="21"/>
  <c r="AV23" i="21"/>
  <c r="AV24" i="21"/>
  <c r="AV25" i="21"/>
  <c r="AV26" i="21"/>
  <c r="AV27" i="21"/>
  <c r="AV28" i="21"/>
  <c r="AV29" i="21"/>
  <c r="AV12" i="21"/>
  <c r="C12" i="36" l="1"/>
  <c r="F13" i="36"/>
  <c r="D13" i="36"/>
  <c r="K44" i="11"/>
  <c r="L42" i="11"/>
  <c r="L44" i="11" s="1"/>
  <c r="E20" i="36"/>
  <c r="B21" i="36"/>
  <c r="M43" i="11"/>
  <c r="C78" i="21"/>
  <c r="D78" i="21"/>
  <c r="E78" i="21"/>
  <c r="C79" i="21"/>
  <c r="D79" i="21"/>
  <c r="E79" i="21"/>
  <c r="C80" i="21"/>
  <c r="D80" i="21"/>
  <c r="E80" i="21"/>
  <c r="C81" i="21"/>
  <c r="D81" i="21"/>
  <c r="E81" i="21"/>
  <c r="C82" i="21"/>
  <c r="D82" i="21"/>
  <c r="E82" i="21"/>
  <c r="C83" i="21"/>
  <c r="D83" i="21"/>
  <c r="E83" i="21"/>
  <c r="C84" i="21"/>
  <c r="D84" i="21"/>
  <c r="E84" i="21"/>
  <c r="C85" i="21"/>
  <c r="D85" i="21"/>
  <c r="E85" i="21"/>
  <c r="C86" i="21"/>
  <c r="D86" i="21"/>
  <c r="E86" i="21"/>
  <c r="C87" i="21"/>
  <c r="D87" i="21"/>
  <c r="E87" i="21"/>
  <c r="C88" i="21"/>
  <c r="D88" i="21"/>
  <c r="E88" i="21"/>
  <c r="C89" i="21"/>
  <c r="D89" i="21"/>
  <c r="E89" i="21"/>
  <c r="C90" i="21"/>
  <c r="D90" i="21"/>
  <c r="E90" i="21"/>
  <c r="C91" i="21"/>
  <c r="D91" i="21"/>
  <c r="E91" i="21"/>
  <c r="C92" i="21"/>
  <c r="D92" i="21"/>
  <c r="E92" i="21"/>
  <c r="C93" i="21"/>
  <c r="D93" i="21"/>
  <c r="E93" i="21"/>
  <c r="C94" i="21"/>
  <c r="D94" i="21"/>
  <c r="E94" i="21"/>
  <c r="C95" i="21"/>
  <c r="D95" i="21"/>
  <c r="E95" i="21"/>
  <c r="C96" i="21"/>
  <c r="D96" i="21"/>
  <c r="E96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78" i="21"/>
  <c r="B111" i="21"/>
  <c r="C45" i="21"/>
  <c r="D45" i="21"/>
  <c r="AB45" i="21" s="1"/>
  <c r="E45" i="21"/>
  <c r="C46" i="21"/>
  <c r="D46" i="21"/>
  <c r="E46" i="21"/>
  <c r="C47" i="21"/>
  <c r="D47" i="21"/>
  <c r="E47" i="21"/>
  <c r="C48" i="21"/>
  <c r="D48" i="21"/>
  <c r="E48" i="21"/>
  <c r="C49" i="21"/>
  <c r="D49" i="21"/>
  <c r="E49" i="21"/>
  <c r="C50" i="21"/>
  <c r="D50" i="21"/>
  <c r="E50" i="21"/>
  <c r="C51" i="21"/>
  <c r="D51" i="21"/>
  <c r="E51" i="21"/>
  <c r="C52" i="21"/>
  <c r="D52" i="21"/>
  <c r="E52" i="21"/>
  <c r="C53" i="21"/>
  <c r="D53" i="21"/>
  <c r="E53" i="21"/>
  <c r="C54" i="21"/>
  <c r="D54" i="21"/>
  <c r="E54" i="21"/>
  <c r="C55" i="21"/>
  <c r="D55" i="21"/>
  <c r="E55" i="21"/>
  <c r="C56" i="21"/>
  <c r="D56" i="21"/>
  <c r="E56" i="21"/>
  <c r="C57" i="21"/>
  <c r="D57" i="21"/>
  <c r="E57" i="21"/>
  <c r="C58" i="21"/>
  <c r="D58" i="21"/>
  <c r="E58" i="21"/>
  <c r="C59" i="21"/>
  <c r="D59" i="21"/>
  <c r="E59" i="21"/>
  <c r="C60" i="21"/>
  <c r="D60" i="21"/>
  <c r="E60" i="21"/>
  <c r="C61" i="21"/>
  <c r="D61" i="21"/>
  <c r="E61" i="21"/>
  <c r="C62" i="21"/>
  <c r="D62" i="21"/>
  <c r="E62" i="21"/>
  <c r="C63" i="21"/>
  <c r="D63" i="21"/>
  <c r="E63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45" i="21"/>
  <c r="D370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75" i="21"/>
  <c r="C375" i="21"/>
  <c r="D375" i="21"/>
  <c r="E375" i="21"/>
  <c r="C376" i="21"/>
  <c r="D376" i="21"/>
  <c r="E376" i="21"/>
  <c r="C377" i="21"/>
  <c r="D377" i="21"/>
  <c r="E377" i="21"/>
  <c r="C378" i="21"/>
  <c r="D378" i="21"/>
  <c r="E378" i="21"/>
  <c r="C379" i="21"/>
  <c r="D379" i="21"/>
  <c r="E379" i="21"/>
  <c r="C380" i="21"/>
  <c r="D380" i="21"/>
  <c r="E380" i="21"/>
  <c r="C381" i="21"/>
  <c r="D381" i="21"/>
  <c r="E381" i="21"/>
  <c r="C382" i="21"/>
  <c r="D382" i="21"/>
  <c r="E382" i="21"/>
  <c r="C383" i="21"/>
  <c r="D383" i="21"/>
  <c r="E383" i="21"/>
  <c r="C384" i="21"/>
  <c r="D384" i="21"/>
  <c r="E384" i="21"/>
  <c r="C385" i="21"/>
  <c r="D385" i="21"/>
  <c r="E385" i="21"/>
  <c r="C386" i="21"/>
  <c r="D386" i="21"/>
  <c r="E386" i="21"/>
  <c r="C387" i="21"/>
  <c r="D387" i="21"/>
  <c r="E387" i="21"/>
  <c r="C388" i="21"/>
  <c r="D388" i="21"/>
  <c r="E388" i="21"/>
  <c r="C389" i="21"/>
  <c r="D389" i="21"/>
  <c r="E389" i="21"/>
  <c r="C390" i="21"/>
  <c r="D390" i="21"/>
  <c r="E390" i="21"/>
  <c r="C391" i="21"/>
  <c r="D391" i="21"/>
  <c r="E391" i="21"/>
  <c r="C392" i="21"/>
  <c r="D392" i="21"/>
  <c r="E392" i="21"/>
  <c r="C393" i="21"/>
  <c r="D393" i="21"/>
  <c r="E393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75" i="21"/>
  <c r="D337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42" i="21"/>
  <c r="C342" i="21"/>
  <c r="D342" i="21"/>
  <c r="AH342" i="21" s="1"/>
  <c r="E342" i="21"/>
  <c r="C343" i="21"/>
  <c r="D343" i="21"/>
  <c r="E343" i="21"/>
  <c r="C344" i="21"/>
  <c r="D344" i="21"/>
  <c r="E344" i="21"/>
  <c r="C345" i="21"/>
  <c r="D345" i="21"/>
  <c r="E345" i="21"/>
  <c r="C346" i="21"/>
  <c r="D346" i="21"/>
  <c r="E346" i="21"/>
  <c r="C347" i="21"/>
  <c r="D347" i="21"/>
  <c r="E347" i="21"/>
  <c r="C348" i="21"/>
  <c r="D348" i="21"/>
  <c r="E348" i="21"/>
  <c r="C349" i="21"/>
  <c r="D349" i="21"/>
  <c r="E349" i="21"/>
  <c r="C350" i="21"/>
  <c r="D350" i="21"/>
  <c r="E350" i="21"/>
  <c r="C351" i="21"/>
  <c r="D351" i="21"/>
  <c r="E351" i="21"/>
  <c r="C352" i="21"/>
  <c r="D352" i="21"/>
  <c r="E352" i="21"/>
  <c r="C353" i="21"/>
  <c r="D353" i="21"/>
  <c r="E353" i="21"/>
  <c r="C354" i="21"/>
  <c r="D354" i="21"/>
  <c r="E354" i="21"/>
  <c r="C355" i="21"/>
  <c r="D355" i="21"/>
  <c r="E355" i="21"/>
  <c r="C356" i="21"/>
  <c r="D356" i="21"/>
  <c r="E356" i="21"/>
  <c r="C357" i="21"/>
  <c r="D357" i="21"/>
  <c r="E357" i="21"/>
  <c r="C358" i="21"/>
  <c r="D358" i="21"/>
  <c r="E358" i="21"/>
  <c r="C359" i="21"/>
  <c r="D359" i="21"/>
  <c r="E359" i="21"/>
  <c r="C360" i="21"/>
  <c r="D360" i="21"/>
  <c r="E360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42" i="21"/>
  <c r="D304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09" i="21"/>
  <c r="C309" i="21"/>
  <c r="D309" i="21"/>
  <c r="E309" i="21"/>
  <c r="C310" i="21"/>
  <c r="D310" i="21"/>
  <c r="E310" i="21"/>
  <c r="C311" i="21"/>
  <c r="D311" i="21"/>
  <c r="AH311" i="21" s="1"/>
  <c r="E311" i="21"/>
  <c r="C312" i="21"/>
  <c r="D312" i="21"/>
  <c r="E312" i="21"/>
  <c r="C313" i="21"/>
  <c r="D313" i="21"/>
  <c r="E313" i="21"/>
  <c r="C314" i="21"/>
  <c r="D314" i="21"/>
  <c r="E314" i="21"/>
  <c r="C315" i="21"/>
  <c r="D315" i="21"/>
  <c r="E315" i="21"/>
  <c r="C316" i="21"/>
  <c r="D316" i="21"/>
  <c r="E316" i="21"/>
  <c r="C317" i="21"/>
  <c r="D317" i="21"/>
  <c r="E317" i="21"/>
  <c r="C318" i="21"/>
  <c r="D318" i="21"/>
  <c r="E318" i="21"/>
  <c r="C319" i="21"/>
  <c r="D319" i="21"/>
  <c r="E319" i="21"/>
  <c r="C320" i="21"/>
  <c r="D320" i="21"/>
  <c r="E320" i="21"/>
  <c r="C321" i="21"/>
  <c r="D321" i="21"/>
  <c r="E321" i="21"/>
  <c r="C322" i="21"/>
  <c r="D322" i="21"/>
  <c r="E322" i="21"/>
  <c r="C323" i="21"/>
  <c r="D323" i="21"/>
  <c r="E323" i="21"/>
  <c r="C324" i="21"/>
  <c r="D324" i="21"/>
  <c r="E324" i="21"/>
  <c r="C325" i="21"/>
  <c r="D325" i="21"/>
  <c r="E325" i="21"/>
  <c r="C326" i="21"/>
  <c r="D326" i="21"/>
  <c r="E326" i="21"/>
  <c r="C327" i="21"/>
  <c r="D327" i="21"/>
  <c r="E327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09" i="21"/>
  <c r="D271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76" i="21"/>
  <c r="C276" i="21"/>
  <c r="D276" i="21"/>
  <c r="E276" i="21"/>
  <c r="C277" i="21"/>
  <c r="D277" i="21"/>
  <c r="E277" i="21"/>
  <c r="C278" i="21"/>
  <c r="D278" i="21"/>
  <c r="E278" i="21"/>
  <c r="C279" i="21"/>
  <c r="D279" i="21"/>
  <c r="E279" i="21"/>
  <c r="C280" i="21"/>
  <c r="D280" i="21"/>
  <c r="E280" i="21"/>
  <c r="C281" i="21"/>
  <c r="D281" i="21"/>
  <c r="E281" i="21"/>
  <c r="C282" i="21"/>
  <c r="D282" i="21"/>
  <c r="E282" i="21"/>
  <c r="C283" i="21"/>
  <c r="D283" i="21"/>
  <c r="E283" i="21"/>
  <c r="C284" i="21"/>
  <c r="D284" i="21"/>
  <c r="E284" i="21"/>
  <c r="C285" i="21"/>
  <c r="D285" i="21"/>
  <c r="E285" i="21"/>
  <c r="C286" i="21"/>
  <c r="D286" i="21"/>
  <c r="E286" i="21"/>
  <c r="C287" i="21"/>
  <c r="D287" i="21"/>
  <c r="E287" i="21"/>
  <c r="C288" i="21"/>
  <c r="D288" i="21"/>
  <c r="E288" i="21"/>
  <c r="C289" i="21"/>
  <c r="D289" i="21"/>
  <c r="E289" i="21"/>
  <c r="C290" i="21"/>
  <c r="D290" i="21"/>
  <c r="E290" i="21"/>
  <c r="C291" i="21"/>
  <c r="D291" i="21"/>
  <c r="E291" i="21"/>
  <c r="C292" i="21"/>
  <c r="D292" i="21"/>
  <c r="E292" i="21"/>
  <c r="C293" i="21"/>
  <c r="D293" i="21"/>
  <c r="E293" i="21"/>
  <c r="C294" i="21"/>
  <c r="D294" i="21"/>
  <c r="E294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76" i="21"/>
  <c r="D238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43" i="21"/>
  <c r="C243" i="21"/>
  <c r="D243" i="21"/>
  <c r="AB243" i="21" s="1"/>
  <c r="E243" i="21"/>
  <c r="C244" i="21"/>
  <c r="D244" i="21"/>
  <c r="AK244" i="21" s="1"/>
  <c r="E244" i="21"/>
  <c r="C245" i="21"/>
  <c r="D245" i="21"/>
  <c r="E245" i="21"/>
  <c r="C246" i="21"/>
  <c r="D246" i="21"/>
  <c r="E246" i="21"/>
  <c r="C247" i="21"/>
  <c r="D247" i="21"/>
  <c r="E247" i="21"/>
  <c r="C248" i="21"/>
  <c r="D248" i="21"/>
  <c r="E248" i="21"/>
  <c r="C249" i="21"/>
  <c r="D249" i="21"/>
  <c r="E249" i="21"/>
  <c r="C250" i="21"/>
  <c r="D250" i="21"/>
  <c r="E250" i="21"/>
  <c r="C251" i="21"/>
  <c r="D251" i="21"/>
  <c r="E251" i="21"/>
  <c r="C252" i="21"/>
  <c r="D252" i="21"/>
  <c r="E252" i="21"/>
  <c r="C253" i="21"/>
  <c r="D253" i="21"/>
  <c r="E253" i="21"/>
  <c r="C254" i="21"/>
  <c r="D254" i="21"/>
  <c r="E254" i="21"/>
  <c r="C255" i="21"/>
  <c r="D255" i="21"/>
  <c r="E255" i="21"/>
  <c r="C256" i="21"/>
  <c r="D256" i="21"/>
  <c r="E256" i="21"/>
  <c r="C257" i="21"/>
  <c r="D257" i="21"/>
  <c r="E257" i="21"/>
  <c r="C258" i="21"/>
  <c r="D258" i="21"/>
  <c r="E258" i="21"/>
  <c r="C259" i="21"/>
  <c r="D259" i="21"/>
  <c r="E259" i="21"/>
  <c r="C260" i="21"/>
  <c r="D260" i="21"/>
  <c r="E260" i="21"/>
  <c r="C261" i="21"/>
  <c r="D261" i="21"/>
  <c r="E261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43" i="21"/>
  <c r="D205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10" i="21"/>
  <c r="C210" i="21"/>
  <c r="D210" i="21"/>
  <c r="E210" i="21"/>
  <c r="C211" i="21"/>
  <c r="D211" i="21"/>
  <c r="AK211" i="21" s="1"/>
  <c r="E211" i="21"/>
  <c r="C212" i="21"/>
  <c r="D212" i="21"/>
  <c r="E212" i="21"/>
  <c r="C213" i="21"/>
  <c r="D213" i="21"/>
  <c r="E213" i="21"/>
  <c r="C214" i="21"/>
  <c r="D214" i="21"/>
  <c r="E214" i="21"/>
  <c r="C215" i="21"/>
  <c r="D215" i="21"/>
  <c r="E215" i="21"/>
  <c r="C216" i="21"/>
  <c r="D216" i="21"/>
  <c r="E216" i="21"/>
  <c r="C217" i="21"/>
  <c r="D217" i="21"/>
  <c r="E217" i="21"/>
  <c r="C218" i="21"/>
  <c r="D218" i="21"/>
  <c r="E218" i="21"/>
  <c r="C219" i="21"/>
  <c r="D219" i="21"/>
  <c r="E219" i="21"/>
  <c r="C220" i="21"/>
  <c r="D220" i="21"/>
  <c r="E220" i="21"/>
  <c r="C221" i="21"/>
  <c r="D221" i="21"/>
  <c r="E221" i="21"/>
  <c r="C222" i="21"/>
  <c r="D222" i="21"/>
  <c r="E222" i="21"/>
  <c r="C223" i="21"/>
  <c r="D223" i="21"/>
  <c r="E223" i="21"/>
  <c r="C224" i="21"/>
  <c r="D224" i="21"/>
  <c r="E224" i="21"/>
  <c r="C225" i="21"/>
  <c r="D225" i="21"/>
  <c r="E225" i="21"/>
  <c r="C226" i="21"/>
  <c r="D226" i="21"/>
  <c r="E226" i="21"/>
  <c r="C227" i="21"/>
  <c r="D227" i="21"/>
  <c r="E227" i="21"/>
  <c r="C228" i="21"/>
  <c r="D228" i="21"/>
  <c r="E228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10" i="21"/>
  <c r="D172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77" i="21"/>
  <c r="C177" i="21"/>
  <c r="D177" i="21"/>
  <c r="E177" i="21"/>
  <c r="C178" i="21"/>
  <c r="D178" i="21"/>
  <c r="AH178" i="21" s="1"/>
  <c r="E178" i="21"/>
  <c r="C179" i="21"/>
  <c r="D179" i="21"/>
  <c r="AH179" i="21" s="1"/>
  <c r="E179" i="21"/>
  <c r="C180" i="21"/>
  <c r="D180" i="21"/>
  <c r="E180" i="21"/>
  <c r="C181" i="21"/>
  <c r="D181" i="21"/>
  <c r="E181" i="21"/>
  <c r="C182" i="21"/>
  <c r="D182" i="21"/>
  <c r="E182" i="21"/>
  <c r="C183" i="21"/>
  <c r="D183" i="21"/>
  <c r="E183" i="21"/>
  <c r="C184" i="21"/>
  <c r="D184" i="21"/>
  <c r="E184" i="21"/>
  <c r="C185" i="21"/>
  <c r="D185" i="21"/>
  <c r="E185" i="21"/>
  <c r="C186" i="21"/>
  <c r="D186" i="21"/>
  <c r="E186" i="21"/>
  <c r="C187" i="21"/>
  <c r="D187" i="21"/>
  <c r="E187" i="21"/>
  <c r="C188" i="21"/>
  <c r="D188" i="21"/>
  <c r="E188" i="21"/>
  <c r="C189" i="21"/>
  <c r="D189" i="21"/>
  <c r="E189" i="21"/>
  <c r="C190" i="21"/>
  <c r="D190" i="21"/>
  <c r="E190" i="21"/>
  <c r="C191" i="21"/>
  <c r="D191" i="21"/>
  <c r="E191" i="21"/>
  <c r="C192" i="21"/>
  <c r="D192" i="21"/>
  <c r="E192" i="21"/>
  <c r="C193" i="21"/>
  <c r="D193" i="21"/>
  <c r="E193" i="21"/>
  <c r="C194" i="21"/>
  <c r="D194" i="21"/>
  <c r="E194" i="21"/>
  <c r="C195" i="21"/>
  <c r="D195" i="21"/>
  <c r="E195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77" i="21"/>
  <c r="D139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44" i="21"/>
  <c r="C144" i="21"/>
  <c r="D144" i="21"/>
  <c r="E144" i="21"/>
  <c r="C145" i="21"/>
  <c r="D145" i="21"/>
  <c r="AH145" i="21" s="1"/>
  <c r="E145" i="21"/>
  <c r="C146" i="21"/>
  <c r="D146" i="21"/>
  <c r="AH146" i="21" s="1"/>
  <c r="E146" i="21"/>
  <c r="C147" i="21"/>
  <c r="D147" i="21"/>
  <c r="E147" i="21"/>
  <c r="C148" i="21"/>
  <c r="D148" i="21"/>
  <c r="E148" i="21"/>
  <c r="C149" i="21"/>
  <c r="D149" i="21"/>
  <c r="E149" i="21"/>
  <c r="C150" i="21"/>
  <c r="D150" i="21"/>
  <c r="E150" i="21"/>
  <c r="C151" i="21"/>
  <c r="D151" i="21"/>
  <c r="E151" i="21"/>
  <c r="C152" i="21"/>
  <c r="D152" i="21"/>
  <c r="E152" i="21"/>
  <c r="C153" i="21"/>
  <c r="D153" i="21"/>
  <c r="E153" i="21"/>
  <c r="C154" i="21"/>
  <c r="D154" i="21"/>
  <c r="E154" i="21"/>
  <c r="C155" i="21"/>
  <c r="D155" i="21"/>
  <c r="E155" i="21"/>
  <c r="C156" i="21"/>
  <c r="D156" i="21"/>
  <c r="E156" i="21"/>
  <c r="C157" i="21"/>
  <c r="D157" i="21"/>
  <c r="E157" i="21"/>
  <c r="C158" i="21"/>
  <c r="D158" i="21"/>
  <c r="E158" i="21"/>
  <c r="C159" i="21"/>
  <c r="D159" i="21"/>
  <c r="E159" i="21"/>
  <c r="C160" i="21"/>
  <c r="D160" i="21"/>
  <c r="E160" i="21"/>
  <c r="C161" i="21"/>
  <c r="D161" i="21"/>
  <c r="E161" i="21"/>
  <c r="C162" i="21"/>
  <c r="D162" i="21"/>
  <c r="E162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44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11" i="21"/>
  <c r="C111" i="21"/>
  <c r="D111" i="21"/>
  <c r="AH111" i="21" s="1"/>
  <c r="E111" i="21"/>
  <c r="C112" i="21"/>
  <c r="D112" i="21"/>
  <c r="AK112" i="21" s="1"/>
  <c r="E112" i="21"/>
  <c r="C113" i="21"/>
  <c r="D113" i="21"/>
  <c r="E113" i="21"/>
  <c r="C114" i="21"/>
  <c r="D114" i="21"/>
  <c r="E114" i="21"/>
  <c r="C115" i="21"/>
  <c r="D115" i="21"/>
  <c r="E115" i="21"/>
  <c r="C116" i="21"/>
  <c r="D116" i="21"/>
  <c r="E116" i="21"/>
  <c r="C117" i="21"/>
  <c r="D117" i="21"/>
  <c r="E117" i="21"/>
  <c r="C118" i="21"/>
  <c r="D118" i="21"/>
  <c r="E118" i="21"/>
  <c r="C119" i="21"/>
  <c r="D119" i="21"/>
  <c r="E119" i="21"/>
  <c r="C120" i="21"/>
  <c r="D120" i="21"/>
  <c r="E120" i="21"/>
  <c r="C121" i="21"/>
  <c r="D121" i="21"/>
  <c r="E121" i="21"/>
  <c r="C122" i="21"/>
  <c r="D122" i="21"/>
  <c r="E122" i="21"/>
  <c r="C123" i="21"/>
  <c r="D123" i="21"/>
  <c r="E123" i="21"/>
  <c r="C124" i="21"/>
  <c r="D124" i="21"/>
  <c r="E124" i="21"/>
  <c r="C125" i="21"/>
  <c r="D125" i="21"/>
  <c r="E125" i="21"/>
  <c r="C126" i="21"/>
  <c r="D126" i="21"/>
  <c r="E126" i="21"/>
  <c r="C127" i="21"/>
  <c r="D127" i="21"/>
  <c r="E127" i="21"/>
  <c r="C128" i="21"/>
  <c r="D128" i="21"/>
  <c r="E128" i="21"/>
  <c r="C129" i="21"/>
  <c r="D129" i="21"/>
  <c r="E129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D106" i="21"/>
  <c r="B12" i="21"/>
  <c r="C12" i="21"/>
  <c r="D12" i="21"/>
  <c r="E12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78" i="21"/>
  <c r="D7" i="21"/>
  <c r="D40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45" i="21"/>
  <c r="C13" i="36" l="1"/>
  <c r="G32" i="13"/>
  <c r="D14" i="36"/>
  <c r="F14" i="36"/>
  <c r="M42" i="11"/>
  <c r="N42" i="11" s="1"/>
  <c r="B22" i="36"/>
  <c r="E21" i="36"/>
  <c r="H213" i="21"/>
  <c r="U213" i="21" s="1"/>
  <c r="AK145" i="21"/>
  <c r="AK179" i="21"/>
  <c r="AK146" i="21"/>
  <c r="AB178" i="21"/>
  <c r="AK178" i="21"/>
  <c r="AH144" i="21"/>
  <c r="AE144" i="21"/>
  <c r="AB144" i="21"/>
  <c r="AK144" i="21"/>
  <c r="AK177" i="21"/>
  <c r="AH177" i="21"/>
  <c r="AE177" i="21"/>
  <c r="AB177" i="21"/>
  <c r="AE376" i="21"/>
  <c r="AK376" i="21"/>
  <c r="AB376" i="21"/>
  <c r="AH376" i="21"/>
  <c r="AH243" i="21"/>
  <c r="AE243" i="21"/>
  <c r="AK243" i="21"/>
  <c r="AB276" i="21"/>
  <c r="AK276" i="21"/>
  <c r="AH276" i="21"/>
  <c r="AE276" i="21"/>
  <c r="AE375" i="21"/>
  <c r="AK375" i="21"/>
  <c r="AH375" i="21"/>
  <c r="AB375" i="21"/>
  <c r="AB12" i="21"/>
  <c r="AB145" i="21"/>
  <c r="AB146" i="21"/>
  <c r="AE178" i="21"/>
  <c r="AB212" i="21"/>
  <c r="AE212" i="21"/>
  <c r="AH212" i="21"/>
  <c r="AH245" i="21"/>
  <c r="AE245" i="21"/>
  <c r="AB245" i="21"/>
  <c r="AB278" i="21"/>
  <c r="AK278" i="21"/>
  <c r="AH278" i="21"/>
  <c r="AE278" i="21"/>
  <c r="AK311" i="21"/>
  <c r="AB311" i="21"/>
  <c r="AE311" i="21"/>
  <c r="AB344" i="21"/>
  <c r="AK344" i="21"/>
  <c r="AH344" i="21"/>
  <c r="AE344" i="21"/>
  <c r="AB179" i="21"/>
  <c r="AK212" i="21"/>
  <c r="AK309" i="21"/>
  <c r="AH309" i="21"/>
  <c r="AE309" i="21"/>
  <c r="AB309" i="21"/>
  <c r="AB377" i="21"/>
  <c r="AK377" i="21"/>
  <c r="AH377" i="21"/>
  <c r="AE377" i="21"/>
  <c r="AE145" i="21"/>
  <c r="AE146" i="21"/>
  <c r="AE179" i="21"/>
  <c r="AK210" i="21"/>
  <c r="AH210" i="21"/>
  <c r="AE210" i="21"/>
  <c r="AB210" i="21"/>
  <c r="AE342" i="21"/>
  <c r="AB342" i="21"/>
  <c r="AK342" i="21"/>
  <c r="H79" i="21"/>
  <c r="AB211" i="21"/>
  <c r="AE211" i="21"/>
  <c r="AH211" i="21"/>
  <c r="AH244" i="21"/>
  <c r="AE244" i="21"/>
  <c r="AB244" i="21"/>
  <c r="AB277" i="21"/>
  <c r="AK277" i="21"/>
  <c r="AH277" i="21"/>
  <c r="AK310" i="21"/>
  <c r="AB310" i="21"/>
  <c r="AE310" i="21"/>
  <c r="AH310" i="21"/>
  <c r="AE343" i="21"/>
  <c r="AB343" i="21"/>
  <c r="AK343" i="21"/>
  <c r="AH343" i="21"/>
  <c r="AK245" i="21"/>
  <c r="AE277" i="21"/>
  <c r="H211" i="21"/>
  <c r="F211" i="21" s="1"/>
  <c r="H227" i="21"/>
  <c r="W227" i="21" s="1"/>
  <c r="H222" i="21"/>
  <c r="H214" i="21"/>
  <c r="F214" i="21" s="1"/>
  <c r="H224" i="21"/>
  <c r="T224" i="21" s="1"/>
  <c r="AK111" i="21"/>
  <c r="H223" i="21"/>
  <c r="H228" i="21"/>
  <c r="U228" i="21" s="1"/>
  <c r="H220" i="21"/>
  <c r="H212" i="21"/>
  <c r="AB112" i="21"/>
  <c r="H219" i="21"/>
  <c r="T219" i="21" s="1"/>
  <c r="AE112" i="21"/>
  <c r="H217" i="21"/>
  <c r="H226" i="21"/>
  <c r="X226" i="21" s="1"/>
  <c r="H218" i="21"/>
  <c r="F218" i="21" s="1"/>
  <c r="AB111" i="21"/>
  <c r="H216" i="21"/>
  <c r="AH113" i="21"/>
  <c r="AE113" i="21"/>
  <c r="AK113" i="21"/>
  <c r="AB113" i="21"/>
  <c r="H45" i="21"/>
  <c r="AH112" i="21"/>
  <c r="AE111" i="21"/>
  <c r="H215" i="21"/>
  <c r="H221" i="21"/>
  <c r="H210" i="21"/>
  <c r="H225" i="21"/>
  <c r="AE45" i="21"/>
  <c r="AK45" i="21"/>
  <c r="AK78" i="21"/>
  <c r="AH45" i="21"/>
  <c r="AH78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G12" i="21"/>
  <c r="G30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D13" i="21"/>
  <c r="AB13" i="21" s="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AE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M44" i="11" l="1"/>
  <c r="H32" i="13"/>
  <c r="D15" i="36"/>
  <c r="F15" i="36"/>
  <c r="C14" i="36"/>
  <c r="H39" i="14"/>
  <c r="B23" i="36"/>
  <c r="C22" i="36"/>
  <c r="F22" i="36"/>
  <c r="E22" i="36"/>
  <c r="D22" i="36"/>
  <c r="N43" i="11"/>
  <c r="AN218" i="21"/>
  <c r="F213" i="21"/>
  <c r="AP213" i="21"/>
  <c r="T213" i="21"/>
  <c r="V213" i="21" s="1"/>
  <c r="X213" i="21"/>
  <c r="W213" i="21"/>
  <c r="T218" i="21"/>
  <c r="X218" i="21"/>
  <c r="W218" i="21"/>
  <c r="U218" i="21"/>
  <c r="T228" i="21"/>
  <c r="V228" i="21" s="1"/>
  <c r="W219" i="21"/>
  <c r="F228" i="21"/>
  <c r="AQ213" i="21"/>
  <c r="X228" i="21"/>
  <c r="AO213" i="21"/>
  <c r="W228" i="21"/>
  <c r="F226" i="21"/>
  <c r="X214" i="21"/>
  <c r="U224" i="21"/>
  <c r="V224" i="21" s="1"/>
  <c r="AQ45" i="21"/>
  <c r="AO45" i="21"/>
  <c r="AP45" i="21"/>
  <c r="U226" i="21"/>
  <c r="AO226" i="21"/>
  <c r="AP226" i="21"/>
  <c r="AQ226" i="21"/>
  <c r="T223" i="21"/>
  <c r="AP223" i="21"/>
  <c r="AQ223" i="21"/>
  <c r="AO223" i="21"/>
  <c r="X217" i="21"/>
  <c r="AP217" i="21"/>
  <c r="AQ217" i="21"/>
  <c r="AO217" i="21"/>
  <c r="F215" i="21"/>
  <c r="AP215" i="21"/>
  <c r="AO215" i="21"/>
  <c r="AQ215" i="21"/>
  <c r="W224" i="21"/>
  <c r="AQ224" i="21"/>
  <c r="AP224" i="21"/>
  <c r="AO224" i="21"/>
  <c r="X79" i="21"/>
  <c r="AP79" i="21"/>
  <c r="AQ79" i="21"/>
  <c r="AO79" i="21"/>
  <c r="F225" i="21"/>
  <c r="AP225" i="21"/>
  <c r="AQ225" i="21"/>
  <c r="AO225" i="21"/>
  <c r="F219" i="21"/>
  <c r="AO219" i="21"/>
  <c r="AQ219" i="21"/>
  <c r="AP219" i="21"/>
  <c r="W214" i="21"/>
  <c r="AQ214" i="21"/>
  <c r="AP214" i="21"/>
  <c r="AO214" i="21"/>
  <c r="AO210" i="21"/>
  <c r="AQ210" i="21"/>
  <c r="AP210" i="21"/>
  <c r="AQ222" i="21"/>
  <c r="AP222" i="21"/>
  <c r="AO222" i="21"/>
  <c r="AQ221" i="21"/>
  <c r="AP221" i="21"/>
  <c r="AO221" i="21"/>
  <c r="AQ216" i="21"/>
  <c r="AP216" i="21"/>
  <c r="AO216" i="21"/>
  <c r="AQ212" i="21"/>
  <c r="AO212" i="21"/>
  <c r="AP212" i="21"/>
  <c r="AO227" i="21"/>
  <c r="AQ227" i="21"/>
  <c r="AP227" i="21"/>
  <c r="X220" i="21"/>
  <c r="AQ220" i="21"/>
  <c r="AO220" i="21"/>
  <c r="AP220" i="21"/>
  <c r="W211" i="21"/>
  <c r="AQ211" i="21"/>
  <c r="AO211" i="21"/>
  <c r="AP211" i="21"/>
  <c r="AO218" i="21"/>
  <c r="AQ218" i="21"/>
  <c r="AP218" i="21"/>
  <c r="AQ228" i="21"/>
  <c r="AO228" i="21"/>
  <c r="AP228" i="21"/>
  <c r="X219" i="21"/>
  <c r="U214" i="21"/>
  <c r="T214" i="21"/>
  <c r="X224" i="21"/>
  <c r="F224" i="21"/>
  <c r="X223" i="21"/>
  <c r="W79" i="21"/>
  <c r="W223" i="21"/>
  <c r="U79" i="21"/>
  <c r="U223" i="21"/>
  <c r="T79" i="21"/>
  <c r="W217" i="21"/>
  <c r="T226" i="21"/>
  <c r="V226" i="21" s="1"/>
  <c r="W216" i="21"/>
  <c r="X216" i="21"/>
  <c r="T216" i="21"/>
  <c r="U216" i="21"/>
  <c r="T212" i="21"/>
  <c r="X212" i="21"/>
  <c r="U212" i="21"/>
  <c r="F212" i="21"/>
  <c r="W212" i="21"/>
  <c r="F227" i="21"/>
  <c r="X227" i="21"/>
  <c r="Y227" i="21" s="1"/>
  <c r="T227" i="21"/>
  <c r="U227" i="21"/>
  <c r="F216" i="21"/>
  <c r="F222" i="21"/>
  <c r="T222" i="21"/>
  <c r="U222" i="21"/>
  <c r="W222" i="21"/>
  <c r="X222" i="21"/>
  <c r="F223" i="21"/>
  <c r="W226" i="21"/>
  <c r="Y226" i="21" s="1"/>
  <c r="U219" i="21"/>
  <c r="V219" i="21" s="1"/>
  <c r="U211" i="21"/>
  <c r="T211" i="21"/>
  <c r="X211" i="21"/>
  <c r="U217" i="21"/>
  <c r="U220" i="21"/>
  <c r="T217" i="21"/>
  <c r="T220" i="21"/>
  <c r="W220" i="21"/>
  <c r="F220" i="21"/>
  <c r="F217" i="21"/>
  <c r="T210" i="21"/>
  <c r="X210" i="21"/>
  <c r="W210" i="21"/>
  <c r="U210" i="21"/>
  <c r="AB78" i="21"/>
  <c r="AB14" i="21"/>
  <c r="AK14" i="21"/>
  <c r="AK13" i="21"/>
  <c r="T215" i="21"/>
  <c r="U215" i="21"/>
  <c r="W215" i="21"/>
  <c r="X215" i="21"/>
  <c r="T225" i="21"/>
  <c r="U225" i="21"/>
  <c r="W225" i="21"/>
  <c r="X225" i="21"/>
  <c r="T45" i="21"/>
  <c r="X45" i="21"/>
  <c r="W45" i="21"/>
  <c r="U45" i="21"/>
  <c r="W221" i="21"/>
  <c r="X221" i="21"/>
  <c r="T221" i="21"/>
  <c r="U221" i="21"/>
  <c r="F210" i="21"/>
  <c r="F221" i="21"/>
  <c r="AE78" i="21"/>
  <c r="AH12" i="21"/>
  <c r="AE14" i="21"/>
  <c r="AH14" i="21"/>
  <c r="AK12" i="21"/>
  <c r="AE13" i="21"/>
  <c r="AH13" i="21"/>
  <c r="AN36" i="5"/>
  <c r="AM36" i="5"/>
  <c r="AO36" i="5" s="1"/>
  <c r="AK36" i="5"/>
  <c r="AJ36" i="5"/>
  <c r="AI36" i="5"/>
  <c r="AH36" i="5"/>
  <c r="AH45" i="5" s="1"/>
  <c r="AN25" i="5"/>
  <c r="AM25" i="5"/>
  <c r="AK25" i="5"/>
  <c r="AJ25" i="5"/>
  <c r="AI25" i="5"/>
  <c r="AH25" i="5"/>
  <c r="AM10" i="5"/>
  <c r="AN10" i="5"/>
  <c r="AM11" i="5"/>
  <c r="AN11" i="5"/>
  <c r="AM12" i="5"/>
  <c r="AN12" i="5"/>
  <c r="AM13" i="5"/>
  <c r="AN13" i="5"/>
  <c r="AK9" i="5"/>
  <c r="AH10" i="5"/>
  <c r="AI10" i="5"/>
  <c r="AJ10" i="5"/>
  <c r="AK10" i="5"/>
  <c r="AH11" i="5"/>
  <c r="AI11" i="5"/>
  <c r="AJ11" i="5"/>
  <c r="AK11" i="5"/>
  <c r="AH12" i="5"/>
  <c r="AI12" i="5"/>
  <c r="AJ12" i="5"/>
  <c r="AK12" i="5"/>
  <c r="AH13" i="5"/>
  <c r="AI13" i="5"/>
  <c r="AJ13" i="5"/>
  <c r="AK13" i="5"/>
  <c r="AH9" i="5"/>
  <c r="AG34" i="5"/>
  <c r="AG23" i="5"/>
  <c r="AI9" i="5"/>
  <c r="AJ9" i="5"/>
  <c r="AM9" i="5"/>
  <c r="AN9" i="5"/>
  <c r="AO9" i="5" l="1"/>
  <c r="D16" i="36"/>
  <c r="I32" i="13"/>
  <c r="F16" i="36"/>
  <c r="C15" i="36"/>
  <c r="I39" i="14"/>
  <c r="Y220" i="21"/>
  <c r="AO13" i="5"/>
  <c r="AO10" i="5"/>
  <c r="AO11" i="5"/>
  <c r="AI34" i="5"/>
  <c r="AO12" i="5"/>
  <c r="AL12" i="5"/>
  <c r="D23" i="36"/>
  <c r="C23" i="36"/>
  <c r="E23" i="36"/>
  <c r="B24" i="36"/>
  <c r="F23" i="36"/>
  <c r="AN225" i="21"/>
  <c r="AN220" i="21"/>
  <c r="AN222" i="21"/>
  <c r="AN216" i="21"/>
  <c r="AN228" i="21"/>
  <c r="AN217" i="21"/>
  <c r="AN224" i="21"/>
  <c r="AN223" i="21"/>
  <c r="AN219" i="21"/>
  <c r="AN221" i="21"/>
  <c r="AN227" i="21"/>
  <c r="AN226" i="21"/>
  <c r="Y219" i="21"/>
  <c r="V218" i="21"/>
  <c r="Y228" i="21"/>
  <c r="Y213" i="21"/>
  <c r="Y218" i="21"/>
  <c r="V214" i="21"/>
  <c r="Y217" i="21"/>
  <c r="V212" i="21"/>
  <c r="Y224" i="21"/>
  <c r="Y214" i="21"/>
  <c r="V223" i="21"/>
  <c r="Y79" i="21"/>
  <c r="Y212" i="21"/>
  <c r="Y223" i="21"/>
  <c r="AQ229" i="21"/>
  <c r="AO229" i="21"/>
  <c r="Y211" i="21"/>
  <c r="AP229" i="21"/>
  <c r="V211" i="21"/>
  <c r="Y216" i="21"/>
  <c r="V227" i="21"/>
  <c r="Y222" i="21"/>
  <c r="V79" i="21"/>
  <c r="Y210" i="21"/>
  <c r="V216" i="21"/>
  <c r="V217" i="21"/>
  <c r="V222" i="21"/>
  <c r="AD210" i="21"/>
  <c r="AA212" i="21"/>
  <c r="AC212" i="21" s="1"/>
  <c r="AG210" i="21"/>
  <c r="AJ210" i="21"/>
  <c r="AA211" i="21"/>
  <c r="AC211" i="21" s="1"/>
  <c r="AA210" i="21"/>
  <c r="AJ212" i="21"/>
  <c r="AL212" i="21" s="1"/>
  <c r="AD211" i="21"/>
  <c r="AF211" i="21" s="1"/>
  <c r="AG211" i="21"/>
  <c r="AI211" i="21" s="1"/>
  <c r="AJ211" i="21"/>
  <c r="AL211" i="21" s="1"/>
  <c r="AD212" i="21"/>
  <c r="AF212" i="21" s="1"/>
  <c r="AG212" i="21"/>
  <c r="AI212" i="21" s="1"/>
  <c r="AK60" i="21"/>
  <c r="AH314" i="21"/>
  <c r="AH214" i="21"/>
  <c r="AE161" i="21"/>
  <c r="AH159" i="21"/>
  <c r="AE150" i="21"/>
  <c r="AH192" i="21"/>
  <c r="AB162" i="21"/>
  <c r="AH149" i="21"/>
  <c r="AH383" i="21"/>
  <c r="AK359" i="21"/>
  <c r="AE349" i="21"/>
  <c r="AH217" i="21"/>
  <c r="AE225" i="21"/>
  <c r="AK156" i="21"/>
  <c r="AB154" i="21"/>
  <c r="AE151" i="21"/>
  <c r="AK148" i="21"/>
  <c r="AE347" i="21"/>
  <c r="AE250" i="21"/>
  <c r="AH158" i="21"/>
  <c r="AB153" i="21"/>
  <c r="AE222" i="21"/>
  <c r="AE226" i="21"/>
  <c r="AB357" i="21"/>
  <c r="AB151" i="21"/>
  <c r="AK154" i="21"/>
  <c r="AH157" i="21"/>
  <c r="AK314" i="21"/>
  <c r="AH156" i="21"/>
  <c r="AE181" i="21"/>
  <c r="AB325" i="21"/>
  <c r="AH148" i="21"/>
  <c r="AK289" i="21"/>
  <c r="AH218" i="21"/>
  <c r="AK160" i="21"/>
  <c r="AK193" i="21"/>
  <c r="AB213" i="21"/>
  <c r="AE158" i="21"/>
  <c r="AB285" i="21"/>
  <c r="AB392" i="21"/>
  <c r="AB155" i="21"/>
  <c r="AE180" i="21"/>
  <c r="AH224" i="21"/>
  <c r="AH257" i="21"/>
  <c r="AK249" i="21"/>
  <c r="AE290" i="21"/>
  <c r="AE315" i="21"/>
  <c r="AE356" i="21"/>
  <c r="AK287" i="21"/>
  <c r="AE320" i="21"/>
  <c r="AH389" i="21"/>
  <c r="AB350" i="21"/>
  <c r="AB215" i="21"/>
  <c r="AK355" i="21"/>
  <c r="AB391" i="21"/>
  <c r="AE378" i="21"/>
  <c r="AE261" i="21"/>
  <c r="AH294" i="21"/>
  <c r="AE185" i="21"/>
  <c r="AE159" i="21"/>
  <c r="AK258" i="21"/>
  <c r="AH152" i="21"/>
  <c r="AE254" i="21"/>
  <c r="AK186" i="21"/>
  <c r="AK221" i="21"/>
  <c r="AB246" i="21"/>
  <c r="AB150" i="21"/>
  <c r="AK392" i="21"/>
  <c r="AE384" i="21"/>
  <c r="AH147" i="21"/>
  <c r="AE188" i="21"/>
  <c r="AK180" i="21"/>
  <c r="AB216" i="21"/>
  <c r="AB323" i="21"/>
  <c r="AH348" i="21"/>
  <c r="AK257" i="21"/>
  <c r="AH320" i="21"/>
  <c r="AE389" i="21"/>
  <c r="AH292" i="21"/>
  <c r="AE195" i="21"/>
  <c r="AH223" i="21"/>
  <c r="AE248" i="21"/>
  <c r="AH289" i="21"/>
  <c r="AB281" i="21"/>
  <c r="AK322" i="21"/>
  <c r="AH251" i="21"/>
  <c r="AE325" i="21"/>
  <c r="AK184" i="21"/>
  <c r="AH228" i="21"/>
  <c r="AH246" i="21"/>
  <c r="AK162" i="21"/>
  <c r="AB255" i="21"/>
  <c r="AE213" i="21"/>
  <c r="AK246" i="21"/>
  <c r="AB152" i="21"/>
  <c r="AK155" i="21"/>
  <c r="AK224" i="21"/>
  <c r="AE257" i="21"/>
  <c r="AH249" i="21"/>
  <c r="AB290" i="21"/>
  <c r="AE323" i="21"/>
  <c r="AE190" i="21"/>
  <c r="AK358" i="21"/>
  <c r="AK386" i="21"/>
  <c r="AH287" i="21"/>
  <c r="AH345" i="21"/>
  <c r="AK381" i="21"/>
  <c r="AE292" i="21"/>
  <c r="AE215" i="21"/>
  <c r="AK281" i="21"/>
  <c r="AB322" i="21"/>
  <c r="AB355" i="21"/>
  <c r="AK391" i="21"/>
  <c r="AE383" i="21"/>
  <c r="AK158" i="21"/>
  <c r="AB378" i="21"/>
  <c r="AB261" i="21"/>
  <c r="AK253" i="21"/>
  <c r="AB294" i="21"/>
  <c r="AB286" i="21"/>
  <c r="AB319" i="21"/>
  <c r="AK360" i="21"/>
  <c r="AK388" i="21"/>
  <c r="AE380" i="21"/>
  <c r="AH353" i="21"/>
  <c r="AH226" i="21"/>
  <c r="AK259" i="21"/>
  <c r="AH181" i="21"/>
  <c r="AK217" i="21"/>
  <c r="AB185" i="21"/>
  <c r="AB360" i="21"/>
  <c r="AH247" i="21"/>
  <c r="AH193" i="21"/>
  <c r="AB221" i="21"/>
  <c r="AB183" i="21"/>
  <c r="AB384" i="21"/>
  <c r="AB254" i="21"/>
  <c r="AH155" i="21"/>
  <c r="AE147" i="21"/>
  <c r="AB188" i="21"/>
  <c r="AH180" i="21"/>
  <c r="AE216" i="21"/>
  <c r="AK290" i="21"/>
  <c r="AH282" i="21"/>
  <c r="AK356" i="21"/>
  <c r="AE279" i="21"/>
  <c r="AH386" i="21"/>
  <c r="AE287" i="21"/>
  <c r="AH350" i="21"/>
  <c r="AB195" i="21"/>
  <c r="AE187" i="21"/>
  <c r="AK223" i="21"/>
  <c r="AK248" i="21"/>
  <c r="AH355" i="21"/>
  <c r="AB347" i="21"/>
  <c r="AH150" i="21"/>
  <c r="AK159" i="21"/>
  <c r="AE322" i="21"/>
  <c r="AE251" i="21"/>
  <c r="AK378" i="21"/>
  <c r="AE192" i="21"/>
  <c r="AH184" i="21"/>
  <c r="AK228" i="21"/>
  <c r="AK185" i="21"/>
  <c r="AK385" i="21"/>
  <c r="AE152" i="21"/>
  <c r="AH160" i="21"/>
  <c r="AH213" i="21"/>
  <c r="AH392" i="21"/>
  <c r="AK147" i="21"/>
  <c r="AK188" i="21"/>
  <c r="AB224" i="21"/>
  <c r="AB257" i="21"/>
  <c r="AE182" i="21"/>
  <c r="AE149" i="21"/>
  <c r="AH189" i="21"/>
  <c r="AB161" i="21"/>
  <c r="AK213" i="21"/>
  <c r="AH260" i="21"/>
  <c r="AE392" i="21"/>
  <c r="AH384" i="21"/>
  <c r="AB147" i="21"/>
  <c r="AE224" i="21"/>
  <c r="AB249" i="21"/>
  <c r="AH290" i="21"/>
  <c r="AB282" i="21"/>
  <c r="AB315" i="21"/>
  <c r="AH356" i="21"/>
  <c r="AK348" i="21"/>
  <c r="AK279" i="21"/>
  <c r="AK190" i="21"/>
  <c r="AB320" i="21"/>
  <c r="AB345" i="21"/>
  <c r="AK389" i="21"/>
  <c r="AK350" i="21"/>
  <c r="AK215" i="21"/>
  <c r="AE391" i="21"/>
  <c r="AK325" i="21"/>
  <c r="AH378" i="21"/>
  <c r="AE253" i="21"/>
  <c r="AK294" i="21"/>
  <c r="AH286" i="21"/>
  <c r="AK327" i="21"/>
  <c r="AE388" i="21"/>
  <c r="AB156" i="21"/>
  <c r="AK319" i="21"/>
  <c r="AK353" i="21"/>
  <c r="AB226" i="21"/>
  <c r="AB181" i="21"/>
  <c r="AK225" i="21"/>
  <c r="AH185" i="21"/>
  <c r="AK152" i="21"/>
  <c r="AH254" i="21"/>
  <c r="AH221" i="21"/>
  <c r="AE282" i="21"/>
  <c r="AH358" i="21"/>
  <c r="AB292" i="21"/>
  <c r="AK187" i="21"/>
  <c r="AH322" i="21"/>
  <c r="AH347" i="21"/>
  <c r="AH220" i="21"/>
  <c r="AE286" i="21"/>
  <c r="AH327" i="21"/>
  <c r="AH352" i="21"/>
  <c r="AB157" i="21"/>
  <c r="AK250" i="21"/>
  <c r="AB291" i="21"/>
  <c r="AH283" i="21"/>
  <c r="AB324" i="21"/>
  <c r="AK349" i="21"/>
  <c r="AB385" i="21"/>
  <c r="AK150" i="21"/>
  <c r="AH162" i="21"/>
  <c r="AB256" i="21"/>
  <c r="AB182" i="21"/>
  <c r="AK222" i="21"/>
  <c r="AK288" i="21"/>
  <c r="AE354" i="21"/>
  <c r="AH390" i="21"/>
  <c r="AE156" i="21"/>
  <c r="AK312" i="21"/>
  <c r="AB218" i="21"/>
  <c r="AK194" i="21"/>
  <c r="AE247" i="21"/>
  <c r="AB260" i="21"/>
  <c r="AH252" i="21"/>
  <c r="AB293" i="21"/>
  <c r="AH326" i="21"/>
  <c r="AB318" i="21"/>
  <c r="AK153" i="21"/>
  <c r="AB180" i="21"/>
  <c r="AK384" i="21"/>
  <c r="AE386" i="21"/>
  <c r="AK195" i="21"/>
  <c r="AB289" i="21"/>
  <c r="AH325" i="21"/>
  <c r="AK192" i="21"/>
  <c r="AE360" i="21"/>
  <c r="AK352" i="21"/>
  <c r="AB380" i="21"/>
  <c r="AB259" i="21"/>
  <c r="AH250" i="21"/>
  <c r="AB316" i="21"/>
  <c r="AE393" i="21"/>
  <c r="AH385" i="21"/>
  <c r="AH190" i="21"/>
  <c r="AH182" i="21"/>
  <c r="AK214" i="21"/>
  <c r="AH255" i="21"/>
  <c r="AE288" i="21"/>
  <c r="AK280" i="21"/>
  <c r="AB382" i="21"/>
  <c r="AE317" i="21"/>
  <c r="AH186" i="21"/>
  <c r="AK191" i="21"/>
  <c r="AE227" i="21"/>
  <c r="AK326" i="21"/>
  <c r="AH318" i="21"/>
  <c r="AE160" i="21"/>
  <c r="AK216" i="21"/>
  <c r="AB348" i="21"/>
  <c r="AB389" i="21"/>
  <c r="AH195" i="21"/>
  <c r="AH256" i="21"/>
  <c r="AH281" i="21"/>
  <c r="AK383" i="21"/>
  <c r="AE162" i="21"/>
  <c r="AE184" i="21"/>
  <c r="AH188" i="21"/>
  <c r="AB223" i="21"/>
  <c r="AB383" i="21"/>
  <c r="AE228" i="21"/>
  <c r="AE352" i="21"/>
  <c r="AB388" i="21"/>
  <c r="AE154" i="21"/>
  <c r="AE189" i="21"/>
  <c r="AK291" i="21"/>
  <c r="AE283" i="21"/>
  <c r="AE316" i="21"/>
  <c r="AK357" i="21"/>
  <c r="AH153" i="21"/>
  <c r="AE220" i="21"/>
  <c r="AK182" i="21"/>
  <c r="AB222" i="21"/>
  <c r="AE255" i="21"/>
  <c r="AE280" i="21"/>
  <c r="AH321" i="21"/>
  <c r="AE390" i="21"/>
  <c r="AH154" i="21"/>
  <c r="AE223" i="21"/>
  <c r="AB312" i="21"/>
  <c r="AK284" i="21"/>
  <c r="AB186" i="21"/>
  <c r="AH227" i="21"/>
  <c r="AE219" i="21"/>
  <c r="AE293" i="21"/>
  <c r="AE351" i="21"/>
  <c r="AK387" i="21"/>
  <c r="AH191" i="21"/>
  <c r="AH222" i="21"/>
  <c r="AE183" i="21"/>
  <c r="AB359" i="21"/>
  <c r="AK354" i="21"/>
  <c r="AB160" i="21"/>
  <c r="AB356" i="21"/>
  <c r="AH381" i="21"/>
  <c r="AB314" i="21"/>
  <c r="AK251" i="21"/>
  <c r="AK261" i="21"/>
  <c r="AB352" i="21"/>
  <c r="AB158" i="21"/>
  <c r="AB252" i="21"/>
  <c r="AB189" i="21"/>
  <c r="AB225" i="21"/>
  <c r="AB258" i="21"/>
  <c r="AH291" i="21"/>
  <c r="AH324" i="21"/>
  <c r="AH316" i="21"/>
  <c r="AB280" i="21"/>
  <c r="AH354" i="21"/>
  <c r="AH346" i="21"/>
  <c r="AE157" i="21"/>
  <c r="AE312" i="21"/>
  <c r="AH284" i="21"/>
  <c r="AK317" i="21"/>
  <c r="AB194" i="21"/>
  <c r="AH359" i="21"/>
  <c r="AB351" i="21"/>
  <c r="AH387" i="21"/>
  <c r="AH285" i="21"/>
  <c r="AK379" i="21"/>
  <c r="AB193" i="21"/>
  <c r="AK282" i="21"/>
  <c r="AE348" i="21"/>
  <c r="AB251" i="21"/>
  <c r="AE381" i="21"/>
  <c r="AE350" i="21"/>
  <c r="AE256" i="21"/>
  <c r="AE314" i="21"/>
  <c r="AK220" i="21"/>
  <c r="AH261" i="21"/>
  <c r="AK189" i="21"/>
  <c r="AB250" i="21"/>
  <c r="AH349" i="21"/>
  <c r="AB393" i="21"/>
  <c r="AB214" i="21"/>
  <c r="AK321" i="21"/>
  <c r="AE346" i="21"/>
  <c r="AE382" i="21"/>
  <c r="AB253" i="21"/>
  <c r="AE218" i="21"/>
  <c r="AE284" i="21"/>
  <c r="AB247" i="21"/>
  <c r="AK183" i="21"/>
  <c r="AK227" i="21"/>
  <c r="AK260" i="21"/>
  <c r="AB326" i="21"/>
  <c r="AK318" i="21"/>
  <c r="AE359" i="21"/>
  <c r="AK351" i="21"/>
  <c r="AE379" i="21"/>
  <c r="AB227" i="21"/>
  <c r="AE193" i="21"/>
  <c r="AE358" i="21"/>
  <c r="AB287" i="21"/>
  <c r="AK292" i="21"/>
  <c r="AB248" i="21"/>
  <c r="AE355" i="21"/>
  <c r="AB220" i="21"/>
  <c r="AE294" i="21"/>
  <c r="AH360" i="21"/>
  <c r="AK226" i="21"/>
  <c r="AB283" i="21"/>
  <c r="AE385" i="21"/>
  <c r="AB159" i="21"/>
  <c r="AH280" i="21"/>
  <c r="AB390" i="21"/>
  <c r="AK256" i="21"/>
  <c r="AK247" i="21"/>
  <c r="AH219" i="21"/>
  <c r="AB379" i="21"/>
  <c r="AK316" i="21"/>
  <c r="AE221" i="21"/>
  <c r="AH216" i="21"/>
  <c r="AK323" i="21"/>
  <c r="AB279" i="21"/>
  <c r="AB358" i="21"/>
  <c r="AH248" i="21"/>
  <c r="AK347" i="21"/>
  <c r="AE153" i="21"/>
  <c r="AH253" i="21"/>
  <c r="AK286" i="21"/>
  <c r="AH380" i="21"/>
  <c r="AB148" i="21"/>
  <c r="AB217" i="21"/>
  <c r="AK283" i="21"/>
  <c r="AK324" i="21"/>
  <c r="AH357" i="21"/>
  <c r="AB349" i="21"/>
  <c r="AE214" i="21"/>
  <c r="AH288" i="21"/>
  <c r="AE313" i="21"/>
  <c r="AB354" i="21"/>
  <c r="AK390" i="21"/>
  <c r="AK382" i="21"/>
  <c r="AE148" i="21"/>
  <c r="AK161" i="21"/>
  <c r="AH312" i="21"/>
  <c r="AB284" i="21"/>
  <c r="AH194" i="21"/>
  <c r="AH183" i="21"/>
  <c r="AK252" i="21"/>
  <c r="AK285" i="21"/>
  <c r="AE326" i="21"/>
  <c r="AE387" i="21"/>
  <c r="AH215" i="21"/>
  <c r="AK255" i="21"/>
  <c r="AH313" i="21"/>
  <c r="AE327" i="21"/>
  <c r="AB317" i="21"/>
  <c r="AE246" i="21"/>
  <c r="AH323" i="21"/>
  <c r="AH279" i="21"/>
  <c r="AB386" i="21"/>
  <c r="AK320" i="21"/>
  <c r="AE289" i="21"/>
  <c r="AH161" i="21"/>
  <c r="AB327" i="21"/>
  <c r="AK380" i="21"/>
  <c r="AK149" i="21"/>
  <c r="AE259" i="21"/>
  <c r="AK181" i="21"/>
  <c r="AE217" i="21"/>
  <c r="AE324" i="21"/>
  <c r="AE357" i="21"/>
  <c r="AB346" i="21"/>
  <c r="AK219" i="21"/>
  <c r="AE186" i="21"/>
  <c r="AH391" i="21"/>
  <c r="AH259" i="21"/>
  <c r="AH258" i="21"/>
  <c r="AB387" i="21"/>
  <c r="AK254" i="21"/>
  <c r="AE155" i="21"/>
  <c r="AE319" i="21"/>
  <c r="AE258" i="21"/>
  <c r="AB228" i="21"/>
  <c r="AB288" i="21"/>
  <c r="AH151" i="21"/>
  <c r="AH319" i="21"/>
  <c r="AE194" i="21"/>
  <c r="AE291" i="21"/>
  <c r="AK393" i="21"/>
  <c r="AB381" i="21"/>
  <c r="AB321" i="21"/>
  <c r="AH382" i="21"/>
  <c r="AH317" i="21"/>
  <c r="AE191" i="21"/>
  <c r="AK293" i="21"/>
  <c r="AH351" i="21"/>
  <c r="AH388" i="21"/>
  <c r="AK151" i="21"/>
  <c r="AE260" i="21"/>
  <c r="AE318" i="21"/>
  <c r="AK346" i="21"/>
  <c r="AE249" i="21"/>
  <c r="AK157" i="21"/>
  <c r="AB192" i="21"/>
  <c r="AH393" i="21"/>
  <c r="AE321" i="21"/>
  <c r="AK218" i="21"/>
  <c r="AB191" i="21"/>
  <c r="AH293" i="21"/>
  <c r="AH379" i="21"/>
  <c r="AH315" i="21"/>
  <c r="AB187" i="21"/>
  <c r="AK313" i="21"/>
  <c r="AE285" i="21"/>
  <c r="AB184" i="21"/>
  <c r="AH225" i="21"/>
  <c r="AH187" i="21"/>
  <c r="AK315" i="21"/>
  <c r="AK345" i="21"/>
  <c r="AE353" i="21"/>
  <c r="AB313" i="21"/>
  <c r="AB190" i="21"/>
  <c r="AE345" i="21"/>
  <c r="AE281" i="21"/>
  <c r="AB353" i="21"/>
  <c r="AB149" i="21"/>
  <c r="AB219" i="21"/>
  <c r="AE252" i="21"/>
  <c r="V45" i="21"/>
  <c r="V220" i="21"/>
  <c r="Y225" i="21"/>
  <c r="V221" i="21"/>
  <c r="AB61" i="21"/>
  <c r="AH62" i="21"/>
  <c r="AB50" i="21"/>
  <c r="AK50" i="21"/>
  <c r="AE49" i="21"/>
  <c r="AB90" i="21"/>
  <c r="AK90" i="21"/>
  <c r="AH90" i="21"/>
  <c r="AE90" i="21"/>
  <c r="AB84" i="21"/>
  <c r="AE84" i="21"/>
  <c r="AK84" i="21"/>
  <c r="AH84" i="21"/>
  <c r="AB59" i="21"/>
  <c r="AB52" i="21"/>
  <c r="AE60" i="21"/>
  <c r="Y215" i="21"/>
  <c r="AE61" i="21"/>
  <c r="AK91" i="21"/>
  <c r="AE91" i="21"/>
  <c r="AB91" i="21"/>
  <c r="AH91" i="21"/>
  <c r="AK54" i="21"/>
  <c r="AK55" i="21"/>
  <c r="AE50" i="21"/>
  <c r="AE48" i="21"/>
  <c r="AB92" i="21"/>
  <c r="AE92" i="21"/>
  <c r="AK92" i="21"/>
  <c r="AH92" i="21"/>
  <c r="AE52" i="21"/>
  <c r="AE53" i="21"/>
  <c r="AB56" i="21"/>
  <c r="AH57" i="21"/>
  <c r="V215" i="21"/>
  <c r="AK46" i="21"/>
  <c r="AH46" i="21"/>
  <c r="AB46" i="21"/>
  <c r="AE46" i="21"/>
  <c r="AE54" i="21"/>
  <c r="AK62" i="21"/>
  <c r="AB63" i="21"/>
  <c r="AH48" i="21"/>
  <c r="AK56" i="21"/>
  <c r="AH49" i="21"/>
  <c r="AK57" i="21"/>
  <c r="V210" i="21"/>
  <c r="AB51" i="21"/>
  <c r="AB60" i="21"/>
  <c r="AB94" i="21"/>
  <c r="AK94" i="21"/>
  <c r="AH94" i="21"/>
  <c r="AE94" i="21"/>
  <c r="AB55" i="21"/>
  <c r="AH60" i="21"/>
  <c r="Y221" i="21"/>
  <c r="Y45" i="21"/>
  <c r="V225" i="21"/>
  <c r="AK53" i="21"/>
  <c r="AH61" i="21"/>
  <c r="AB58" i="21"/>
  <c r="AH54" i="21"/>
  <c r="AE62" i="21"/>
  <c r="AB47" i="21"/>
  <c r="AK47" i="21"/>
  <c r="AH47" i="21"/>
  <c r="AE47" i="21"/>
  <c r="AE55" i="21"/>
  <c r="AK89" i="21"/>
  <c r="AE89" i="21"/>
  <c r="AB89" i="21"/>
  <c r="AH89" i="21"/>
  <c r="AE51" i="21"/>
  <c r="AE59" i="21"/>
  <c r="AK85" i="21"/>
  <c r="AE85" i="21"/>
  <c r="AB85" i="21"/>
  <c r="AH85" i="21"/>
  <c r="AE26" i="21"/>
  <c r="AB114" i="21"/>
  <c r="AK125" i="21"/>
  <c r="AK117" i="21"/>
  <c r="AB125" i="21"/>
  <c r="AB117" i="21"/>
  <c r="AE128" i="21"/>
  <c r="AE124" i="21"/>
  <c r="AE120" i="21"/>
  <c r="AE116" i="21"/>
  <c r="AB128" i="21"/>
  <c r="AB124" i="21"/>
  <c r="AB120" i="21"/>
  <c r="AB116" i="21"/>
  <c r="AB127" i="21"/>
  <c r="AB119" i="21"/>
  <c r="AE122" i="21"/>
  <c r="AE126" i="21"/>
  <c r="AE118" i="21"/>
  <c r="AE114" i="21"/>
  <c r="AK127" i="21"/>
  <c r="AK123" i="21"/>
  <c r="AK119" i="21"/>
  <c r="AK115" i="21"/>
  <c r="AH121" i="21"/>
  <c r="AH125" i="21"/>
  <c r="AH119" i="21"/>
  <c r="AK124" i="21"/>
  <c r="AB126" i="21"/>
  <c r="AH120" i="21"/>
  <c r="AE121" i="21"/>
  <c r="AH117" i="21"/>
  <c r="AK116" i="21"/>
  <c r="AH124" i="21"/>
  <c r="AK121" i="21"/>
  <c r="AH123" i="21"/>
  <c r="AK128" i="21"/>
  <c r="AK126" i="21"/>
  <c r="AH128" i="21"/>
  <c r="AB121" i="21"/>
  <c r="AE123" i="21"/>
  <c r="AK120" i="21"/>
  <c r="AH126" i="21"/>
  <c r="AE117" i="21"/>
  <c r="AH129" i="21"/>
  <c r="AH115" i="21"/>
  <c r="AB115" i="21"/>
  <c r="AK122" i="21"/>
  <c r="AK118" i="21"/>
  <c r="AE119" i="21"/>
  <c r="AK129" i="21"/>
  <c r="AK114" i="21"/>
  <c r="AB118" i="21"/>
  <c r="AE127" i="21"/>
  <c r="AB129" i="21"/>
  <c r="AH114" i="21"/>
  <c r="AH127" i="21"/>
  <c r="AB122" i="21"/>
  <c r="AH116" i="21"/>
  <c r="AE129" i="21"/>
  <c r="AH118" i="21"/>
  <c r="AE125" i="21"/>
  <c r="AB123" i="21"/>
  <c r="AE115" i="21"/>
  <c r="AH122" i="21"/>
  <c r="AH53" i="21"/>
  <c r="AK61" i="21"/>
  <c r="AK58" i="21"/>
  <c r="AB54" i="21"/>
  <c r="AK87" i="21"/>
  <c r="AE87" i="21"/>
  <c r="AB87" i="21"/>
  <c r="AH87" i="21"/>
  <c r="AH55" i="21"/>
  <c r="AE63" i="21"/>
  <c r="AH50" i="21"/>
  <c r="AB48" i="21"/>
  <c r="AB82" i="21"/>
  <c r="AK82" i="21"/>
  <c r="AH82" i="21"/>
  <c r="AE82" i="21"/>
  <c r="AB57" i="21"/>
  <c r="AH59" i="21"/>
  <c r="AK93" i="21"/>
  <c r="AE93" i="21"/>
  <c r="AB93" i="21"/>
  <c r="AH93" i="21"/>
  <c r="AB62" i="21"/>
  <c r="AK63" i="21"/>
  <c r="AB53" i="21"/>
  <c r="AH58" i="21"/>
  <c r="AE58" i="21"/>
  <c r="AK95" i="21"/>
  <c r="AE95" i="21"/>
  <c r="AB95" i="21"/>
  <c r="AH95" i="21"/>
  <c r="AB88" i="21"/>
  <c r="AE88" i="21"/>
  <c r="AK88" i="21"/>
  <c r="AH88" i="21"/>
  <c r="AH63" i="21"/>
  <c r="AK83" i="21"/>
  <c r="AE83" i="21"/>
  <c r="AB83" i="21"/>
  <c r="AH83" i="21"/>
  <c r="AK48" i="21"/>
  <c r="AK81" i="21"/>
  <c r="AE81" i="21"/>
  <c r="AB81" i="21"/>
  <c r="AH81" i="21"/>
  <c r="AE56" i="21"/>
  <c r="AB49" i="21"/>
  <c r="AE57" i="21"/>
  <c r="AH51" i="21"/>
  <c r="AH52" i="21"/>
  <c r="AB86" i="21"/>
  <c r="AK86" i="21"/>
  <c r="AH86" i="21"/>
  <c r="AE86" i="21"/>
  <c r="AB96" i="21"/>
  <c r="AE96" i="21"/>
  <c r="AK96" i="21"/>
  <c r="AH96" i="21"/>
  <c r="AH56" i="21"/>
  <c r="AK49" i="21"/>
  <c r="AK51" i="21"/>
  <c r="AK59" i="21"/>
  <c r="AK52" i="21"/>
  <c r="W229" i="21"/>
  <c r="T229" i="21"/>
  <c r="AE18" i="21"/>
  <c r="AH27" i="21"/>
  <c r="AB17" i="21"/>
  <c r="AH28" i="21"/>
  <c r="AB18" i="21"/>
  <c r="AK28" i="21"/>
  <c r="AB30" i="21"/>
  <c r="AK16" i="21"/>
  <c r="AK24" i="21"/>
  <c r="AE19" i="21"/>
  <c r="AE27" i="21"/>
  <c r="AB16" i="21"/>
  <c r="AB24" i="21"/>
  <c r="AK21" i="21"/>
  <c r="AK22" i="21"/>
  <c r="AH16" i="21"/>
  <c r="AK29" i="21"/>
  <c r="AE16" i="21"/>
  <c r="AB29" i="21"/>
  <c r="AB22" i="21"/>
  <c r="AH23" i="21"/>
  <c r="AB21" i="21"/>
  <c r="AK30" i="21"/>
  <c r="AH24" i="21"/>
  <c r="AE17" i="21"/>
  <c r="AH15" i="21"/>
  <c r="AE24" i="21"/>
  <c r="AE25" i="21"/>
  <c r="AB25" i="21"/>
  <c r="AB26" i="21"/>
  <c r="AE23" i="21"/>
  <c r="AH25" i="21"/>
  <c r="AK20" i="21"/>
  <c r="AB15" i="21"/>
  <c r="AK17" i="21"/>
  <c r="AH21" i="21"/>
  <c r="AH20" i="21"/>
  <c r="AE22" i="21"/>
  <c r="AB23" i="21"/>
  <c r="AK25" i="21"/>
  <c r="AE15" i="21"/>
  <c r="AE30" i="21"/>
  <c r="AH29" i="21"/>
  <c r="AB19" i="21"/>
  <c r="AH19" i="21"/>
  <c r="AE20" i="21"/>
  <c r="AK18" i="21"/>
  <c r="AE21" i="21"/>
  <c r="AB27" i="21"/>
  <c r="AH22" i="21"/>
  <c r="AH17" i="21"/>
  <c r="AH18" i="21"/>
  <c r="AE28" i="21"/>
  <c r="AK26" i="21"/>
  <c r="AE29" i="21"/>
  <c r="AK19" i="21"/>
  <c r="AH30" i="21"/>
  <c r="AB20" i="21"/>
  <c r="AK15" i="21"/>
  <c r="AH26" i="21"/>
  <c r="AK27" i="21"/>
  <c r="AB28" i="21"/>
  <c r="AK23" i="21"/>
  <c r="AI45" i="5"/>
  <c r="AL36" i="5"/>
  <c r="AP36" i="5" s="1"/>
  <c r="AO25" i="5"/>
  <c r="AL25" i="5"/>
  <c r="AP25" i="5" s="1"/>
  <c r="AG46" i="5"/>
  <c r="AH34" i="5"/>
  <c r="AL10" i="5"/>
  <c r="AK34" i="5"/>
  <c r="AK45" i="5"/>
  <c r="AJ45" i="5"/>
  <c r="AL13" i="5"/>
  <c r="AL11" i="5"/>
  <c r="AP11" i="5" s="1"/>
  <c r="AK23" i="5"/>
  <c r="AM23" i="5"/>
  <c r="AN23" i="5"/>
  <c r="AL9" i="5"/>
  <c r="AP9" i="5" s="1"/>
  <c r="AJ23" i="5"/>
  <c r="AH23" i="5"/>
  <c r="AI23" i="5"/>
  <c r="AJ34" i="5"/>
  <c r="C16" i="36" l="1"/>
  <c r="J39" i="14"/>
  <c r="D17" i="36"/>
  <c r="F17" i="36"/>
  <c r="J32" i="13"/>
  <c r="AP10" i="5"/>
  <c r="AP13" i="5"/>
  <c r="AO23" i="5"/>
  <c r="AP12" i="5"/>
  <c r="B25" i="36"/>
  <c r="F24" i="36"/>
  <c r="E24" i="36"/>
  <c r="D24" i="36"/>
  <c r="C24" i="36"/>
  <c r="V229" i="21"/>
  <c r="Y229" i="21"/>
  <c r="AG228" i="21"/>
  <c r="AI228" i="21" s="1"/>
  <c r="AD215" i="21"/>
  <c r="AF215" i="21" s="1"/>
  <c r="AJ223" i="21"/>
  <c r="AL223" i="21" s="1"/>
  <c r="AG216" i="21"/>
  <c r="AI216" i="21" s="1"/>
  <c r="AG221" i="21"/>
  <c r="AI221" i="21" s="1"/>
  <c r="AJ216" i="21"/>
  <c r="AL216" i="21" s="1"/>
  <c r="AJ220" i="21"/>
  <c r="AL220" i="21" s="1"/>
  <c r="AG220" i="21"/>
  <c r="AI220" i="21" s="1"/>
  <c r="AG224" i="21"/>
  <c r="AI224" i="21" s="1"/>
  <c r="AA218" i="21"/>
  <c r="AC218" i="21" s="1"/>
  <c r="AJ227" i="21"/>
  <c r="AL227" i="21" s="1"/>
  <c r="AJ217" i="21"/>
  <c r="AL217" i="21" s="1"/>
  <c r="AG219" i="21"/>
  <c r="AI219" i="21" s="1"/>
  <c r="AA223" i="21"/>
  <c r="AC223" i="21" s="1"/>
  <c r="AA220" i="21"/>
  <c r="AC220" i="21" s="1"/>
  <c r="AJ224" i="21"/>
  <c r="AL224" i="21" s="1"/>
  <c r="AD221" i="21"/>
  <c r="AF221" i="21" s="1"/>
  <c r="AJ225" i="21"/>
  <c r="AL225" i="21" s="1"/>
  <c r="AD224" i="21"/>
  <c r="AF224" i="21" s="1"/>
  <c r="AG222" i="21"/>
  <c r="AI222" i="21" s="1"/>
  <c r="AD228" i="21"/>
  <c r="AF228" i="21" s="1"/>
  <c r="AG218" i="21"/>
  <c r="AI218" i="21" s="1"/>
  <c r="AJ214" i="21"/>
  <c r="AL214" i="21" s="1"/>
  <c r="AG217" i="21"/>
  <c r="AI217" i="21" s="1"/>
  <c r="AJ228" i="21"/>
  <c r="AL228" i="21" s="1"/>
  <c r="AG213" i="21"/>
  <c r="AI213" i="21" s="1"/>
  <c r="AG215" i="21"/>
  <c r="AI215" i="21" s="1"/>
  <c r="AA226" i="21"/>
  <c r="AC226" i="21" s="1"/>
  <c r="AG214" i="21"/>
  <c r="AI214" i="21" s="1"/>
  <c r="AD222" i="21"/>
  <c r="AF222" i="21" s="1"/>
  <c r="AG223" i="21"/>
  <c r="AI223" i="21" s="1"/>
  <c r="AA221" i="21"/>
  <c r="AC221" i="21" s="1"/>
  <c r="AD216" i="21"/>
  <c r="AF216" i="21" s="1"/>
  <c r="AD220" i="21"/>
  <c r="AF220" i="21" s="1"/>
  <c r="AD227" i="21"/>
  <c r="AF227" i="21" s="1"/>
  <c r="AD225" i="21"/>
  <c r="AF225" i="21" s="1"/>
  <c r="AA228" i="21"/>
  <c r="AC228" i="21" s="1"/>
  <c r="AD214" i="21"/>
  <c r="AF214" i="21" s="1"/>
  <c r="AJ222" i="21"/>
  <c r="AL222" i="21" s="1"/>
  <c r="AA216" i="21"/>
  <c r="AC216" i="21" s="1"/>
  <c r="AG225" i="21"/>
  <c r="AI225" i="21" s="1"/>
  <c r="AA219" i="21"/>
  <c r="AC219" i="21" s="1"/>
  <c r="AA217" i="21"/>
  <c r="AC217" i="21" s="1"/>
  <c r="AA222" i="21"/>
  <c r="AC222" i="21" s="1"/>
  <c r="AA224" i="21"/>
  <c r="AC224" i="21" s="1"/>
  <c r="AD217" i="21"/>
  <c r="AF217" i="21" s="1"/>
  <c r="AA225" i="21"/>
  <c r="AC225" i="21" s="1"/>
  <c r="AD218" i="21"/>
  <c r="AF218" i="21" s="1"/>
  <c r="AJ221" i="21"/>
  <c r="AL221" i="21" s="1"/>
  <c r="AD213" i="21"/>
  <c r="AF213" i="21" s="1"/>
  <c r="AJ213" i="21"/>
  <c r="AL213" i="21" s="1"/>
  <c r="AJ215" i="21"/>
  <c r="AL215" i="21" s="1"/>
  <c r="AD223" i="21"/>
  <c r="AF223" i="21" s="1"/>
  <c r="AJ219" i="21"/>
  <c r="AL219" i="21" s="1"/>
  <c r="AG227" i="21"/>
  <c r="AI227" i="21" s="1"/>
  <c r="AD226" i="21"/>
  <c r="AF226" i="21" s="1"/>
  <c r="AA227" i="21"/>
  <c r="AC227" i="21" s="1"/>
  <c r="AA213" i="21"/>
  <c r="AC213" i="21" s="1"/>
  <c r="AA215" i="21"/>
  <c r="AC215" i="21" s="1"/>
  <c r="AG226" i="21"/>
  <c r="AI226" i="21" s="1"/>
  <c r="AA214" i="21"/>
  <c r="AC214" i="21" s="1"/>
  <c r="AJ226" i="21"/>
  <c r="AL226" i="21" s="1"/>
  <c r="AD219" i="21"/>
  <c r="AF219" i="21" s="1"/>
  <c r="AJ218" i="21"/>
  <c r="AL218" i="21" s="1"/>
  <c r="AL210" i="21"/>
  <c r="AI210" i="21"/>
  <c r="AF210" i="21"/>
  <c r="AC210" i="21"/>
  <c r="AK79" i="21"/>
  <c r="AE79" i="21"/>
  <c r="AB79" i="21"/>
  <c r="AH79" i="21"/>
  <c r="AB80" i="21"/>
  <c r="AE80" i="21"/>
  <c r="AK80" i="21"/>
  <c r="AH80" i="21"/>
  <c r="AI46" i="5"/>
  <c r="AJ46" i="5"/>
  <c r="AK46" i="5"/>
  <c r="AL23" i="5"/>
  <c r="AH46" i="5"/>
  <c r="D18" i="36" l="1"/>
  <c r="K32" i="13"/>
  <c r="F18" i="36"/>
  <c r="K39" i="14"/>
  <c r="C17" i="36"/>
  <c r="AP23" i="5"/>
  <c r="B26" i="36"/>
  <c r="C25" i="36"/>
  <c r="F25" i="36"/>
  <c r="E25" i="36"/>
  <c r="D25" i="36"/>
  <c r="AA229" i="21"/>
  <c r="AJ229" i="21"/>
  <c r="AD229" i="21"/>
  <c r="AI229" i="21"/>
  <c r="AF229" i="21"/>
  <c r="AG229" i="21"/>
  <c r="AC229" i="21"/>
  <c r="AL229" i="21"/>
  <c r="F19" i="36" l="1"/>
  <c r="L32" i="13"/>
  <c r="D19" i="36"/>
  <c r="C19" i="36" s="1"/>
  <c r="L39" i="14"/>
  <c r="C18" i="36"/>
  <c r="E26" i="36"/>
  <c r="D26" i="36"/>
  <c r="C26" i="36"/>
  <c r="F26" i="36"/>
  <c r="B27" i="36"/>
  <c r="F20" i="36" l="1"/>
  <c r="D20" i="36"/>
  <c r="C20" i="36" s="1"/>
  <c r="B28" i="36"/>
  <c r="F27" i="36"/>
  <c r="E27" i="36"/>
  <c r="D27" i="36"/>
  <c r="C27" i="36"/>
  <c r="D21" i="36" l="1"/>
  <c r="C21" i="36" s="1"/>
  <c r="F21" i="36"/>
  <c r="C28" i="36"/>
  <c r="D28" i="36"/>
  <c r="B29" i="36"/>
  <c r="F28" i="36"/>
  <c r="E28" i="36"/>
  <c r="F29" i="36" l="1"/>
  <c r="E29" i="36"/>
  <c r="D29" i="36"/>
  <c r="C29" i="36"/>
  <c r="B30" i="36"/>
  <c r="D20" i="32"/>
  <c r="B4" i="34"/>
  <c r="C3" i="34"/>
  <c r="B31" i="36" l="1"/>
  <c r="F30" i="36"/>
  <c r="E30" i="36"/>
  <c r="D30" i="36"/>
  <c r="C30" i="36"/>
  <c r="K8" i="29"/>
  <c r="C602" i="21"/>
  <c r="C603" i="21"/>
  <c r="C601" i="21"/>
  <c r="C586" i="21"/>
  <c r="C587" i="21"/>
  <c r="C585" i="21"/>
  <c r="C570" i="21"/>
  <c r="C571" i="21"/>
  <c r="C569" i="21"/>
  <c r="C554" i="21"/>
  <c r="C555" i="21"/>
  <c r="C553" i="21"/>
  <c r="C537" i="21"/>
  <c r="C522" i="21"/>
  <c r="C523" i="21"/>
  <c r="C521" i="21"/>
  <c r="C506" i="21"/>
  <c r="C507" i="21"/>
  <c r="C505" i="21"/>
  <c r="C490" i="21"/>
  <c r="C491" i="21"/>
  <c r="C489" i="21"/>
  <c r="C474" i="21"/>
  <c r="C475" i="21"/>
  <c r="C476" i="21"/>
  <c r="C473" i="21"/>
  <c r="C458" i="21"/>
  <c r="C459" i="21"/>
  <c r="C457" i="21"/>
  <c r="C442" i="21"/>
  <c r="C443" i="21"/>
  <c r="C441" i="21"/>
  <c r="C426" i="21"/>
  <c r="B16" i="37" s="1"/>
  <c r="B36" i="37" s="1"/>
  <c r="C427" i="21"/>
  <c r="B17" i="37" s="1"/>
  <c r="B37" i="37" s="1"/>
  <c r="C428" i="21"/>
  <c r="B18" i="37" s="1"/>
  <c r="B38" i="37" s="1"/>
  <c r="C425" i="21"/>
  <c r="B15" i="37" s="1"/>
  <c r="B35" i="37" s="1"/>
  <c r="BA376" i="21"/>
  <c r="BA377" i="21"/>
  <c r="BA378" i="21"/>
  <c r="BA379" i="21"/>
  <c r="BA380" i="21"/>
  <c r="BA381" i="21"/>
  <c r="BA382" i="21"/>
  <c r="BA383" i="21"/>
  <c r="BA384" i="21"/>
  <c r="BA385" i="21"/>
  <c r="BA386" i="21"/>
  <c r="BA387" i="21"/>
  <c r="BA388" i="21"/>
  <c r="BA389" i="21"/>
  <c r="BA390" i="21"/>
  <c r="BA391" i="21"/>
  <c r="BA392" i="21"/>
  <c r="BA393" i="21"/>
  <c r="BA375" i="21"/>
  <c r="AZ394" i="21"/>
  <c r="BA343" i="21"/>
  <c r="BA344" i="21"/>
  <c r="BA345" i="21"/>
  <c r="BA346" i="21"/>
  <c r="BA347" i="21"/>
  <c r="BA348" i="21"/>
  <c r="BA349" i="21"/>
  <c r="BA350" i="21"/>
  <c r="BA351" i="21"/>
  <c r="BA352" i="21"/>
  <c r="BA353" i="21"/>
  <c r="BA354" i="21"/>
  <c r="BA355" i="21"/>
  <c r="BA356" i="21"/>
  <c r="BA357" i="21"/>
  <c r="BA358" i="21"/>
  <c r="BA359" i="21"/>
  <c r="BA360" i="21"/>
  <c r="BA342" i="21"/>
  <c r="AZ361" i="21"/>
  <c r="BA310" i="21"/>
  <c r="BA311" i="21"/>
  <c r="BA312" i="21"/>
  <c r="BA313" i="21"/>
  <c r="BA314" i="21"/>
  <c r="BA315" i="21"/>
  <c r="BA316" i="21"/>
  <c r="BA317" i="21"/>
  <c r="BA318" i="21"/>
  <c r="BA319" i="21"/>
  <c r="BA320" i="21"/>
  <c r="BA321" i="21"/>
  <c r="BA322" i="21"/>
  <c r="BA323" i="21"/>
  <c r="BA324" i="21"/>
  <c r="BA325" i="21"/>
  <c r="BA326" i="21"/>
  <c r="BA327" i="21"/>
  <c r="BA309" i="21"/>
  <c r="AZ328" i="21"/>
  <c r="BA277" i="21"/>
  <c r="BA278" i="21"/>
  <c r="BA279" i="21"/>
  <c r="BA280" i="21"/>
  <c r="BA281" i="21"/>
  <c r="BA282" i="21"/>
  <c r="BA283" i="21"/>
  <c r="BA284" i="21"/>
  <c r="BA285" i="21"/>
  <c r="BA286" i="21"/>
  <c r="BA287" i="21"/>
  <c r="BA288" i="21"/>
  <c r="BA289" i="21"/>
  <c r="BA290" i="21"/>
  <c r="BA291" i="21"/>
  <c r="BA292" i="21"/>
  <c r="BA293" i="21"/>
  <c r="BA294" i="21"/>
  <c r="BA276" i="21"/>
  <c r="AZ295" i="21"/>
  <c r="BA244" i="21"/>
  <c r="BA245" i="21"/>
  <c r="BA246" i="21"/>
  <c r="BA247" i="21"/>
  <c r="BA248" i="21"/>
  <c r="BA249" i="21"/>
  <c r="BA250" i="21"/>
  <c r="BA251" i="21"/>
  <c r="BA252" i="21"/>
  <c r="BA253" i="21"/>
  <c r="BA254" i="21"/>
  <c r="BA255" i="21"/>
  <c r="BA256" i="21"/>
  <c r="BA257" i="21"/>
  <c r="BA258" i="21"/>
  <c r="BA259" i="21"/>
  <c r="BA260" i="21"/>
  <c r="BA261" i="21"/>
  <c r="BA243" i="21"/>
  <c r="AZ262" i="21"/>
  <c r="BA211" i="21"/>
  <c r="BA212" i="21"/>
  <c r="BA213" i="21"/>
  <c r="BA214" i="21"/>
  <c r="BA215" i="21"/>
  <c r="BA216" i="21"/>
  <c r="BA217" i="21"/>
  <c r="BA218" i="21"/>
  <c r="BA219" i="21"/>
  <c r="BA220" i="21"/>
  <c r="BA221" i="21"/>
  <c r="BA222" i="21"/>
  <c r="BA223" i="21"/>
  <c r="BA224" i="21"/>
  <c r="BA225" i="21"/>
  <c r="BA226" i="21"/>
  <c r="BA227" i="21"/>
  <c r="BA228" i="21"/>
  <c r="BA210" i="21"/>
  <c r="AZ229" i="21"/>
  <c r="BA192" i="21"/>
  <c r="BA178" i="21"/>
  <c r="BA179" i="21"/>
  <c r="BA180" i="21"/>
  <c r="BA181" i="21"/>
  <c r="BA182" i="21"/>
  <c r="BA183" i="21"/>
  <c r="BA184" i="21"/>
  <c r="BA185" i="21"/>
  <c r="BA186" i="21"/>
  <c r="BA187" i="21"/>
  <c r="BA188" i="21"/>
  <c r="BA189" i="21"/>
  <c r="BA190" i="21"/>
  <c r="BA191" i="21"/>
  <c r="BA193" i="21"/>
  <c r="BA194" i="21"/>
  <c r="BA195" i="21"/>
  <c r="BA177" i="21"/>
  <c r="BA149" i="21"/>
  <c r="AZ196" i="21"/>
  <c r="BA145" i="21"/>
  <c r="BA146" i="21"/>
  <c r="BA147" i="21"/>
  <c r="BA148" i="21"/>
  <c r="BA150" i="21"/>
  <c r="BA151" i="21"/>
  <c r="BA152" i="21"/>
  <c r="BA153" i="21"/>
  <c r="BA154" i="21"/>
  <c r="BA155" i="21"/>
  <c r="BA156" i="21"/>
  <c r="BA157" i="21"/>
  <c r="BA158" i="21"/>
  <c r="BA159" i="21"/>
  <c r="BA160" i="21"/>
  <c r="BA161" i="21"/>
  <c r="BA162" i="21"/>
  <c r="BA144" i="21"/>
  <c r="AZ163" i="21"/>
  <c r="BA112" i="21"/>
  <c r="BA113" i="21"/>
  <c r="BA114" i="21"/>
  <c r="BA115" i="21"/>
  <c r="BA116" i="21"/>
  <c r="BA117" i="21"/>
  <c r="BA118" i="21"/>
  <c r="BA119" i="21"/>
  <c r="BA120" i="21"/>
  <c r="BA121" i="21"/>
  <c r="BA122" i="21"/>
  <c r="BA123" i="21"/>
  <c r="BA124" i="21"/>
  <c r="BA125" i="21"/>
  <c r="BA126" i="21"/>
  <c r="BA127" i="21"/>
  <c r="BA128" i="21"/>
  <c r="BA129" i="21"/>
  <c r="BA111" i="21"/>
  <c r="AZ130" i="21"/>
  <c r="BA79" i="21"/>
  <c r="BA80" i="21"/>
  <c r="BA81" i="21"/>
  <c r="BA82" i="21"/>
  <c r="BA83" i="21"/>
  <c r="BA84" i="21"/>
  <c r="BA85" i="21"/>
  <c r="BA86" i="21"/>
  <c r="BA87" i="21"/>
  <c r="BA88" i="21"/>
  <c r="BA89" i="21"/>
  <c r="BA90" i="21"/>
  <c r="BA91" i="21"/>
  <c r="BA92" i="21"/>
  <c r="BA93" i="21"/>
  <c r="BA94" i="21"/>
  <c r="BA95" i="21"/>
  <c r="BA96" i="21"/>
  <c r="BA78" i="21"/>
  <c r="AZ97" i="21"/>
  <c r="BA49" i="21"/>
  <c r="BA46" i="21"/>
  <c r="BA47" i="21"/>
  <c r="BA48" i="21"/>
  <c r="BA50" i="21"/>
  <c r="BA51" i="21"/>
  <c r="BA52" i="21"/>
  <c r="BA53" i="21"/>
  <c r="BA54" i="21"/>
  <c r="BA55" i="21"/>
  <c r="BA56" i="21"/>
  <c r="BA57" i="21"/>
  <c r="BA58" i="21"/>
  <c r="BA59" i="21"/>
  <c r="BA60" i="21"/>
  <c r="BA61" i="21"/>
  <c r="BA62" i="21"/>
  <c r="BA63" i="21"/>
  <c r="BA45" i="21"/>
  <c r="AZ64" i="21"/>
  <c r="CJ354" i="21" l="1"/>
  <c r="CI354" i="21"/>
  <c r="CH354" i="21"/>
  <c r="CI342" i="21"/>
  <c r="CH342" i="21"/>
  <c r="CJ342" i="21"/>
  <c r="CH353" i="21"/>
  <c r="CJ353" i="21"/>
  <c r="CI353" i="21"/>
  <c r="CH345" i="21"/>
  <c r="CJ345" i="21"/>
  <c r="CI345" i="21"/>
  <c r="CJ390" i="21"/>
  <c r="CI390" i="21"/>
  <c r="CH390" i="21"/>
  <c r="CJ382" i="21"/>
  <c r="CI382" i="21"/>
  <c r="CH382" i="21"/>
  <c r="CJ360" i="21"/>
  <c r="CI360" i="21"/>
  <c r="CH360" i="21"/>
  <c r="CJ352" i="21"/>
  <c r="CI352" i="21"/>
  <c r="CH352" i="21"/>
  <c r="CJ344" i="21"/>
  <c r="CI344" i="21"/>
  <c r="CH344" i="21"/>
  <c r="CJ389" i="21"/>
  <c r="CI389" i="21"/>
  <c r="CH389" i="21"/>
  <c r="CJ381" i="21"/>
  <c r="CI381" i="21"/>
  <c r="CH381" i="21"/>
  <c r="CJ359" i="21"/>
  <c r="CI359" i="21"/>
  <c r="CH359" i="21"/>
  <c r="CJ343" i="21"/>
  <c r="CI343" i="21"/>
  <c r="CH343" i="21"/>
  <c r="CJ351" i="21"/>
  <c r="CI351" i="21"/>
  <c r="CH351" i="21"/>
  <c r="CI380" i="21"/>
  <c r="CH380" i="21"/>
  <c r="CJ380" i="21"/>
  <c r="CI388" i="21"/>
  <c r="CH388" i="21"/>
  <c r="CJ388" i="21"/>
  <c r="CI358" i="21"/>
  <c r="CH358" i="21"/>
  <c r="CJ358" i="21"/>
  <c r="CI350" i="21"/>
  <c r="CH350" i="21"/>
  <c r="CJ350" i="21"/>
  <c r="CJ387" i="21"/>
  <c r="CI387" i="21"/>
  <c r="CH387" i="21"/>
  <c r="CJ379" i="21"/>
  <c r="CI379" i="21"/>
  <c r="CH379" i="21"/>
  <c r="CJ357" i="21"/>
  <c r="CI357" i="21"/>
  <c r="CH357" i="21"/>
  <c r="CJ349" i="21"/>
  <c r="CI349" i="21"/>
  <c r="CH349" i="21"/>
  <c r="CH375" i="21"/>
  <c r="CJ375" i="21"/>
  <c r="CI375" i="21"/>
  <c r="CJ386" i="21"/>
  <c r="CI386" i="21"/>
  <c r="CH386" i="21"/>
  <c r="CJ378" i="21"/>
  <c r="CI378" i="21"/>
  <c r="CH378" i="21"/>
  <c r="CJ356" i="21"/>
  <c r="CI356" i="21"/>
  <c r="CH356" i="21"/>
  <c r="CJ348" i="21"/>
  <c r="CI348" i="21"/>
  <c r="CH348" i="21"/>
  <c r="CJ393" i="21"/>
  <c r="CI393" i="21"/>
  <c r="CH393" i="21"/>
  <c r="CJ385" i="21"/>
  <c r="CI385" i="21"/>
  <c r="CH385" i="21"/>
  <c r="CJ377" i="21"/>
  <c r="CI377" i="21"/>
  <c r="CH377" i="21"/>
  <c r="CJ347" i="21"/>
  <c r="CI347" i="21"/>
  <c r="CH347" i="21"/>
  <c r="CJ392" i="21"/>
  <c r="CI392" i="21"/>
  <c r="CH392" i="21"/>
  <c r="CJ384" i="21"/>
  <c r="CI384" i="21"/>
  <c r="CH384" i="21"/>
  <c r="CJ376" i="21"/>
  <c r="CI376" i="21"/>
  <c r="CH376" i="21"/>
  <c r="CJ355" i="21"/>
  <c r="CI355" i="21"/>
  <c r="CH355" i="21"/>
  <c r="CJ346" i="21"/>
  <c r="CI346" i="21"/>
  <c r="CH346" i="21"/>
  <c r="CH391" i="21"/>
  <c r="CJ391" i="21"/>
  <c r="CI391" i="21"/>
  <c r="CH383" i="21"/>
  <c r="CJ383" i="21"/>
  <c r="CI383" i="21"/>
  <c r="CH322" i="21"/>
  <c r="CJ322" i="21"/>
  <c r="CI322" i="21"/>
  <c r="CH314" i="21"/>
  <c r="CJ314" i="21"/>
  <c r="CI314" i="21"/>
  <c r="CJ321" i="21"/>
  <c r="CI321" i="21"/>
  <c r="CH321" i="21"/>
  <c r="CH309" i="21"/>
  <c r="CJ309" i="21"/>
  <c r="CI309" i="21"/>
  <c r="CH320" i="21"/>
  <c r="CJ320" i="21"/>
  <c r="CI320" i="21"/>
  <c r="CH312" i="21"/>
  <c r="CJ312" i="21"/>
  <c r="CI312" i="21"/>
  <c r="CJ323" i="21"/>
  <c r="CI323" i="21"/>
  <c r="CH323" i="21"/>
  <c r="CJ327" i="21"/>
  <c r="CI327" i="21"/>
  <c r="CH327" i="21"/>
  <c r="CJ319" i="21"/>
  <c r="CI319" i="21"/>
  <c r="CH319" i="21"/>
  <c r="CJ311" i="21"/>
  <c r="CI311" i="21"/>
  <c r="CH311" i="21"/>
  <c r="CH326" i="21"/>
  <c r="CJ326" i="21"/>
  <c r="CI326" i="21"/>
  <c r="CH318" i="21"/>
  <c r="CJ318" i="21"/>
  <c r="CI318" i="21"/>
  <c r="CH310" i="21"/>
  <c r="CJ310" i="21"/>
  <c r="CI310" i="21"/>
  <c r="CJ325" i="21"/>
  <c r="CI325" i="21"/>
  <c r="CH325" i="21"/>
  <c r="CJ317" i="21"/>
  <c r="CI317" i="21"/>
  <c r="CH317" i="21"/>
  <c r="CJ315" i="21"/>
  <c r="CI315" i="21"/>
  <c r="CH315" i="21"/>
  <c r="CJ313" i="21"/>
  <c r="CI313" i="21"/>
  <c r="CH313" i="21"/>
  <c r="CH324" i="21"/>
  <c r="CJ324" i="21"/>
  <c r="CI324" i="21"/>
  <c r="CH316" i="21"/>
  <c r="CJ316" i="21"/>
  <c r="CI316" i="21"/>
  <c r="D31" i="36"/>
  <c r="C31" i="36"/>
  <c r="E31" i="36"/>
  <c r="B32" i="36"/>
  <c r="F31" i="36"/>
  <c r="M8" i="29"/>
  <c r="CJ49" i="21"/>
  <c r="CI49" i="21"/>
  <c r="CH49" i="21"/>
  <c r="CJ194" i="21"/>
  <c r="CI194" i="21"/>
  <c r="CH194" i="21"/>
  <c r="CJ252" i="21"/>
  <c r="CI252" i="21"/>
  <c r="CH252" i="21"/>
  <c r="CJ61" i="21"/>
  <c r="CI61" i="21"/>
  <c r="CH61" i="21"/>
  <c r="CJ53" i="21"/>
  <c r="CI53" i="21"/>
  <c r="CH53" i="21"/>
  <c r="CI90" i="21"/>
  <c r="CH90" i="21"/>
  <c r="CJ90" i="21"/>
  <c r="CI82" i="21"/>
  <c r="CH82" i="21"/>
  <c r="CJ82" i="21"/>
  <c r="CJ127" i="21"/>
  <c r="CI127" i="21"/>
  <c r="CH127" i="21"/>
  <c r="CJ119" i="21"/>
  <c r="CI119" i="21"/>
  <c r="CH119" i="21"/>
  <c r="CJ156" i="21"/>
  <c r="CI156" i="21"/>
  <c r="CH156" i="21"/>
  <c r="CJ147" i="21"/>
  <c r="CI147" i="21"/>
  <c r="CH147" i="21"/>
  <c r="CJ193" i="21"/>
  <c r="CI193" i="21"/>
  <c r="CH193" i="21"/>
  <c r="CJ184" i="21"/>
  <c r="CI184" i="21"/>
  <c r="CH184" i="21"/>
  <c r="CJ222" i="21"/>
  <c r="CI222" i="21"/>
  <c r="CH222" i="21"/>
  <c r="CJ214" i="21"/>
  <c r="CI214" i="21"/>
  <c r="CH214" i="21"/>
  <c r="CH259" i="21"/>
  <c r="CJ259" i="21"/>
  <c r="CI259" i="21"/>
  <c r="CH251" i="21"/>
  <c r="CJ251" i="21"/>
  <c r="CI251" i="21"/>
  <c r="CJ288" i="21"/>
  <c r="CI288" i="21"/>
  <c r="CH288" i="21"/>
  <c r="CJ280" i="21"/>
  <c r="CI280" i="21"/>
  <c r="CH280" i="21"/>
  <c r="CI112" i="21"/>
  <c r="CH112" i="21"/>
  <c r="CJ112" i="21"/>
  <c r="CI60" i="21"/>
  <c r="CH60" i="21"/>
  <c r="CJ60" i="21"/>
  <c r="CI52" i="21"/>
  <c r="CH52" i="21"/>
  <c r="CJ52" i="21"/>
  <c r="CJ78" i="21"/>
  <c r="CI78" i="21"/>
  <c r="CH78" i="21"/>
  <c r="CJ89" i="21"/>
  <c r="CI89" i="21"/>
  <c r="CH89" i="21"/>
  <c r="CJ81" i="21"/>
  <c r="CI81" i="21"/>
  <c r="CH81" i="21"/>
  <c r="CJ126" i="21"/>
  <c r="CI126" i="21"/>
  <c r="CH126" i="21"/>
  <c r="CJ118" i="21"/>
  <c r="CI118" i="21"/>
  <c r="CH118" i="21"/>
  <c r="CJ155" i="21"/>
  <c r="CI155" i="21"/>
  <c r="CH155" i="21"/>
  <c r="CJ279" i="21"/>
  <c r="CI279" i="21"/>
  <c r="CH279" i="21"/>
  <c r="CJ83" i="21"/>
  <c r="CI83" i="21"/>
  <c r="CH83" i="21"/>
  <c r="CJ148" i="21"/>
  <c r="CI148" i="21"/>
  <c r="CH148" i="21"/>
  <c r="CJ223" i="21"/>
  <c r="CI223" i="21"/>
  <c r="CH223" i="21"/>
  <c r="CH289" i="21"/>
  <c r="CJ289" i="21"/>
  <c r="CI289" i="21"/>
  <c r="CJ144" i="21"/>
  <c r="CI144" i="21"/>
  <c r="CH144" i="21"/>
  <c r="CJ146" i="21"/>
  <c r="CI146" i="21"/>
  <c r="CH146" i="21"/>
  <c r="CH191" i="21"/>
  <c r="CJ191" i="21"/>
  <c r="CI191" i="21"/>
  <c r="CH183" i="21"/>
  <c r="CJ183" i="21"/>
  <c r="CI183" i="21"/>
  <c r="CI210" i="21"/>
  <c r="CH210" i="21"/>
  <c r="CJ210" i="21"/>
  <c r="CH221" i="21"/>
  <c r="CJ221" i="21"/>
  <c r="CI221" i="21"/>
  <c r="CH213" i="21"/>
  <c r="CJ213" i="21"/>
  <c r="CI213" i="21"/>
  <c r="CJ258" i="21"/>
  <c r="CI258" i="21"/>
  <c r="CH258" i="21"/>
  <c r="CJ250" i="21"/>
  <c r="CI250" i="21"/>
  <c r="CH250" i="21"/>
  <c r="CJ276" i="21"/>
  <c r="CI276" i="21"/>
  <c r="CH276" i="21"/>
  <c r="CJ287" i="21"/>
  <c r="CI287" i="21"/>
  <c r="CH287" i="21"/>
  <c r="CJ59" i="21"/>
  <c r="CI59" i="21"/>
  <c r="CH59" i="21"/>
  <c r="CJ51" i="21"/>
  <c r="CI51" i="21"/>
  <c r="CH51" i="21"/>
  <c r="CJ96" i="21"/>
  <c r="CI96" i="21"/>
  <c r="CH96" i="21"/>
  <c r="CJ88" i="21"/>
  <c r="CI88" i="21"/>
  <c r="CH88" i="21"/>
  <c r="CJ80" i="21"/>
  <c r="CI80" i="21"/>
  <c r="CH80" i="21"/>
  <c r="CJ125" i="21"/>
  <c r="CI125" i="21"/>
  <c r="CH125" i="21"/>
  <c r="CJ117" i="21"/>
  <c r="CI117" i="21"/>
  <c r="CH117" i="21"/>
  <c r="CJ162" i="21"/>
  <c r="CI162" i="21"/>
  <c r="CH162" i="21"/>
  <c r="CJ154" i="21"/>
  <c r="CI154" i="21"/>
  <c r="CH154" i="21"/>
  <c r="CH145" i="21"/>
  <c r="CJ145" i="21"/>
  <c r="CI145" i="21"/>
  <c r="CJ190" i="21"/>
  <c r="CI190" i="21"/>
  <c r="CH190" i="21"/>
  <c r="CJ182" i="21"/>
  <c r="CI182" i="21"/>
  <c r="CH182" i="21"/>
  <c r="CJ228" i="21"/>
  <c r="CI228" i="21"/>
  <c r="CH228" i="21"/>
  <c r="CJ220" i="21"/>
  <c r="CI220" i="21"/>
  <c r="CH220" i="21"/>
  <c r="CJ212" i="21"/>
  <c r="CI212" i="21"/>
  <c r="CH212" i="21"/>
  <c r="CJ257" i="21"/>
  <c r="CI257" i="21"/>
  <c r="CH257" i="21"/>
  <c r="CJ249" i="21"/>
  <c r="CI249" i="21"/>
  <c r="CH249" i="21"/>
  <c r="CI294" i="21"/>
  <c r="CH294" i="21"/>
  <c r="CJ294" i="21"/>
  <c r="CI286" i="21"/>
  <c r="CH286" i="21"/>
  <c r="CJ286" i="21"/>
  <c r="CI278" i="21"/>
  <c r="CH278" i="21"/>
  <c r="CJ278" i="21"/>
  <c r="CJ157" i="21"/>
  <c r="CI157" i="21"/>
  <c r="CH157" i="21"/>
  <c r="CH281" i="21"/>
  <c r="CJ281" i="21"/>
  <c r="CI281" i="21"/>
  <c r="CJ79" i="21"/>
  <c r="CI79" i="21"/>
  <c r="CH79" i="21"/>
  <c r="CJ227" i="21"/>
  <c r="CI227" i="21"/>
  <c r="CH227" i="21"/>
  <c r="CI248" i="21"/>
  <c r="CH248" i="21"/>
  <c r="CJ248" i="21"/>
  <c r="CJ54" i="21"/>
  <c r="CI54" i="21"/>
  <c r="CH54" i="21"/>
  <c r="CJ185" i="21"/>
  <c r="CI185" i="21"/>
  <c r="CH185" i="21"/>
  <c r="CJ95" i="21"/>
  <c r="CI95" i="21"/>
  <c r="CH95" i="21"/>
  <c r="CJ124" i="21"/>
  <c r="CI124" i="21"/>
  <c r="CH124" i="21"/>
  <c r="CH153" i="21"/>
  <c r="CJ153" i="21"/>
  <c r="CI153" i="21"/>
  <c r="CJ189" i="21"/>
  <c r="CI189" i="21"/>
  <c r="CH189" i="21"/>
  <c r="CJ181" i="21"/>
  <c r="CI181" i="21"/>
  <c r="CH181" i="21"/>
  <c r="CJ219" i="21"/>
  <c r="CI219" i="21"/>
  <c r="CH219" i="21"/>
  <c r="CJ211" i="21"/>
  <c r="CI211" i="21"/>
  <c r="CH211" i="21"/>
  <c r="CI256" i="21"/>
  <c r="CH256" i="21"/>
  <c r="CJ256" i="21"/>
  <c r="CJ293" i="21"/>
  <c r="CI293" i="21"/>
  <c r="CH293" i="21"/>
  <c r="CJ285" i="21"/>
  <c r="CI285" i="21"/>
  <c r="CH285" i="21"/>
  <c r="CJ277" i="21"/>
  <c r="CI277" i="21"/>
  <c r="CH277" i="21"/>
  <c r="CJ57" i="21"/>
  <c r="CI57" i="21"/>
  <c r="CH57" i="21"/>
  <c r="CJ48" i="21"/>
  <c r="CI48" i="21"/>
  <c r="CH48" i="21"/>
  <c r="CJ94" i="21"/>
  <c r="CI94" i="21"/>
  <c r="CH94" i="21"/>
  <c r="CJ86" i="21"/>
  <c r="CI86" i="21"/>
  <c r="CH86" i="21"/>
  <c r="CH123" i="21"/>
  <c r="CJ123" i="21"/>
  <c r="CI123" i="21"/>
  <c r="CH115" i="21"/>
  <c r="CJ115" i="21"/>
  <c r="CI115" i="21"/>
  <c r="CJ160" i="21"/>
  <c r="CI160" i="21"/>
  <c r="CH160" i="21"/>
  <c r="CJ152" i="21"/>
  <c r="CI152" i="21"/>
  <c r="CH152" i="21"/>
  <c r="CJ149" i="21"/>
  <c r="CI149" i="21"/>
  <c r="CH149" i="21"/>
  <c r="CI188" i="21"/>
  <c r="CH188" i="21"/>
  <c r="CJ188" i="21"/>
  <c r="CI180" i="21"/>
  <c r="CH180" i="21"/>
  <c r="CJ180" i="21"/>
  <c r="CI226" i="21"/>
  <c r="CH226" i="21"/>
  <c r="CJ226" i="21"/>
  <c r="CI218" i="21"/>
  <c r="CH218" i="21"/>
  <c r="CJ218" i="21"/>
  <c r="CJ255" i="21"/>
  <c r="CI255" i="21"/>
  <c r="CH255" i="21"/>
  <c r="CJ247" i="21"/>
  <c r="CI247" i="21"/>
  <c r="CH247" i="21"/>
  <c r="CJ292" i="21"/>
  <c r="CI292" i="21"/>
  <c r="CH292" i="21"/>
  <c r="CJ284" i="21"/>
  <c r="CI284" i="21"/>
  <c r="CH284" i="21"/>
  <c r="CI128" i="21"/>
  <c r="CH128" i="21"/>
  <c r="CJ128" i="21"/>
  <c r="CJ260" i="21"/>
  <c r="CI260" i="21"/>
  <c r="CH260" i="21"/>
  <c r="CJ58" i="21"/>
  <c r="CI58" i="21"/>
  <c r="CH58" i="21"/>
  <c r="CJ50" i="21"/>
  <c r="CI50" i="21"/>
  <c r="CH50" i="21"/>
  <c r="CJ87" i="21"/>
  <c r="CI87" i="21"/>
  <c r="CH87" i="21"/>
  <c r="CJ116" i="21"/>
  <c r="CI116" i="21"/>
  <c r="CH116" i="21"/>
  <c r="CH47" i="21"/>
  <c r="CJ47" i="21"/>
  <c r="CI47" i="21"/>
  <c r="CJ159" i="21"/>
  <c r="CI159" i="21"/>
  <c r="CH159" i="21"/>
  <c r="CJ283" i="21"/>
  <c r="CI283" i="21"/>
  <c r="CH283" i="21"/>
  <c r="CJ62" i="21"/>
  <c r="CI62" i="21"/>
  <c r="CH62" i="21"/>
  <c r="CI120" i="21"/>
  <c r="CH120" i="21"/>
  <c r="CJ120" i="21"/>
  <c r="CJ192" i="21"/>
  <c r="CI192" i="21"/>
  <c r="CH192" i="21"/>
  <c r="CJ244" i="21"/>
  <c r="CI244" i="21"/>
  <c r="CH244" i="21"/>
  <c r="CH161" i="21"/>
  <c r="CJ161" i="21"/>
  <c r="CI161" i="21"/>
  <c r="CJ45" i="21"/>
  <c r="CI45" i="21"/>
  <c r="CH45" i="21"/>
  <c r="CJ56" i="21"/>
  <c r="CI56" i="21"/>
  <c r="CH56" i="21"/>
  <c r="CH93" i="21"/>
  <c r="CJ93" i="21"/>
  <c r="CI93" i="21"/>
  <c r="CH85" i="21"/>
  <c r="CJ85" i="21"/>
  <c r="CI85" i="21"/>
  <c r="CJ111" i="21"/>
  <c r="CI111" i="21"/>
  <c r="CH111" i="21"/>
  <c r="CJ122" i="21"/>
  <c r="CI122" i="21"/>
  <c r="CH122" i="21"/>
  <c r="CJ114" i="21"/>
  <c r="CI114" i="21"/>
  <c r="CH114" i="21"/>
  <c r="CJ151" i="21"/>
  <c r="CI151" i="21"/>
  <c r="CH151" i="21"/>
  <c r="CJ177" i="21"/>
  <c r="CI177" i="21"/>
  <c r="CH177" i="21"/>
  <c r="CJ187" i="21"/>
  <c r="CI187" i="21"/>
  <c r="CH187" i="21"/>
  <c r="CJ179" i="21"/>
  <c r="CI179" i="21"/>
  <c r="CH179" i="21"/>
  <c r="CJ225" i="21"/>
  <c r="CI225" i="21"/>
  <c r="CH225" i="21"/>
  <c r="CJ217" i="21"/>
  <c r="CI217" i="21"/>
  <c r="CH217" i="21"/>
  <c r="CH243" i="21"/>
  <c r="CJ243" i="21"/>
  <c r="CI243" i="21"/>
  <c r="CJ254" i="21"/>
  <c r="CI254" i="21"/>
  <c r="CH254" i="21"/>
  <c r="CJ246" i="21"/>
  <c r="CI246" i="21"/>
  <c r="CH246" i="21"/>
  <c r="CJ291" i="21"/>
  <c r="CI291" i="21"/>
  <c r="CH291" i="21"/>
  <c r="CH63" i="21"/>
  <c r="CJ63" i="21"/>
  <c r="CI63" i="21"/>
  <c r="CH55" i="21"/>
  <c r="CJ55" i="21"/>
  <c r="CI55" i="21"/>
  <c r="CJ46" i="21"/>
  <c r="CI46" i="21"/>
  <c r="CH46" i="21"/>
  <c r="CJ92" i="21"/>
  <c r="CI92" i="21"/>
  <c r="CH92" i="21"/>
  <c r="CJ84" i="21"/>
  <c r="CI84" i="21"/>
  <c r="CH84" i="21"/>
  <c r="CJ129" i="21"/>
  <c r="CI129" i="21"/>
  <c r="CH129" i="21"/>
  <c r="CJ121" i="21"/>
  <c r="CI121" i="21"/>
  <c r="CH121" i="21"/>
  <c r="CJ113" i="21"/>
  <c r="CI113" i="21"/>
  <c r="CH113" i="21"/>
  <c r="CI158" i="21"/>
  <c r="CH158" i="21"/>
  <c r="CJ158" i="21"/>
  <c r="CI150" i="21"/>
  <c r="CH150" i="21"/>
  <c r="CJ150" i="21"/>
  <c r="CJ195" i="21"/>
  <c r="CI195" i="21"/>
  <c r="CH195" i="21"/>
  <c r="CJ186" i="21"/>
  <c r="CI186" i="21"/>
  <c r="CH186" i="21"/>
  <c r="CJ178" i="21"/>
  <c r="CI178" i="21"/>
  <c r="CH178" i="21"/>
  <c r="CJ224" i="21"/>
  <c r="CI224" i="21"/>
  <c r="CH224" i="21"/>
  <c r="CJ216" i="21"/>
  <c r="CI216" i="21"/>
  <c r="CH216" i="21"/>
  <c r="CJ261" i="21"/>
  <c r="CI261" i="21"/>
  <c r="CH261" i="21"/>
  <c r="CJ253" i="21"/>
  <c r="CI253" i="21"/>
  <c r="CH253" i="21"/>
  <c r="CJ245" i="21"/>
  <c r="CI245" i="21"/>
  <c r="CH245" i="21"/>
  <c r="CJ290" i="21"/>
  <c r="CI290" i="21"/>
  <c r="CH290" i="21"/>
  <c r="CJ282" i="21"/>
  <c r="CI282" i="21"/>
  <c r="CH282" i="21"/>
  <c r="CJ91" i="21"/>
  <c r="CI91" i="21"/>
  <c r="CH91" i="21"/>
  <c r="CJ215" i="21"/>
  <c r="CI215" i="21"/>
  <c r="CH215" i="21"/>
  <c r="BN54" i="21"/>
  <c r="BO54" i="21"/>
  <c r="BK54" i="21"/>
  <c r="BL54" i="21"/>
  <c r="BK91" i="21"/>
  <c r="BL91" i="21"/>
  <c r="BO91" i="21"/>
  <c r="BN91" i="21"/>
  <c r="BK61" i="21"/>
  <c r="BL61" i="21"/>
  <c r="BN61" i="21"/>
  <c r="BO61" i="21"/>
  <c r="BN53" i="21"/>
  <c r="BK53" i="21"/>
  <c r="BL53" i="21"/>
  <c r="BO53" i="21"/>
  <c r="BK90" i="21"/>
  <c r="BL90" i="21"/>
  <c r="BN90" i="21"/>
  <c r="BO90" i="21"/>
  <c r="BK82" i="21"/>
  <c r="BL82" i="21"/>
  <c r="BN82" i="21"/>
  <c r="BO82" i="21"/>
  <c r="BK127" i="21"/>
  <c r="BL127" i="21"/>
  <c r="BN127" i="21"/>
  <c r="BO127" i="21"/>
  <c r="BK119" i="21"/>
  <c r="BN119" i="21"/>
  <c r="BO119" i="21"/>
  <c r="BL119" i="21"/>
  <c r="BK156" i="21"/>
  <c r="BL156" i="21"/>
  <c r="BN156" i="21"/>
  <c r="BO156" i="21"/>
  <c r="BL147" i="21"/>
  <c r="BN147" i="21"/>
  <c r="BO147" i="21"/>
  <c r="BK147" i="21"/>
  <c r="BN193" i="21"/>
  <c r="BO193" i="21"/>
  <c r="BK193" i="21"/>
  <c r="BL193" i="21"/>
  <c r="BN184" i="21"/>
  <c r="BO184" i="21"/>
  <c r="BK184" i="21"/>
  <c r="BL184" i="21"/>
  <c r="BK222" i="21"/>
  <c r="BL222" i="21"/>
  <c r="BN222" i="21"/>
  <c r="BO222" i="21"/>
  <c r="BK214" i="21"/>
  <c r="BN214" i="21"/>
  <c r="BO214" i="21"/>
  <c r="BL214" i="21"/>
  <c r="BK259" i="21"/>
  <c r="BL259" i="21"/>
  <c r="BN259" i="21"/>
  <c r="BO259" i="21"/>
  <c r="BK251" i="21"/>
  <c r="BN251" i="21"/>
  <c r="BO251" i="21"/>
  <c r="BL251" i="21"/>
  <c r="BN288" i="21"/>
  <c r="BO288" i="21"/>
  <c r="BK288" i="21"/>
  <c r="BL288" i="21"/>
  <c r="BK280" i="21"/>
  <c r="BL280" i="21"/>
  <c r="BN280" i="21"/>
  <c r="BO280" i="21"/>
  <c r="BN325" i="21"/>
  <c r="BO325" i="21"/>
  <c r="BK325" i="21"/>
  <c r="BL325" i="21"/>
  <c r="BK317" i="21"/>
  <c r="BL317" i="21"/>
  <c r="BN317" i="21"/>
  <c r="BO317" i="21"/>
  <c r="BN354" i="21"/>
  <c r="BO354" i="21"/>
  <c r="BK354" i="21"/>
  <c r="BL354" i="21"/>
  <c r="BK346" i="21"/>
  <c r="BL346" i="21"/>
  <c r="BN346" i="21"/>
  <c r="BO346" i="21"/>
  <c r="BK391" i="21"/>
  <c r="BL391" i="21"/>
  <c r="BO391" i="21"/>
  <c r="BN391" i="21"/>
  <c r="BL383" i="21"/>
  <c r="BN383" i="21"/>
  <c r="BO383" i="21"/>
  <c r="BK383" i="21"/>
  <c r="BN62" i="21"/>
  <c r="BO62" i="21"/>
  <c r="BK62" i="21"/>
  <c r="BL62" i="21"/>
  <c r="BO78" i="21"/>
  <c r="BN78" i="21"/>
  <c r="BL78" i="21"/>
  <c r="BK78" i="21"/>
  <c r="BN81" i="21"/>
  <c r="BO81" i="21"/>
  <c r="BK81" i="21"/>
  <c r="BL81" i="21"/>
  <c r="BL126" i="21"/>
  <c r="BK126" i="21"/>
  <c r="BN126" i="21"/>
  <c r="BO126" i="21"/>
  <c r="BO118" i="21"/>
  <c r="BK118" i="21"/>
  <c r="BL118" i="21"/>
  <c r="BN118" i="21"/>
  <c r="BO144" i="21"/>
  <c r="BN144" i="21"/>
  <c r="BL144" i="21"/>
  <c r="BK144" i="21"/>
  <c r="BN155" i="21"/>
  <c r="BO155" i="21"/>
  <c r="BK155" i="21"/>
  <c r="BL155" i="21"/>
  <c r="BK146" i="21"/>
  <c r="BO146" i="21"/>
  <c r="BL146" i="21"/>
  <c r="BN146" i="21"/>
  <c r="BN191" i="21"/>
  <c r="BO191" i="21"/>
  <c r="BL191" i="21"/>
  <c r="BK191" i="21"/>
  <c r="BK183" i="21"/>
  <c r="BL183" i="21"/>
  <c r="BN183" i="21"/>
  <c r="BO183" i="21"/>
  <c r="BO210" i="21"/>
  <c r="BN210" i="21"/>
  <c r="BL210" i="21"/>
  <c r="BK210" i="21"/>
  <c r="BK221" i="21"/>
  <c r="BN221" i="21"/>
  <c r="BO221" i="21"/>
  <c r="BL221" i="21"/>
  <c r="BK213" i="21"/>
  <c r="BL213" i="21"/>
  <c r="BN213" i="21"/>
  <c r="BO213" i="21"/>
  <c r="BN258" i="21"/>
  <c r="BO258" i="21"/>
  <c r="BL258" i="21"/>
  <c r="BK258" i="21"/>
  <c r="BL250" i="21"/>
  <c r="BN250" i="21"/>
  <c r="BO250" i="21"/>
  <c r="BK250" i="21"/>
  <c r="BN276" i="21"/>
  <c r="BL276" i="21"/>
  <c r="BK276" i="21"/>
  <c r="BO276" i="21"/>
  <c r="BK287" i="21"/>
  <c r="BL287" i="21"/>
  <c r="BN287" i="21"/>
  <c r="BO287" i="21"/>
  <c r="BO279" i="21"/>
  <c r="BL279" i="21"/>
  <c r="BN279" i="21"/>
  <c r="BK279" i="21"/>
  <c r="BK324" i="21"/>
  <c r="BL324" i="21"/>
  <c r="BN324" i="21"/>
  <c r="BO324" i="21"/>
  <c r="BN316" i="21"/>
  <c r="BO316" i="21"/>
  <c r="BK316" i="21"/>
  <c r="BL316" i="21"/>
  <c r="BL342" i="21"/>
  <c r="BK342" i="21"/>
  <c r="BO342" i="21"/>
  <c r="BN342" i="21"/>
  <c r="BK353" i="21"/>
  <c r="BL353" i="21"/>
  <c r="BN353" i="21"/>
  <c r="BO353" i="21"/>
  <c r="BN345" i="21"/>
  <c r="BO345" i="21"/>
  <c r="BK345" i="21"/>
  <c r="BL345" i="21"/>
  <c r="BL390" i="21"/>
  <c r="BN390" i="21"/>
  <c r="BO390" i="21"/>
  <c r="BK390" i="21"/>
  <c r="BK382" i="21"/>
  <c r="BL382" i="21"/>
  <c r="BO382" i="21"/>
  <c r="BN382" i="21"/>
  <c r="BL60" i="21"/>
  <c r="BN60" i="21"/>
  <c r="BO60" i="21"/>
  <c r="BK60" i="21"/>
  <c r="BL89" i="21"/>
  <c r="BN89" i="21"/>
  <c r="BO89" i="21"/>
  <c r="BK89" i="21"/>
  <c r="BL59" i="21"/>
  <c r="BO59" i="21"/>
  <c r="BN59" i="21"/>
  <c r="BK59" i="21"/>
  <c r="BL51" i="21"/>
  <c r="BO51" i="21"/>
  <c r="BN51" i="21"/>
  <c r="BK51" i="21"/>
  <c r="BO96" i="21"/>
  <c r="BL96" i="21"/>
  <c r="BN96" i="21"/>
  <c r="BK96" i="21"/>
  <c r="BK88" i="21"/>
  <c r="BL88" i="21"/>
  <c r="BN88" i="21"/>
  <c r="BO88" i="21"/>
  <c r="BK80" i="21"/>
  <c r="BL80" i="21"/>
  <c r="BO80" i="21"/>
  <c r="BN80" i="21"/>
  <c r="BL125" i="21"/>
  <c r="BN125" i="21"/>
  <c r="BO125" i="21"/>
  <c r="BK125" i="21"/>
  <c r="BK117" i="21"/>
  <c r="BL117" i="21"/>
  <c r="BN117" i="21"/>
  <c r="BO117" i="21"/>
  <c r="BK162" i="21"/>
  <c r="BL162" i="21"/>
  <c r="BN162" i="21"/>
  <c r="BO162" i="21"/>
  <c r="BK154" i="21"/>
  <c r="BL154" i="21"/>
  <c r="BN154" i="21"/>
  <c r="BO154" i="21"/>
  <c r="BN145" i="21"/>
  <c r="BO145" i="21"/>
  <c r="BL145" i="21"/>
  <c r="BK145" i="21"/>
  <c r="BN190" i="21"/>
  <c r="BO190" i="21"/>
  <c r="BK190" i="21"/>
  <c r="BL190" i="21"/>
  <c r="BK182" i="21"/>
  <c r="BL182" i="21"/>
  <c r="BO182" i="21"/>
  <c r="BN182" i="21"/>
  <c r="BN228" i="21"/>
  <c r="BO228" i="21"/>
  <c r="BL228" i="21"/>
  <c r="BK228" i="21"/>
  <c r="BL220" i="21"/>
  <c r="BN220" i="21"/>
  <c r="BO220" i="21"/>
  <c r="BK220" i="21"/>
  <c r="BK212" i="21"/>
  <c r="BL212" i="21"/>
  <c r="BN212" i="21"/>
  <c r="BO212" i="21"/>
  <c r="BK257" i="21"/>
  <c r="BL257" i="21"/>
  <c r="BN257" i="21"/>
  <c r="BO257" i="21"/>
  <c r="BK249" i="21"/>
  <c r="BL249" i="21"/>
  <c r="BO249" i="21"/>
  <c r="BN249" i="21"/>
  <c r="BK294" i="21"/>
  <c r="BL294" i="21"/>
  <c r="BO294" i="21"/>
  <c r="BN294" i="21"/>
  <c r="BN286" i="21"/>
  <c r="BO286" i="21"/>
  <c r="BL286" i="21"/>
  <c r="BK286" i="21"/>
  <c r="BK278" i="21"/>
  <c r="BL278" i="21"/>
  <c r="BN278" i="21"/>
  <c r="BO278" i="21"/>
  <c r="BN323" i="21"/>
  <c r="BO323" i="21"/>
  <c r="BK323" i="21"/>
  <c r="BL323" i="21"/>
  <c r="BK315" i="21"/>
  <c r="BL315" i="21"/>
  <c r="BN315" i="21"/>
  <c r="BO315" i="21"/>
  <c r="BK360" i="21"/>
  <c r="BL360" i="21"/>
  <c r="BN360" i="21"/>
  <c r="BO360" i="21"/>
  <c r="BN352" i="21"/>
  <c r="BO352" i="21"/>
  <c r="BK352" i="21"/>
  <c r="BL352" i="21"/>
  <c r="BK344" i="21"/>
  <c r="BL344" i="21"/>
  <c r="BN344" i="21"/>
  <c r="BO344" i="21"/>
  <c r="BK389" i="21"/>
  <c r="BL389" i="21"/>
  <c r="BO389" i="21"/>
  <c r="BN389" i="21"/>
  <c r="BL381" i="21"/>
  <c r="BN381" i="21"/>
  <c r="BO381" i="21"/>
  <c r="BK381" i="21"/>
  <c r="BL52" i="21"/>
  <c r="BN52" i="21"/>
  <c r="BO52" i="21"/>
  <c r="BK52" i="21"/>
  <c r="BK58" i="21"/>
  <c r="BL58" i="21"/>
  <c r="BO58" i="21"/>
  <c r="BN58" i="21"/>
  <c r="BK50" i="21"/>
  <c r="BL50" i="21"/>
  <c r="BO50" i="21"/>
  <c r="BN50" i="21"/>
  <c r="BN95" i="21"/>
  <c r="BO95" i="21"/>
  <c r="BK95" i="21"/>
  <c r="BL95" i="21"/>
  <c r="BO87" i="21"/>
  <c r="BL87" i="21"/>
  <c r="BN87" i="21"/>
  <c r="BK87" i="21"/>
  <c r="BL79" i="21"/>
  <c r="BO79" i="21"/>
  <c r="BN79" i="21"/>
  <c r="BK79" i="21"/>
  <c r="BL124" i="21"/>
  <c r="BK124" i="21"/>
  <c r="BN124" i="21"/>
  <c r="BO124" i="21"/>
  <c r="BK116" i="21"/>
  <c r="BL116" i="21"/>
  <c r="BN116" i="21"/>
  <c r="BO116" i="21"/>
  <c r="BL161" i="21"/>
  <c r="BK161" i="21"/>
  <c r="BN161" i="21"/>
  <c r="BO161" i="21"/>
  <c r="BK153" i="21"/>
  <c r="BL153" i="21"/>
  <c r="BO153" i="21"/>
  <c r="BN153" i="21"/>
  <c r="BK189" i="21"/>
  <c r="BL189" i="21"/>
  <c r="BN189" i="21"/>
  <c r="BO189" i="21"/>
  <c r="BN181" i="21"/>
  <c r="BO181" i="21"/>
  <c r="BK181" i="21"/>
  <c r="BL181" i="21"/>
  <c r="BK227" i="21"/>
  <c r="BL227" i="21"/>
  <c r="BN227" i="21"/>
  <c r="BO227" i="21"/>
  <c r="BK219" i="21"/>
  <c r="BL219" i="21"/>
  <c r="BN219" i="21"/>
  <c r="BO219" i="21"/>
  <c r="BN211" i="21"/>
  <c r="BO211" i="21"/>
  <c r="BK211" i="21"/>
  <c r="BL211" i="21"/>
  <c r="BO256" i="21"/>
  <c r="BK256" i="21"/>
  <c r="BN256" i="21"/>
  <c r="BL256" i="21"/>
  <c r="BL248" i="21"/>
  <c r="BN248" i="21"/>
  <c r="BO248" i="21"/>
  <c r="BK248" i="21"/>
  <c r="BO293" i="21"/>
  <c r="BL293" i="21"/>
  <c r="BN293" i="21"/>
  <c r="BK293" i="21"/>
  <c r="BK285" i="21"/>
  <c r="BL285" i="21"/>
  <c r="BN285" i="21"/>
  <c r="BO285" i="21"/>
  <c r="BK277" i="21"/>
  <c r="BL277" i="21"/>
  <c r="BO277" i="21"/>
  <c r="BN277" i="21"/>
  <c r="BK322" i="21"/>
  <c r="BL322" i="21"/>
  <c r="BN322" i="21"/>
  <c r="BO322" i="21"/>
  <c r="BL314" i="21"/>
  <c r="BN314" i="21"/>
  <c r="BO314" i="21"/>
  <c r="BK314" i="21"/>
  <c r="BO359" i="21"/>
  <c r="BL359" i="21"/>
  <c r="BN359" i="21"/>
  <c r="BK359" i="21"/>
  <c r="BK351" i="21"/>
  <c r="BL351" i="21"/>
  <c r="BN351" i="21"/>
  <c r="BO351" i="21"/>
  <c r="BO343" i="21"/>
  <c r="BL343" i="21"/>
  <c r="BN343" i="21"/>
  <c r="BK343" i="21"/>
  <c r="BN388" i="21"/>
  <c r="BO388" i="21"/>
  <c r="BK388" i="21"/>
  <c r="BL388" i="21"/>
  <c r="BK380" i="21"/>
  <c r="BL380" i="21"/>
  <c r="BN380" i="21"/>
  <c r="BO380" i="21"/>
  <c r="BO57" i="21"/>
  <c r="BK57" i="21"/>
  <c r="BL57" i="21"/>
  <c r="BN57" i="21"/>
  <c r="BK48" i="21"/>
  <c r="BO48" i="21"/>
  <c r="BL48" i="21"/>
  <c r="BN48" i="21"/>
  <c r="BK94" i="21"/>
  <c r="BN94" i="21"/>
  <c r="BL94" i="21"/>
  <c r="BO94" i="21"/>
  <c r="BL86" i="21"/>
  <c r="BN86" i="21"/>
  <c r="BO86" i="21"/>
  <c r="BK86" i="21"/>
  <c r="BO123" i="21"/>
  <c r="BL123" i="21"/>
  <c r="BN123" i="21"/>
  <c r="BK123" i="21"/>
  <c r="BN115" i="21"/>
  <c r="BO115" i="21"/>
  <c r="BK115" i="21"/>
  <c r="BL115" i="21"/>
  <c r="BN160" i="21"/>
  <c r="BO160" i="21"/>
  <c r="BL160" i="21"/>
  <c r="BK160" i="21"/>
  <c r="BN152" i="21"/>
  <c r="BO152" i="21"/>
  <c r="BK152" i="21"/>
  <c r="BL152" i="21"/>
  <c r="BK149" i="21"/>
  <c r="BL149" i="21"/>
  <c r="BN149" i="21"/>
  <c r="BO149" i="21"/>
  <c r="BN188" i="21"/>
  <c r="BO188" i="21"/>
  <c r="BK188" i="21"/>
  <c r="BL188" i="21"/>
  <c r="BK180" i="21"/>
  <c r="BL180" i="21"/>
  <c r="BO180" i="21"/>
  <c r="BN180" i="21"/>
  <c r="BK226" i="21"/>
  <c r="BO226" i="21"/>
  <c r="BN226" i="21"/>
  <c r="BL226" i="21"/>
  <c r="BN218" i="21"/>
  <c r="BO218" i="21"/>
  <c r="BK218" i="21"/>
  <c r="BL218" i="21"/>
  <c r="BL255" i="21"/>
  <c r="BN255" i="21"/>
  <c r="BO255" i="21"/>
  <c r="BK255" i="21"/>
  <c r="BK247" i="21"/>
  <c r="BL247" i="21"/>
  <c r="BN247" i="21"/>
  <c r="BO247" i="21"/>
  <c r="BK292" i="21"/>
  <c r="BL292" i="21"/>
  <c r="BN292" i="21"/>
  <c r="BO292" i="21"/>
  <c r="BK284" i="21"/>
  <c r="BL284" i="21"/>
  <c r="BO284" i="21"/>
  <c r="BN284" i="21"/>
  <c r="BK321" i="21"/>
  <c r="BN321" i="21"/>
  <c r="BO321" i="21"/>
  <c r="BL321" i="21"/>
  <c r="BK313" i="21"/>
  <c r="BL313" i="21"/>
  <c r="BN313" i="21"/>
  <c r="BO313" i="21"/>
  <c r="BK358" i="21"/>
  <c r="BL358" i="21"/>
  <c r="BN358" i="21"/>
  <c r="BO358" i="21"/>
  <c r="BK350" i="21"/>
  <c r="BN350" i="21"/>
  <c r="BO350" i="21"/>
  <c r="BL350" i="21"/>
  <c r="BK387" i="21"/>
  <c r="BL387" i="21"/>
  <c r="BN387" i="21"/>
  <c r="BO387" i="21"/>
  <c r="BO379" i="21"/>
  <c r="BL379" i="21"/>
  <c r="BN379" i="21"/>
  <c r="BK379" i="21"/>
  <c r="BK56" i="21"/>
  <c r="BL56" i="21"/>
  <c r="BN56" i="21"/>
  <c r="BO56" i="21"/>
  <c r="BL93" i="21"/>
  <c r="BO93" i="21"/>
  <c r="BN93" i="21"/>
  <c r="BK93" i="21"/>
  <c r="BL85" i="21"/>
  <c r="BK85" i="21"/>
  <c r="BO85" i="21"/>
  <c r="BN85" i="21"/>
  <c r="BN111" i="21"/>
  <c r="BK111" i="21"/>
  <c r="BL111" i="21"/>
  <c r="BO111" i="21"/>
  <c r="BK122" i="21"/>
  <c r="BL122" i="21"/>
  <c r="BN122" i="21"/>
  <c r="BO122" i="21"/>
  <c r="BK114" i="21"/>
  <c r="BL114" i="21"/>
  <c r="BN114" i="21"/>
  <c r="BO114" i="21"/>
  <c r="BK159" i="21"/>
  <c r="BL159" i="21"/>
  <c r="BO159" i="21"/>
  <c r="BN159" i="21"/>
  <c r="BK151" i="21"/>
  <c r="BL151" i="21"/>
  <c r="BN151" i="21"/>
  <c r="BO151" i="21"/>
  <c r="BN177" i="21"/>
  <c r="BL177" i="21"/>
  <c r="BO177" i="21"/>
  <c r="BK177" i="21"/>
  <c r="BK187" i="21"/>
  <c r="BL187" i="21"/>
  <c r="BO187" i="21"/>
  <c r="BN187" i="21"/>
  <c r="BO179" i="21"/>
  <c r="BL179" i="21"/>
  <c r="BN179" i="21"/>
  <c r="BK179" i="21"/>
  <c r="BL225" i="21"/>
  <c r="BN225" i="21"/>
  <c r="BO225" i="21"/>
  <c r="BK225" i="21"/>
  <c r="BK217" i="21"/>
  <c r="BL217" i="21"/>
  <c r="BN217" i="21"/>
  <c r="BO217" i="21"/>
  <c r="BK243" i="21"/>
  <c r="BO243" i="21"/>
  <c r="BN243" i="21"/>
  <c r="BL243" i="21"/>
  <c r="BK254" i="21"/>
  <c r="BL254" i="21"/>
  <c r="BO254" i="21"/>
  <c r="BN254" i="21"/>
  <c r="BO246" i="21"/>
  <c r="BN246" i="21"/>
  <c r="BL246" i="21"/>
  <c r="BK246" i="21"/>
  <c r="BO291" i="21"/>
  <c r="BL291" i="21"/>
  <c r="BN291" i="21"/>
  <c r="BK291" i="21"/>
  <c r="BL283" i="21"/>
  <c r="BN283" i="21"/>
  <c r="BO283" i="21"/>
  <c r="BK283" i="21"/>
  <c r="BO309" i="21"/>
  <c r="BL309" i="21"/>
  <c r="BK309" i="21"/>
  <c r="BN309" i="21"/>
  <c r="BK320" i="21"/>
  <c r="BL320" i="21"/>
  <c r="BN320" i="21"/>
  <c r="BO320" i="21"/>
  <c r="BN312" i="21"/>
  <c r="BO312" i="21"/>
  <c r="BK312" i="21"/>
  <c r="BL312" i="21"/>
  <c r="BK357" i="21"/>
  <c r="BN357" i="21"/>
  <c r="BO357" i="21"/>
  <c r="BL357" i="21"/>
  <c r="BK349" i="21"/>
  <c r="BL349" i="21"/>
  <c r="BN349" i="21"/>
  <c r="BO349" i="21"/>
  <c r="BO375" i="21"/>
  <c r="BN375" i="21"/>
  <c r="BL375" i="21"/>
  <c r="BK375" i="21"/>
  <c r="BO386" i="21"/>
  <c r="BL386" i="21"/>
  <c r="BN386" i="21"/>
  <c r="BK386" i="21"/>
  <c r="BK378" i="21"/>
  <c r="BL378" i="21"/>
  <c r="BN378" i="21"/>
  <c r="BO378" i="21"/>
  <c r="BO45" i="21"/>
  <c r="BK45" i="21"/>
  <c r="BN45" i="21"/>
  <c r="BL45" i="21"/>
  <c r="BK47" i="21"/>
  <c r="BO47" i="21"/>
  <c r="BN47" i="21"/>
  <c r="BL47" i="21"/>
  <c r="BK63" i="21"/>
  <c r="BN63" i="21"/>
  <c r="BO63" i="21"/>
  <c r="BL63" i="21"/>
  <c r="BK55" i="21"/>
  <c r="BO55" i="21"/>
  <c r="BN55" i="21"/>
  <c r="BL55" i="21"/>
  <c r="BN46" i="21"/>
  <c r="BO46" i="21"/>
  <c r="BK46" i="21"/>
  <c r="BL46" i="21"/>
  <c r="BL92" i="21"/>
  <c r="BN92" i="21"/>
  <c r="BO92" i="21"/>
  <c r="BK92" i="21"/>
  <c r="BN84" i="21"/>
  <c r="BO84" i="21"/>
  <c r="BK84" i="21"/>
  <c r="BL84" i="21"/>
  <c r="BN129" i="21"/>
  <c r="BL129" i="21"/>
  <c r="BK129" i="21"/>
  <c r="BO129" i="21"/>
  <c r="BK121" i="21"/>
  <c r="BL121" i="21"/>
  <c r="BN121" i="21"/>
  <c r="BO121" i="21"/>
  <c r="BO113" i="21"/>
  <c r="BK113" i="21"/>
  <c r="BN113" i="21"/>
  <c r="BL113" i="21"/>
  <c r="BK158" i="21"/>
  <c r="BL158" i="21"/>
  <c r="BN158" i="21"/>
  <c r="BO158" i="21"/>
  <c r="BN150" i="21"/>
  <c r="BO150" i="21"/>
  <c r="BK150" i="21"/>
  <c r="BL150" i="21"/>
  <c r="BN195" i="21"/>
  <c r="BO195" i="21"/>
  <c r="BK195" i="21"/>
  <c r="BL195" i="21"/>
  <c r="BO186" i="21"/>
  <c r="BN186" i="21"/>
  <c r="BK186" i="21"/>
  <c r="BL186" i="21"/>
  <c r="BK178" i="21"/>
  <c r="BL178" i="21"/>
  <c r="BN178" i="21"/>
  <c r="BO178" i="21"/>
  <c r="BK224" i="21"/>
  <c r="BL224" i="21"/>
  <c r="BO224" i="21"/>
  <c r="BN224" i="21"/>
  <c r="BN216" i="21"/>
  <c r="BO216" i="21"/>
  <c r="BL216" i="21"/>
  <c r="BK216" i="21"/>
  <c r="BK261" i="21"/>
  <c r="BN261" i="21"/>
  <c r="BO261" i="21"/>
  <c r="BL261" i="21"/>
  <c r="BN253" i="21"/>
  <c r="BO253" i="21"/>
  <c r="BK253" i="21"/>
  <c r="BL253" i="21"/>
  <c r="BK245" i="21"/>
  <c r="BL245" i="21"/>
  <c r="BN245" i="21"/>
  <c r="BO245" i="21"/>
  <c r="BK290" i="21"/>
  <c r="BL290" i="21"/>
  <c r="BN290" i="21"/>
  <c r="BO290" i="21"/>
  <c r="BO282" i="21"/>
  <c r="BK282" i="21"/>
  <c r="BL282" i="21"/>
  <c r="BN282" i="21"/>
  <c r="BK327" i="21"/>
  <c r="BL327" i="21"/>
  <c r="BN327" i="21"/>
  <c r="BO327" i="21"/>
  <c r="BK319" i="21"/>
  <c r="BN319" i="21"/>
  <c r="BO319" i="21"/>
  <c r="BL319" i="21"/>
  <c r="BK311" i="21"/>
  <c r="BL311" i="21"/>
  <c r="BN311" i="21"/>
  <c r="BO311" i="21"/>
  <c r="BK356" i="21"/>
  <c r="BL356" i="21"/>
  <c r="BN356" i="21"/>
  <c r="BO356" i="21"/>
  <c r="BK348" i="21"/>
  <c r="BN348" i="21"/>
  <c r="BO348" i="21"/>
  <c r="BL348" i="21"/>
  <c r="BO393" i="21"/>
  <c r="BL393" i="21"/>
  <c r="BN393" i="21"/>
  <c r="BK393" i="21"/>
  <c r="BK385" i="21"/>
  <c r="BL385" i="21"/>
  <c r="BN385" i="21"/>
  <c r="BO385" i="21"/>
  <c r="BO377" i="21"/>
  <c r="BL377" i="21"/>
  <c r="BN377" i="21"/>
  <c r="BK377" i="21"/>
  <c r="BO49" i="21"/>
  <c r="BK49" i="21"/>
  <c r="BL49" i="21"/>
  <c r="BN49" i="21"/>
  <c r="BK83" i="21"/>
  <c r="BL83" i="21"/>
  <c r="BO83" i="21"/>
  <c r="BN83" i="21"/>
  <c r="BO128" i="21"/>
  <c r="BK128" i="21"/>
  <c r="BN128" i="21"/>
  <c r="BL128" i="21"/>
  <c r="BN120" i="21"/>
  <c r="BO120" i="21"/>
  <c r="BK120" i="21"/>
  <c r="BL120" i="21"/>
  <c r="BK112" i="21"/>
  <c r="BL112" i="21"/>
  <c r="BO112" i="21"/>
  <c r="BN112" i="21"/>
  <c r="BO157" i="21"/>
  <c r="BN157" i="21"/>
  <c r="BL157" i="21"/>
  <c r="BK157" i="21"/>
  <c r="BK148" i="21"/>
  <c r="BO148" i="21"/>
  <c r="BL148" i="21"/>
  <c r="BN148" i="21"/>
  <c r="BK194" i="21"/>
  <c r="BL194" i="21"/>
  <c r="BN194" i="21"/>
  <c r="BO194" i="21"/>
  <c r="BK185" i="21"/>
  <c r="BL185" i="21"/>
  <c r="BN185" i="21"/>
  <c r="BO185" i="21"/>
  <c r="BK192" i="21"/>
  <c r="BL192" i="21"/>
  <c r="BN192" i="21"/>
  <c r="BO192" i="21"/>
  <c r="BO223" i="21"/>
  <c r="BL223" i="21"/>
  <c r="BN223" i="21"/>
  <c r="BK223" i="21"/>
  <c r="BK215" i="21"/>
  <c r="BL215" i="21"/>
  <c r="BN215" i="21"/>
  <c r="BO215" i="21"/>
  <c r="BL260" i="21"/>
  <c r="BN260" i="21"/>
  <c r="BO260" i="21"/>
  <c r="BK260" i="21"/>
  <c r="BK252" i="21"/>
  <c r="BL252" i="21"/>
  <c r="BN252" i="21"/>
  <c r="BO252" i="21"/>
  <c r="BO244" i="21"/>
  <c r="BL244" i="21"/>
  <c r="BN244" i="21"/>
  <c r="BK244" i="21"/>
  <c r="BK289" i="21"/>
  <c r="BL289" i="21"/>
  <c r="BO289" i="21"/>
  <c r="BN289" i="21"/>
  <c r="BN281" i="21"/>
  <c r="BO281" i="21"/>
  <c r="BK281" i="21"/>
  <c r="BL281" i="21"/>
  <c r="BK326" i="21"/>
  <c r="BL326" i="21"/>
  <c r="BO326" i="21"/>
  <c r="BN326" i="21"/>
  <c r="BL318" i="21"/>
  <c r="BN318" i="21"/>
  <c r="BO318" i="21"/>
  <c r="BK318" i="21"/>
  <c r="BO310" i="21"/>
  <c r="BL310" i="21"/>
  <c r="BN310" i="21"/>
  <c r="BK310" i="21"/>
  <c r="BK355" i="21"/>
  <c r="BL355" i="21"/>
  <c r="BO355" i="21"/>
  <c r="BN355" i="21"/>
  <c r="BL347" i="21"/>
  <c r="BN347" i="21"/>
  <c r="BO347" i="21"/>
  <c r="BK347" i="21"/>
  <c r="BK392" i="21"/>
  <c r="BL392" i="21"/>
  <c r="BN392" i="21"/>
  <c r="BO392" i="21"/>
  <c r="BK384" i="21"/>
  <c r="BN384" i="21"/>
  <c r="BO384" i="21"/>
  <c r="BL384" i="21"/>
  <c r="BK376" i="21"/>
  <c r="BL376" i="21"/>
  <c r="BN376" i="21"/>
  <c r="BO376" i="21"/>
  <c r="AY390" i="21"/>
  <c r="CG390" i="21" s="1"/>
  <c r="AY376" i="21"/>
  <c r="AY391" i="21"/>
  <c r="CG391" i="21" s="1"/>
  <c r="AY389" i="21"/>
  <c r="CG389" i="21" s="1"/>
  <c r="AY381" i="21"/>
  <c r="BH392" i="21"/>
  <c r="BI392" i="21" s="1"/>
  <c r="BH383" i="21"/>
  <c r="BI383" i="21" s="1"/>
  <c r="AY388" i="21"/>
  <c r="CG388" i="21" s="1"/>
  <c r="BH380" i="21"/>
  <c r="BI380" i="21" s="1"/>
  <c r="AY384" i="21"/>
  <c r="CG384" i="21" s="1"/>
  <c r="AY387" i="21"/>
  <c r="CG387" i="21" s="1"/>
  <c r="BH379" i="21"/>
  <c r="BI379" i="21" s="1"/>
  <c r="BH375" i="21"/>
  <c r="BH386" i="21"/>
  <c r="BI386" i="21" s="1"/>
  <c r="BH378" i="21"/>
  <c r="BI378" i="21" s="1"/>
  <c r="AY393" i="21"/>
  <c r="CG393" i="21" s="1"/>
  <c r="AY385" i="21"/>
  <c r="CG385" i="21" s="1"/>
  <c r="AY377" i="21"/>
  <c r="BH359" i="21"/>
  <c r="BI359" i="21" s="1"/>
  <c r="BJ359" i="21" s="1"/>
  <c r="BH343" i="21"/>
  <c r="BI343" i="21" s="1"/>
  <c r="AY350" i="21"/>
  <c r="CG350" i="21" s="1"/>
  <c r="AY356" i="21"/>
  <c r="CG356" i="21" s="1"/>
  <c r="BH348" i="21"/>
  <c r="BI348" i="21" s="1"/>
  <c r="AY355" i="21"/>
  <c r="CG355" i="21" s="1"/>
  <c r="BH347" i="21"/>
  <c r="BI347" i="21" s="1"/>
  <c r="BH354" i="21"/>
  <c r="BI354" i="21" s="1"/>
  <c r="BJ354" i="21" s="1"/>
  <c r="BH346" i="21"/>
  <c r="BI346" i="21" s="1"/>
  <c r="BH342" i="21"/>
  <c r="BI342" i="21" s="1"/>
  <c r="BH353" i="21"/>
  <c r="BI353" i="21" s="1"/>
  <c r="BJ353" i="21" s="1"/>
  <c r="AY345" i="21"/>
  <c r="BH351" i="21"/>
  <c r="BI351" i="21" s="1"/>
  <c r="BH358" i="21"/>
  <c r="BI358" i="21" s="1"/>
  <c r="BJ358" i="21" s="1"/>
  <c r="BH360" i="21"/>
  <c r="BI360" i="21" s="1"/>
  <c r="BJ360" i="21" s="1"/>
  <c r="BH352" i="21"/>
  <c r="BI352" i="21" s="1"/>
  <c r="BJ352" i="21" s="1"/>
  <c r="AY344" i="21"/>
  <c r="CG344" i="21" s="1"/>
  <c r="BH327" i="21"/>
  <c r="BI327" i="21" s="1"/>
  <c r="BH325" i="21"/>
  <c r="BI325" i="21" s="1"/>
  <c r="BH317" i="21"/>
  <c r="BI317" i="21" s="1"/>
  <c r="BH319" i="21"/>
  <c r="BI319" i="21" s="1"/>
  <c r="BH318" i="21"/>
  <c r="BI318" i="21" s="1"/>
  <c r="BH324" i="21"/>
  <c r="BI324" i="21" s="1"/>
  <c r="AY316" i="21"/>
  <c r="BH323" i="21"/>
  <c r="BI323" i="21" s="1"/>
  <c r="BH315" i="21"/>
  <c r="BI315" i="21" s="1"/>
  <c r="BH322" i="21"/>
  <c r="BI322" i="21" s="1"/>
  <c r="BH314" i="21"/>
  <c r="BI314" i="21" s="1"/>
  <c r="AY326" i="21"/>
  <c r="CG326" i="21" s="1"/>
  <c r="BH321" i="21"/>
  <c r="BI321" i="21" s="1"/>
  <c r="BH313" i="21"/>
  <c r="BI313" i="21" s="1"/>
  <c r="BH311" i="21"/>
  <c r="BI311" i="21" s="1"/>
  <c r="AY310" i="21"/>
  <c r="BH309" i="21"/>
  <c r="BI309" i="21" s="1"/>
  <c r="BH312" i="21"/>
  <c r="BI312" i="21" s="1"/>
  <c r="BH276" i="21"/>
  <c r="BI276" i="21" s="1"/>
  <c r="BJ276" i="21" s="1"/>
  <c r="BH294" i="21"/>
  <c r="BI294" i="21" s="1"/>
  <c r="BJ294" i="21" s="1"/>
  <c r="BH293" i="21"/>
  <c r="BI293" i="21" s="1"/>
  <c r="BJ293" i="21" s="1"/>
  <c r="AY285" i="21"/>
  <c r="CG285" i="21" s="1"/>
  <c r="BH277" i="21"/>
  <c r="BI277" i="21" s="1"/>
  <c r="BJ277" i="21" s="1"/>
  <c r="BH287" i="21"/>
  <c r="BI287" i="21" s="1"/>
  <c r="BH286" i="21"/>
  <c r="BI286" i="21" s="1"/>
  <c r="BJ286" i="21" s="1"/>
  <c r="AY292" i="21"/>
  <c r="CG292" i="21" s="1"/>
  <c r="BH284" i="21"/>
  <c r="BI284" i="21" s="1"/>
  <c r="BJ284" i="21" s="1"/>
  <c r="AY278" i="21"/>
  <c r="AY291" i="21"/>
  <c r="CG291" i="21" s="1"/>
  <c r="BH283" i="21"/>
  <c r="BI283" i="21" s="1"/>
  <c r="AY290" i="21"/>
  <c r="BH282" i="21"/>
  <c r="BI282" i="21" s="1"/>
  <c r="BJ282" i="21" s="1"/>
  <c r="BH279" i="21"/>
  <c r="BI279" i="21" s="1"/>
  <c r="BH288" i="21"/>
  <c r="BI288" i="21" s="1"/>
  <c r="BH280" i="21"/>
  <c r="BI280" i="21" s="1"/>
  <c r="BH243" i="21"/>
  <c r="BI243" i="21" s="1"/>
  <c r="BJ243" i="21" s="1"/>
  <c r="BH254" i="21"/>
  <c r="BI254" i="21" s="1"/>
  <c r="BJ254" i="21" s="1"/>
  <c r="AY246" i="21"/>
  <c r="D540" i="21" s="1"/>
  <c r="BH247" i="21"/>
  <c r="BI247" i="21" s="1"/>
  <c r="AY261" i="21"/>
  <c r="CG261" i="21" s="1"/>
  <c r="BH245" i="21"/>
  <c r="BI245" i="21" s="1"/>
  <c r="BJ245" i="21" s="1"/>
  <c r="AY260" i="21"/>
  <c r="CG260" i="21" s="1"/>
  <c r="BH252" i="21"/>
  <c r="BI252" i="21" s="1"/>
  <c r="BJ252" i="21" s="1"/>
  <c r="AY244" i="21"/>
  <c r="D538" i="21" s="1"/>
  <c r="AY259" i="21"/>
  <c r="CG259" i="21" s="1"/>
  <c r="BH251" i="21"/>
  <c r="BI251" i="21" s="1"/>
  <c r="BJ251" i="21" s="1"/>
  <c r="BH255" i="21"/>
  <c r="BI255" i="21" s="1"/>
  <c r="BJ255" i="21" s="1"/>
  <c r="AY258" i="21"/>
  <c r="CG258" i="21" s="1"/>
  <c r="BH250" i="21"/>
  <c r="BI250" i="21" s="1"/>
  <c r="BJ250" i="21" s="1"/>
  <c r="BH257" i="21"/>
  <c r="BI257" i="21" s="1"/>
  <c r="BJ257" i="21" s="1"/>
  <c r="BH249" i="21"/>
  <c r="BI249" i="21" s="1"/>
  <c r="BJ249" i="21" s="1"/>
  <c r="BH256" i="21"/>
  <c r="BI256" i="21" s="1"/>
  <c r="BJ256" i="21" s="1"/>
  <c r="BH248" i="21"/>
  <c r="BI248" i="21" s="1"/>
  <c r="BH222" i="21"/>
  <c r="BI222" i="21" s="1"/>
  <c r="BH214" i="21"/>
  <c r="BI214" i="21" s="1"/>
  <c r="BH223" i="21"/>
  <c r="BI223" i="21" s="1"/>
  <c r="BH210" i="21"/>
  <c r="BI210" i="21" s="1"/>
  <c r="BJ210" i="21" s="1"/>
  <c r="BH221" i="21"/>
  <c r="BI221" i="21" s="1"/>
  <c r="BH213" i="21"/>
  <c r="BI213" i="21" s="1"/>
  <c r="BH228" i="21"/>
  <c r="BI228" i="21" s="1"/>
  <c r="BH220" i="21"/>
  <c r="BI220" i="21" s="1"/>
  <c r="BH212" i="21"/>
  <c r="BI212" i="21" s="1"/>
  <c r="BH215" i="21"/>
  <c r="BI215" i="21" s="1"/>
  <c r="BH226" i="21"/>
  <c r="BI226" i="21" s="1"/>
  <c r="BH218" i="21"/>
  <c r="BI218" i="21" s="1"/>
  <c r="AY225" i="21"/>
  <c r="CG225" i="21" s="1"/>
  <c r="BH217" i="21"/>
  <c r="BI217" i="21" s="1"/>
  <c r="BH224" i="21"/>
  <c r="BI224" i="21" s="1"/>
  <c r="AY216" i="21"/>
  <c r="BH189" i="21"/>
  <c r="BI189" i="21" s="1"/>
  <c r="BJ189" i="21" s="1"/>
  <c r="AY188" i="21"/>
  <c r="CG188" i="21" s="1"/>
  <c r="BH180" i="21"/>
  <c r="BI180" i="21" s="1"/>
  <c r="BH177" i="21"/>
  <c r="BI177" i="21" s="1"/>
  <c r="BJ177" i="21" s="1"/>
  <c r="BH187" i="21"/>
  <c r="BI187" i="21" s="1"/>
  <c r="BJ187" i="21" s="1"/>
  <c r="BH179" i="21"/>
  <c r="BI179" i="21" s="1"/>
  <c r="BJ179" i="21" s="1"/>
  <c r="BH195" i="21"/>
  <c r="BI195" i="21" s="1"/>
  <c r="BJ195" i="21" s="1"/>
  <c r="BH186" i="21"/>
  <c r="BI186" i="21" s="1"/>
  <c r="BJ186" i="21" s="1"/>
  <c r="AY178" i="21"/>
  <c r="BH182" i="21"/>
  <c r="BI182" i="21" s="1"/>
  <c r="AY194" i="21"/>
  <c r="CG194" i="21" s="1"/>
  <c r="AY185" i="21"/>
  <c r="CG185" i="21" s="1"/>
  <c r="AY192" i="21"/>
  <c r="CG192" i="21" s="1"/>
  <c r="BH193" i="21"/>
  <c r="BI193" i="21" s="1"/>
  <c r="BJ193" i="21" s="1"/>
  <c r="AY184" i="21"/>
  <c r="BH190" i="21"/>
  <c r="BI190" i="21" s="1"/>
  <c r="BJ190" i="21" s="1"/>
  <c r="BH181" i="21"/>
  <c r="BI181" i="21" s="1"/>
  <c r="AY157" i="21"/>
  <c r="CG157" i="21" s="1"/>
  <c r="BH156" i="21"/>
  <c r="BI156" i="21" s="1"/>
  <c r="BJ156" i="21" s="1"/>
  <c r="AY154" i="21"/>
  <c r="CG154" i="21" s="1"/>
  <c r="BH159" i="21"/>
  <c r="BI159" i="21" s="1"/>
  <c r="BJ159" i="21" s="1"/>
  <c r="BH151" i="21"/>
  <c r="BI151" i="21" s="1"/>
  <c r="BJ151" i="21" s="1"/>
  <c r="BH158" i="21"/>
  <c r="BI158" i="21" s="1"/>
  <c r="BJ158" i="21" s="1"/>
  <c r="BH150" i="21"/>
  <c r="BI150" i="21" s="1"/>
  <c r="BJ150" i="21" s="1"/>
  <c r="BH147" i="21"/>
  <c r="BI147" i="21" s="1"/>
  <c r="AY146" i="21"/>
  <c r="AY148" i="21"/>
  <c r="D493" i="21" s="1"/>
  <c r="AY145" i="21"/>
  <c r="AY161" i="21"/>
  <c r="CG161" i="21" s="1"/>
  <c r="BH153" i="21"/>
  <c r="BI153" i="21" s="1"/>
  <c r="BH149" i="21"/>
  <c r="BI149" i="21" s="1"/>
  <c r="BH162" i="21"/>
  <c r="BI162" i="21" s="1"/>
  <c r="BJ162" i="21" s="1"/>
  <c r="AY160" i="21"/>
  <c r="CG160" i="21" s="1"/>
  <c r="AY152" i="21"/>
  <c r="CG152" i="21" s="1"/>
  <c r="BH126" i="21"/>
  <c r="BI126" i="21" s="1"/>
  <c r="AY125" i="21"/>
  <c r="CG125" i="21" s="1"/>
  <c r="BH119" i="21"/>
  <c r="BI119" i="21" s="1"/>
  <c r="BH124" i="21"/>
  <c r="BI124" i="21" s="1"/>
  <c r="BH116" i="21"/>
  <c r="BI116" i="21" s="1"/>
  <c r="BH123" i="21"/>
  <c r="BI123" i="21" s="1"/>
  <c r="BH115" i="21"/>
  <c r="BI115" i="21" s="1"/>
  <c r="BH118" i="21"/>
  <c r="BI118" i="21" s="1"/>
  <c r="BH111" i="21"/>
  <c r="BI111" i="21" s="1"/>
  <c r="BH122" i="21"/>
  <c r="BI122" i="21" s="1"/>
  <c r="BH114" i="21"/>
  <c r="BI114" i="21" s="1"/>
  <c r="BH127" i="21"/>
  <c r="BI127" i="21" s="1"/>
  <c r="BJ127" i="21" s="1"/>
  <c r="BH129" i="21"/>
  <c r="BI129" i="21" s="1"/>
  <c r="BH121" i="21"/>
  <c r="BI121" i="21" s="1"/>
  <c r="BH113" i="21"/>
  <c r="BI113" i="21" s="1"/>
  <c r="AY128" i="21"/>
  <c r="CG128" i="21" s="1"/>
  <c r="BH120" i="21"/>
  <c r="BI120" i="21" s="1"/>
  <c r="BH112" i="21"/>
  <c r="BI112" i="21" s="1"/>
  <c r="BH93" i="21"/>
  <c r="BI93" i="21" s="1"/>
  <c r="BJ93" i="21" s="1"/>
  <c r="AY85" i="21"/>
  <c r="BH87" i="21"/>
  <c r="BI87" i="21" s="1"/>
  <c r="BH92" i="21"/>
  <c r="BI92" i="21" s="1"/>
  <c r="BJ92" i="21" s="1"/>
  <c r="BH84" i="21"/>
  <c r="BI84" i="21" s="1"/>
  <c r="BJ84" i="21" s="1"/>
  <c r="AY86" i="21"/>
  <c r="CG86" i="21" s="1"/>
  <c r="AY90" i="21"/>
  <c r="CG90" i="21" s="1"/>
  <c r="AY82" i="21"/>
  <c r="BZ82" i="21" s="1"/>
  <c r="AY95" i="21"/>
  <c r="CG95" i="21" s="1"/>
  <c r="AY79" i="21"/>
  <c r="BH78" i="21"/>
  <c r="AY89" i="21"/>
  <c r="CG89" i="21" s="1"/>
  <c r="BH81" i="21"/>
  <c r="BI81" i="21" s="1"/>
  <c r="BH94" i="21"/>
  <c r="BI94" i="21" s="1"/>
  <c r="BJ94" i="21" s="1"/>
  <c r="AY96" i="21"/>
  <c r="CG96" i="21" s="1"/>
  <c r="BH88" i="21"/>
  <c r="BI88" i="21" s="1"/>
  <c r="BJ88" i="21" s="1"/>
  <c r="AY80" i="21"/>
  <c r="AY54" i="21"/>
  <c r="AY49" i="21"/>
  <c r="D445" i="21" s="1"/>
  <c r="BH55" i="21"/>
  <c r="BI55" i="21" s="1"/>
  <c r="BJ55" i="21" s="1"/>
  <c r="AY61" i="21"/>
  <c r="AY53" i="21"/>
  <c r="AY62" i="21"/>
  <c r="CG62" i="21" s="1"/>
  <c r="AY60" i="21"/>
  <c r="AY52" i="21"/>
  <c r="D448" i="21" s="1"/>
  <c r="AY51" i="21"/>
  <c r="AY46" i="21"/>
  <c r="D442" i="21" s="1"/>
  <c r="AY58" i="21"/>
  <c r="CG58" i="21" s="1"/>
  <c r="AY50" i="21"/>
  <c r="D446" i="21" s="1"/>
  <c r="AY59" i="21"/>
  <c r="CG59" i="21" s="1"/>
  <c r="AY57" i="21"/>
  <c r="AY48" i="21"/>
  <c r="D444" i="21" s="1"/>
  <c r="BH63" i="21"/>
  <c r="BI63" i="21" s="1"/>
  <c r="BJ63" i="21" s="1"/>
  <c r="BH45" i="21"/>
  <c r="BI45" i="21" s="1"/>
  <c r="BJ45" i="21" s="1"/>
  <c r="AY45" i="21"/>
  <c r="AY56" i="21"/>
  <c r="AY47" i="21"/>
  <c r="D443" i="21" s="1"/>
  <c r="AY129" i="21"/>
  <c r="CG129" i="21" s="1"/>
  <c r="BH194" i="21"/>
  <c r="BI194" i="21" s="1"/>
  <c r="BJ194" i="21" s="1"/>
  <c r="AY190" i="21"/>
  <c r="CG190" i="21" s="1"/>
  <c r="AY126" i="21"/>
  <c r="BF126" i="21" s="1"/>
  <c r="BH52" i="21"/>
  <c r="BI52" i="21" s="1"/>
  <c r="BJ52" i="21" s="1"/>
  <c r="BH82" i="21"/>
  <c r="BI82" i="21" s="1"/>
  <c r="BJ82" i="21" s="1"/>
  <c r="BH90" i="21"/>
  <c r="BI90" i="21" s="1"/>
  <c r="BJ90" i="21" s="1"/>
  <c r="AY113" i="21"/>
  <c r="BH47" i="21"/>
  <c r="BI47" i="21" s="1"/>
  <c r="BJ47" i="21" s="1"/>
  <c r="AY121" i="21"/>
  <c r="CG121" i="21" s="1"/>
  <c r="BH344" i="21"/>
  <c r="BI344" i="21" s="1"/>
  <c r="BH60" i="21"/>
  <c r="BI60" i="21" s="1"/>
  <c r="BJ60" i="21" s="1"/>
  <c r="AY187" i="21"/>
  <c r="CG187" i="21" s="1"/>
  <c r="BH387" i="21"/>
  <c r="BI387" i="21" s="1"/>
  <c r="AY217" i="21"/>
  <c r="D528" i="21" s="1"/>
  <c r="AY115" i="21"/>
  <c r="D477" i="21" s="1"/>
  <c r="AY323" i="21"/>
  <c r="CG323" i="21" s="1"/>
  <c r="AY215" i="21"/>
  <c r="D526" i="21" s="1"/>
  <c r="AY150" i="21"/>
  <c r="D495" i="21" s="1"/>
  <c r="AY252" i="21"/>
  <c r="CG252" i="21" s="1"/>
  <c r="AY321" i="21"/>
  <c r="CG321" i="21" s="1"/>
  <c r="AY153" i="21"/>
  <c r="CG153" i="21" s="1"/>
  <c r="BH390" i="21"/>
  <c r="BI390" i="21" s="1"/>
  <c r="AY158" i="21"/>
  <c r="CG158" i="21" s="1"/>
  <c r="BH85" i="21"/>
  <c r="BI85" i="21" s="1"/>
  <c r="BH278" i="21"/>
  <c r="BI278" i="21" s="1"/>
  <c r="BJ278" i="21" s="1"/>
  <c r="AY84" i="21"/>
  <c r="D463" i="21" s="1"/>
  <c r="BH246" i="21"/>
  <c r="BI246" i="21" s="1"/>
  <c r="BJ246" i="21" s="1"/>
  <c r="AY93" i="21"/>
  <c r="CG93" i="21" s="1"/>
  <c r="AY254" i="21"/>
  <c r="CG254" i="21" s="1"/>
  <c r="BH388" i="21"/>
  <c r="BI388" i="21" s="1"/>
  <c r="AY92" i="21"/>
  <c r="AY379" i="21"/>
  <c r="D605" i="21" s="1"/>
  <c r="AY114" i="21"/>
  <c r="AY222" i="21"/>
  <c r="CG222" i="21" s="1"/>
  <c r="AY111" i="21"/>
  <c r="BH148" i="21"/>
  <c r="BI148" i="21" s="1"/>
  <c r="BJ148" i="21" s="1"/>
  <c r="AY182" i="21"/>
  <c r="D510" i="21" s="1"/>
  <c r="AY214" i="21"/>
  <c r="D525" i="21" s="1"/>
  <c r="AY112" i="21"/>
  <c r="BH345" i="21"/>
  <c r="BI345" i="21" s="1"/>
  <c r="BJ345" i="21" s="1"/>
  <c r="AY353" i="21"/>
  <c r="CG353" i="21" s="1"/>
  <c r="BD154" i="21"/>
  <c r="BH95" i="21"/>
  <c r="BI95" i="21" s="1"/>
  <c r="BJ95" i="21" s="1"/>
  <c r="BH154" i="21"/>
  <c r="BI154" i="21" s="1"/>
  <c r="BJ154" i="21" s="1"/>
  <c r="AY223" i="21"/>
  <c r="CG223" i="21" s="1"/>
  <c r="BH385" i="21"/>
  <c r="BI385" i="21" s="1"/>
  <c r="AY116" i="21"/>
  <c r="D478" i="21" s="1"/>
  <c r="AY186" i="21"/>
  <c r="CG186" i="21" s="1"/>
  <c r="AY249" i="21"/>
  <c r="D543" i="21" s="1"/>
  <c r="BH48" i="21"/>
  <c r="BI48" i="21" s="1"/>
  <c r="BJ48" i="21" s="1"/>
  <c r="AY162" i="21"/>
  <c r="CG162" i="21" s="1"/>
  <c r="BH178" i="21"/>
  <c r="BI178" i="21" s="1"/>
  <c r="BJ178" i="21" s="1"/>
  <c r="BH381" i="21"/>
  <c r="BI381" i="21" s="1"/>
  <c r="AY124" i="21"/>
  <c r="BH291" i="21"/>
  <c r="BI291" i="21" s="1"/>
  <c r="BJ291" i="21" s="1"/>
  <c r="AY315" i="21"/>
  <c r="AY180" i="21"/>
  <c r="D508" i="21" s="1"/>
  <c r="AY250" i="21"/>
  <c r="D544" i="21" s="1"/>
  <c r="AY293" i="21"/>
  <c r="CG293" i="21" s="1"/>
  <c r="AY311" i="21"/>
  <c r="CG311" i="21" s="1"/>
  <c r="AY87" i="21"/>
  <c r="CG87" i="21" s="1"/>
  <c r="AY147" i="21"/>
  <c r="D492" i="21" s="1"/>
  <c r="AY280" i="21"/>
  <c r="D557" i="21" s="1"/>
  <c r="AY286" i="21"/>
  <c r="CG286" i="21" s="1"/>
  <c r="AY118" i="21"/>
  <c r="D480" i="21" s="1"/>
  <c r="AY277" i="21"/>
  <c r="BH157" i="21"/>
  <c r="BI157" i="21" s="1"/>
  <c r="BJ157" i="21" s="1"/>
  <c r="BH285" i="21"/>
  <c r="BI285" i="21" s="1"/>
  <c r="BJ285" i="21" s="1"/>
  <c r="AY319" i="21"/>
  <c r="CG319" i="21" s="1"/>
  <c r="AY314" i="21"/>
  <c r="AY327" i="21"/>
  <c r="CG327" i="21" s="1"/>
  <c r="BH184" i="21"/>
  <c r="BI184" i="21" s="1"/>
  <c r="BJ184" i="21" s="1"/>
  <c r="AY257" i="21"/>
  <c r="AY313" i="21"/>
  <c r="AY378" i="21"/>
  <c r="D604" i="21" s="1"/>
  <c r="AY151" i="21"/>
  <c r="D496" i="21" s="1"/>
  <c r="AY346" i="21"/>
  <c r="BH86" i="21"/>
  <c r="BI86" i="21" s="1"/>
  <c r="BJ86" i="21" s="1"/>
  <c r="AY213" i="21"/>
  <c r="D524" i="21" s="1"/>
  <c r="BH384" i="21"/>
  <c r="BI384" i="21" s="1"/>
  <c r="AY120" i="21"/>
  <c r="CG120" i="21" s="1"/>
  <c r="AY221" i="21"/>
  <c r="CG221" i="21" s="1"/>
  <c r="AY247" i="21"/>
  <c r="D541" i="21" s="1"/>
  <c r="AY255" i="21"/>
  <c r="CG255" i="21" s="1"/>
  <c r="BH89" i="21"/>
  <c r="BI89" i="21" s="1"/>
  <c r="BJ89" i="21" s="1"/>
  <c r="AY322" i="21"/>
  <c r="CG322" i="21" s="1"/>
  <c r="AY354" i="21"/>
  <c r="CG354" i="21" s="1"/>
  <c r="BH128" i="21"/>
  <c r="BI128" i="21" s="1"/>
  <c r="AY149" i="21"/>
  <c r="D494" i="21" s="1"/>
  <c r="AY212" i="21"/>
  <c r="AY220" i="21"/>
  <c r="CG220" i="21" s="1"/>
  <c r="AY282" i="21"/>
  <c r="D559" i="21" s="1"/>
  <c r="AY288" i="21"/>
  <c r="CG288" i="21" s="1"/>
  <c r="AY324" i="21"/>
  <c r="CG324" i="21" s="1"/>
  <c r="BH316" i="21"/>
  <c r="BI316" i="21" s="1"/>
  <c r="AY386" i="21"/>
  <c r="CG386" i="21" s="1"/>
  <c r="AY81" i="21"/>
  <c r="D460" i="21" s="1"/>
  <c r="BH125" i="21"/>
  <c r="BI125" i="21" s="1"/>
  <c r="AY357" i="21"/>
  <c r="CG357" i="21" s="1"/>
  <c r="BH357" i="21"/>
  <c r="BI357" i="21" s="1"/>
  <c r="BJ357" i="21" s="1"/>
  <c r="BH349" i="21"/>
  <c r="BI349" i="21" s="1"/>
  <c r="BJ349" i="21" s="1"/>
  <c r="AY349" i="21"/>
  <c r="BD385" i="21"/>
  <c r="AY117" i="21"/>
  <c r="D479" i="21" s="1"/>
  <c r="BH117" i="21"/>
  <c r="BI117" i="21" s="1"/>
  <c r="BH191" i="21"/>
  <c r="BI191" i="21" s="1"/>
  <c r="BJ191" i="21" s="1"/>
  <c r="AY191" i="21"/>
  <c r="CG191" i="21" s="1"/>
  <c r="BH183" i="21"/>
  <c r="BI183" i="21" s="1"/>
  <c r="BJ183" i="21" s="1"/>
  <c r="AY183" i="21"/>
  <c r="D511" i="21" s="1"/>
  <c r="AY245" i="21"/>
  <c r="D539" i="21" s="1"/>
  <c r="BH320" i="21"/>
  <c r="BI320" i="21" s="1"/>
  <c r="AY320" i="21"/>
  <c r="CG320" i="21" s="1"/>
  <c r="AY144" i="21"/>
  <c r="BH144" i="21"/>
  <c r="BH155" i="21"/>
  <c r="BI155" i="21" s="1"/>
  <c r="BJ155" i="21" s="1"/>
  <c r="AY155" i="21"/>
  <c r="CG155" i="21" s="1"/>
  <c r="BH289" i="21"/>
  <c r="BI289" i="21" s="1"/>
  <c r="BJ289" i="21" s="1"/>
  <c r="AY289" i="21"/>
  <c r="CG289" i="21" s="1"/>
  <c r="BH281" i="21"/>
  <c r="BI281" i="21" s="1"/>
  <c r="AY281" i="21"/>
  <c r="D558" i="21" s="1"/>
  <c r="BH382" i="21"/>
  <c r="BI382" i="21" s="1"/>
  <c r="AY382" i="21"/>
  <c r="D608" i="21" s="1"/>
  <c r="N199" i="29" s="1"/>
  <c r="U199" i="29" s="1"/>
  <c r="BH91" i="21"/>
  <c r="BI91" i="21" s="1"/>
  <c r="BJ91" i="21" s="1"/>
  <c r="AY91" i="21"/>
  <c r="CG91" i="21" s="1"/>
  <c r="AY83" i="21"/>
  <c r="D462" i="21" s="1"/>
  <c r="BH83" i="21"/>
  <c r="BI83" i="21" s="1"/>
  <c r="AY227" i="21"/>
  <c r="CG227" i="21" s="1"/>
  <c r="BH227" i="21"/>
  <c r="BI227" i="21" s="1"/>
  <c r="AY219" i="21"/>
  <c r="BH219" i="21"/>
  <c r="BI219" i="21" s="1"/>
  <c r="AY211" i="21"/>
  <c r="BH211" i="21"/>
  <c r="BI211" i="21" s="1"/>
  <c r="BH253" i="21"/>
  <c r="BI253" i="21" s="1"/>
  <c r="BJ253" i="21" s="1"/>
  <c r="AY253" i="21"/>
  <c r="CG253" i="21" s="1"/>
  <c r="AY228" i="21"/>
  <c r="AY251" i="21"/>
  <c r="BA262" i="21"/>
  <c r="AY283" i="21"/>
  <c r="D560" i="21" s="1"/>
  <c r="BH290" i="21"/>
  <c r="BI290" i="21" s="1"/>
  <c r="AY380" i="21"/>
  <c r="D606" i="21" s="1"/>
  <c r="BA229" i="21"/>
  <c r="AY287" i="21"/>
  <c r="BA97" i="21"/>
  <c r="BH225" i="21"/>
  <c r="BI225" i="21" s="1"/>
  <c r="AY279" i="21"/>
  <c r="D556" i="21" s="1"/>
  <c r="AY392" i="21"/>
  <c r="CG392" i="21" s="1"/>
  <c r="BH393" i="21"/>
  <c r="BI393" i="21" s="1"/>
  <c r="AY123" i="21"/>
  <c r="CG123" i="21" s="1"/>
  <c r="BH216" i="21"/>
  <c r="BI216" i="21" s="1"/>
  <c r="BH326" i="21"/>
  <c r="BI326" i="21" s="1"/>
  <c r="BH310" i="21"/>
  <c r="BI310" i="21" s="1"/>
  <c r="AY94" i="21"/>
  <c r="CG94" i="21" s="1"/>
  <c r="BE391" i="21"/>
  <c r="BH389" i="21"/>
  <c r="BI389" i="21" s="1"/>
  <c r="BH391" i="21"/>
  <c r="BI391" i="21" s="1"/>
  <c r="AY383" i="21"/>
  <c r="CG383" i="21" s="1"/>
  <c r="BA394" i="21"/>
  <c r="BH376" i="21"/>
  <c r="BI376" i="21" s="1"/>
  <c r="BH377" i="21"/>
  <c r="BI377" i="21" s="1"/>
  <c r="AY375" i="21"/>
  <c r="AY347" i="21"/>
  <c r="BH356" i="21"/>
  <c r="BI356" i="21" s="1"/>
  <c r="BJ356" i="21" s="1"/>
  <c r="BH355" i="21"/>
  <c r="BI355" i="21" s="1"/>
  <c r="BJ355" i="21" s="1"/>
  <c r="AY352" i="21"/>
  <c r="CG352" i="21" s="1"/>
  <c r="AY348" i="21"/>
  <c r="AY359" i="21"/>
  <c r="CG359" i="21" s="1"/>
  <c r="AY351" i="21"/>
  <c r="CG351" i="21" s="1"/>
  <c r="AY343" i="21"/>
  <c r="BH350" i="21"/>
  <c r="BI350" i="21" s="1"/>
  <c r="AY360" i="21"/>
  <c r="CG360" i="21" s="1"/>
  <c r="BA361" i="21"/>
  <c r="AY358" i="21"/>
  <c r="CG358" i="21" s="1"/>
  <c r="AY342" i="21"/>
  <c r="AY318" i="21"/>
  <c r="CG318" i="21" s="1"/>
  <c r="AY312" i="21"/>
  <c r="CG312" i="21" s="1"/>
  <c r="AY325" i="21"/>
  <c r="CG325" i="21" s="1"/>
  <c r="AY317" i="21"/>
  <c r="CG317" i="21" s="1"/>
  <c r="BA328" i="21"/>
  <c r="AY309" i="21"/>
  <c r="AY284" i="21"/>
  <c r="CG284" i="21" s="1"/>
  <c r="AY294" i="21"/>
  <c r="CG294" i="21" s="1"/>
  <c r="BH292" i="21"/>
  <c r="BA295" i="21"/>
  <c r="AY276" i="21"/>
  <c r="BH244" i="21"/>
  <c r="BI244" i="21" s="1"/>
  <c r="BJ244" i="21" s="1"/>
  <c r="AY248" i="21"/>
  <c r="D542" i="21" s="1"/>
  <c r="AY256" i="21"/>
  <c r="CG256" i="21" s="1"/>
  <c r="AY243" i="21"/>
  <c r="BH258" i="21"/>
  <c r="BH259" i="21"/>
  <c r="BH260" i="21"/>
  <c r="BH261" i="21"/>
  <c r="AY224" i="21"/>
  <c r="CG224" i="21" s="1"/>
  <c r="AY218" i="21"/>
  <c r="CG218" i="21" s="1"/>
  <c r="AY226" i="21"/>
  <c r="CG226" i="21" s="1"/>
  <c r="AY210" i="21"/>
  <c r="BH192" i="21"/>
  <c r="BI192" i="21" s="1"/>
  <c r="BJ192" i="21" s="1"/>
  <c r="AY181" i="21"/>
  <c r="D509" i="21" s="1"/>
  <c r="AY189" i="21"/>
  <c r="BH185" i="21"/>
  <c r="BI185" i="21" s="1"/>
  <c r="BJ185" i="21" s="1"/>
  <c r="BH188" i="21"/>
  <c r="BI188" i="21" s="1"/>
  <c r="BJ188" i="21" s="1"/>
  <c r="AY193" i="21"/>
  <c r="CG193" i="21" s="1"/>
  <c r="AY195" i="21"/>
  <c r="CG195" i="21" s="1"/>
  <c r="AY179" i="21"/>
  <c r="BA196" i="21"/>
  <c r="AY177" i="21"/>
  <c r="AY159" i="21"/>
  <c r="CG159" i="21" s="1"/>
  <c r="AY156" i="21"/>
  <c r="CG156" i="21" s="1"/>
  <c r="BH152" i="21"/>
  <c r="BI152" i="21" s="1"/>
  <c r="BJ152" i="21" s="1"/>
  <c r="BH161" i="21"/>
  <c r="BI161" i="21" s="1"/>
  <c r="BJ161" i="21" s="1"/>
  <c r="BH160" i="21"/>
  <c r="BI160" i="21" s="1"/>
  <c r="BJ160" i="21" s="1"/>
  <c r="BA163" i="21"/>
  <c r="BH145" i="21"/>
  <c r="BH146" i="21"/>
  <c r="AY122" i="21"/>
  <c r="BA130" i="21"/>
  <c r="AY119" i="21"/>
  <c r="CG119" i="21" s="1"/>
  <c r="AY127" i="21"/>
  <c r="CG127" i="21" s="1"/>
  <c r="BH96" i="21"/>
  <c r="BI96" i="21" s="1"/>
  <c r="BJ96" i="21" s="1"/>
  <c r="AY88" i="21"/>
  <c r="CG88" i="21" s="1"/>
  <c r="BH79" i="21"/>
  <c r="BH80" i="21"/>
  <c r="AY78" i="21"/>
  <c r="AY55" i="21"/>
  <c r="AY63" i="21"/>
  <c r="BA64" i="21"/>
  <c r="BH53" i="21"/>
  <c r="BI53" i="21" s="1"/>
  <c r="BJ53" i="21" s="1"/>
  <c r="BH49" i="21"/>
  <c r="BI49" i="21" s="1"/>
  <c r="BJ49" i="21" s="1"/>
  <c r="BH57" i="21"/>
  <c r="BI57" i="21" s="1"/>
  <c r="BJ57" i="21" s="1"/>
  <c r="BH54" i="21"/>
  <c r="BI54" i="21" s="1"/>
  <c r="BJ54" i="21" s="1"/>
  <c r="BH59" i="21"/>
  <c r="BI59" i="21" s="1"/>
  <c r="BH50" i="21"/>
  <c r="BI50" i="21" s="1"/>
  <c r="BJ50" i="21" s="1"/>
  <c r="BH56" i="21"/>
  <c r="BI56" i="21" s="1"/>
  <c r="BJ56" i="21" s="1"/>
  <c r="BH61" i="21"/>
  <c r="BI61" i="21" s="1"/>
  <c r="BH46" i="21"/>
  <c r="BI46" i="21" s="1"/>
  <c r="BJ46" i="21" s="1"/>
  <c r="BH51" i="21"/>
  <c r="BI51" i="21" s="1"/>
  <c r="BJ51" i="21" s="1"/>
  <c r="BH62" i="21"/>
  <c r="BI62" i="21" s="1"/>
  <c r="BJ62" i="21" s="1"/>
  <c r="BH58" i="21"/>
  <c r="BI58" i="21" s="1"/>
  <c r="BJ58" i="21" s="1"/>
  <c r="AZ31" i="21"/>
  <c r="BA12" i="21"/>
  <c r="BA13" i="21"/>
  <c r="BA14" i="21"/>
  <c r="BA15" i="21"/>
  <c r="BA16" i="21"/>
  <c r="BA17" i="21"/>
  <c r="BA18" i="21"/>
  <c r="BA19" i="21"/>
  <c r="BA20" i="21"/>
  <c r="BA21" i="21"/>
  <c r="BA22" i="21"/>
  <c r="BA23" i="21"/>
  <c r="BA24" i="21"/>
  <c r="BA25" i="21"/>
  <c r="BA26" i="21"/>
  <c r="BA27" i="21"/>
  <c r="BA28" i="21"/>
  <c r="BA29" i="21"/>
  <c r="BA30" i="21"/>
  <c r="H12" i="21"/>
  <c r="D461" i="21" l="1"/>
  <c r="N52" i="29" s="1"/>
  <c r="U52" i="29" s="1"/>
  <c r="BN12" i="21"/>
  <c r="AY12" i="21"/>
  <c r="BF12" i="21" s="1"/>
  <c r="T12" i="21"/>
  <c r="D590" i="21"/>
  <c r="N147" i="29"/>
  <c r="U147" i="29" s="1"/>
  <c r="K38" i="37"/>
  <c r="N51" i="29"/>
  <c r="U51" i="29" s="1"/>
  <c r="E38" i="37"/>
  <c r="N85" i="29"/>
  <c r="U85" i="29" s="1"/>
  <c r="G40" i="37"/>
  <c r="N71" i="29"/>
  <c r="U71" i="29" s="1"/>
  <c r="F42" i="37"/>
  <c r="N99" i="29"/>
  <c r="U99" i="29" s="1"/>
  <c r="H38" i="37"/>
  <c r="N134" i="29"/>
  <c r="U134" i="29" s="1"/>
  <c r="J41" i="37"/>
  <c r="N117" i="29"/>
  <c r="U117" i="29" s="1"/>
  <c r="I40" i="37"/>
  <c r="N84" i="29"/>
  <c r="U84" i="29" s="1"/>
  <c r="G39" i="37"/>
  <c r="CG343" i="21"/>
  <c r="N149" i="29"/>
  <c r="U149" i="29" s="1"/>
  <c r="K40" i="37"/>
  <c r="N70" i="29"/>
  <c r="U70" i="29" s="1"/>
  <c r="F41" i="37"/>
  <c r="N196" i="29"/>
  <c r="U196" i="29" s="1"/>
  <c r="N39" i="37"/>
  <c r="CH361" i="21"/>
  <c r="N115" i="29"/>
  <c r="U115" i="29" s="1"/>
  <c r="I38" i="37"/>
  <c r="N148" i="29"/>
  <c r="U148" i="29" s="1"/>
  <c r="K39" i="37"/>
  <c r="N69" i="29"/>
  <c r="U69" i="29" s="1"/>
  <c r="F40" i="37"/>
  <c r="N68" i="29"/>
  <c r="U68" i="29" s="1"/>
  <c r="F39" i="37"/>
  <c r="N34" i="29"/>
  <c r="U34" i="29" s="1"/>
  <c r="D37" i="37"/>
  <c r="N37" i="29"/>
  <c r="U37" i="29" s="1"/>
  <c r="D40" i="37"/>
  <c r="N131" i="29"/>
  <c r="U131" i="29" s="1"/>
  <c r="J38" i="37"/>
  <c r="CH394" i="21"/>
  <c r="N83" i="29"/>
  <c r="U83" i="29" s="1"/>
  <c r="G38" i="37"/>
  <c r="N116" i="29"/>
  <c r="U116" i="29" s="1"/>
  <c r="I39" i="37"/>
  <c r="N119" i="29"/>
  <c r="U119" i="29" s="1"/>
  <c r="I42" i="37"/>
  <c r="CI394" i="21"/>
  <c r="D592" i="21"/>
  <c r="D591" i="21"/>
  <c r="N53" i="29"/>
  <c r="U53" i="29" s="1"/>
  <c r="E40" i="37"/>
  <c r="N102" i="29"/>
  <c r="U102" i="29" s="1"/>
  <c r="H41" i="37"/>
  <c r="D589" i="21"/>
  <c r="N101" i="29"/>
  <c r="U101" i="29" s="1"/>
  <c r="H40" i="37"/>
  <c r="N33" i="29"/>
  <c r="U33" i="29" s="1"/>
  <c r="D36" i="37"/>
  <c r="N36" i="29"/>
  <c r="U36" i="29" s="1"/>
  <c r="D39" i="37"/>
  <c r="N129" i="29"/>
  <c r="U129" i="29" s="1"/>
  <c r="J36" i="37"/>
  <c r="CI361" i="21"/>
  <c r="N100" i="29"/>
  <c r="U100" i="29" s="1"/>
  <c r="H39" i="37"/>
  <c r="N130" i="29"/>
  <c r="U130" i="29" s="1"/>
  <c r="J37" i="37"/>
  <c r="N197" i="29"/>
  <c r="U197" i="29" s="1"/>
  <c r="N40" i="37"/>
  <c r="N150" i="29"/>
  <c r="U150" i="29" s="1"/>
  <c r="K41" i="37"/>
  <c r="N87" i="29"/>
  <c r="U87" i="29" s="1"/>
  <c r="G42" i="37"/>
  <c r="D588" i="21"/>
  <c r="CG345" i="21"/>
  <c r="CJ361" i="21"/>
  <c r="N132" i="29"/>
  <c r="U132" i="29" s="1"/>
  <c r="J39" i="37"/>
  <c r="N195" i="29"/>
  <c r="U195" i="29" s="1"/>
  <c r="N38" i="37"/>
  <c r="N39" i="29"/>
  <c r="U39" i="29" s="1"/>
  <c r="D42" i="37"/>
  <c r="N133" i="29"/>
  <c r="U133" i="29" s="1"/>
  <c r="J40" i="37"/>
  <c r="N151" i="29"/>
  <c r="U151" i="29" s="1"/>
  <c r="K42" i="37"/>
  <c r="N135" i="29"/>
  <c r="U135" i="29" s="1"/>
  <c r="J42" i="37"/>
  <c r="N54" i="29"/>
  <c r="U54" i="29" s="1"/>
  <c r="E41" i="37"/>
  <c r="N86" i="29"/>
  <c r="U86" i="29" s="1"/>
  <c r="G41" i="37"/>
  <c r="N35" i="29"/>
  <c r="U35" i="29" s="1"/>
  <c r="D38" i="37"/>
  <c r="E39" i="37"/>
  <c r="CJ394" i="21"/>
  <c r="CG310" i="21"/>
  <c r="D573" i="21"/>
  <c r="D575" i="21"/>
  <c r="D572" i="21"/>
  <c r="CI328" i="21"/>
  <c r="D574" i="21"/>
  <c r="CJ328" i="21"/>
  <c r="CH328" i="21"/>
  <c r="B33" i="36"/>
  <c r="F32" i="36"/>
  <c r="E32" i="36"/>
  <c r="D32" i="36"/>
  <c r="C32" i="36"/>
  <c r="D576" i="21"/>
  <c r="D527" i="21"/>
  <c r="D512" i="21"/>
  <c r="D447" i="21"/>
  <c r="D464" i="21"/>
  <c r="D607" i="21"/>
  <c r="BD291" i="21"/>
  <c r="BD259" i="21"/>
  <c r="BF291" i="21"/>
  <c r="BJ288" i="21"/>
  <c r="BP311" i="21"/>
  <c r="BP327" i="21"/>
  <c r="BP290" i="21"/>
  <c r="BP121" i="21"/>
  <c r="BM84" i="21"/>
  <c r="BM46" i="21"/>
  <c r="BP349" i="21"/>
  <c r="BJ392" i="21"/>
  <c r="BM312" i="21"/>
  <c r="BP217" i="21"/>
  <c r="BP122" i="21"/>
  <c r="BP56" i="21"/>
  <c r="BP358" i="21"/>
  <c r="BP292" i="21"/>
  <c r="BM152" i="21"/>
  <c r="BM281" i="21"/>
  <c r="BM115" i="21"/>
  <c r="BE161" i="21"/>
  <c r="BF260" i="21"/>
  <c r="BJ322" i="21"/>
  <c r="BP322" i="21"/>
  <c r="BP285" i="21"/>
  <c r="BM211" i="21"/>
  <c r="BP227" i="21"/>
  <c r="BP189" i="21"/>
  <c r="BP161" i="21"/>
  <c r="BP124" i="21"/>
  <c r="BP315" i="21"/>
  <c r="BP88" i="21"/>
  <c r="BM345" i="21"/>
  <c r="BP324" i="21"/>
  <c r="BP287" i="21"/>
  <c r="BP213" i="21"/>
  <c r="BJ181" i="21"/>
  <c r="BP178" i="21"/>
  <c r="BP278" i="21"/>
  <c r="BM155" i="21"/>
  <c r="BM62" i="21"/>
  <c r="BM354" i="21"/>
  <c r="BP222" i="21"/>
  <c r="BJ113" i="21"/>
  <c r="BM193" i="21"/>
  <c r="BP156" i="21"/>
  <c r="BM81" i="21"/>
  <c r="BP127" i="21"/>
  <c r="BC161" i="21"/>
  <c r="BJ312" i="21"/>
  <c r="BF390" i="21"/>
  <c r="BM325" i="21"/>
  <c r="BM288" i="21"/>
  <c r="BP259" i="21"/>
  <c r="BE194" i="21"/>
  <c r="BJ280" i="21"/>
  <c r="BJ317" i="21"/>
  <c r="BP90" i="21"/>
  <c r="BJ119" i="21"/>
  <c r="BD160" i="21"/>
  <c r="BF225" i="21"/>
  <c r="BC225" i="21"/>
  <c r="BE350" i="21"/>
  <c r="BJ228" i="21"/>
  <c r="BC292" i="21"/>
  <c r="BJ347" i="21"/>
  <c r="BP244" i="21"/>
  <c r="BP223" i="21"/>
  <c r="BP128" i="21"/>
  <c r="BP291" i="21"/>
  <c r="BP179" i="21"/>
  <c r="BP343" i="21"/>
  <c r="BP359" i="21"/>
  <c r="BE95" i="21"/>
  <c r="BD161" i="21"/>
  <c r="BF385" i="21"/>
  <c r="BP61" i="21"/>
  <c r="BP185" i="21"/>
  <c r="BM195" i="21"/>
  <c r="BJ323" i="21"/>
  <c r="BC387" i="21"/>
  <c r="BC258" i="21"/>
  <c r="BF387" i="21"/>
  <c r="BD391" i="21"/>
  <c r="BJ126" i="21"/>
  <c r="BF194" i="21"/>
  <c r="BF258" i="21"/>
  <c r="CG57" i="21"/>
  <c r="BJ87" i="21"/>
  <c r="BJ124" i="21"/>
  <c r="BJ386" i="21"/>
  <c r="BP257" i="21"/>
  <c r="BP192" i="21"/>
  <c r="BP194" i="21"/>
  <c r="BM120" i="21"/>
  <c r="BP356" i="21"/>
  <c r="BP245" i="21"/>
  <c r="BM186" i="21"/>
  <c r="BC194" i="21"/>
  <c r="BP94" i="21"/>
  <c r="BM256" i="21"/>
  <c r="BP146" i="21"/>
  <c r="BM347" i="21"/>
  <c r="BP129" i="21"/>
  <c r="BM55" i="21"/>
  <c r="BM47" i="21"/>
  <c r="BM357" i="21"/>
  <c r="BM243" i="21"/>
  <c r="BM350" i="21"/>
  <c r="BP276" i="21"/>
  <c r="BM221" i="21"/>
  <c r="BM251" i="21"/>
  <c r="BM214" i="21"/>
  <c r="BP53" i="21"/>
  <c r="BM54" i="21"/>
  <c r="BM318" i="21"/>
  <c r="BM63" i="21"/>
  <c r="BM321" i="21"/>
  <c r="BM226" i="21"/>
  <c r="BM125" i="21"/>
  <c r="BJ114" i="21"/>
  <c r="BF192" i="21"/>
  <c r="BE292" i="21"/>
  <c r="BJ116" i="21"/>
  <c r="BF160" i="21"/>
  <c r="BE260" i="21"/>
  <c r="BP310" i="21"/>
  <c r="BP252" i="21"/>
  <c r="BP215" i="21"/>
  <c r="BP113" i="21"/>
  <c r="BP320" i="21"/>
  <c r="BP187" i="21"/>
  <c r="BP151" i="21"/>
  <c r="BP114" i="21"/>
  <c r="BP313" i="21"/>
  <c r="BP247" i="21"/>
  <c r="BM218" i="21"/>
  <c r="BP149" i="21"/>
  <c r="BP123" i="21"/>
  <c r="BP351" i="21"/>
  <c r="BP293" i="21"/>
  <c r="BP256" i="21"/>
  <c r="BP219" i="21"/>
  <c r="BM181" i="21"/>
  <c r="BP116" i="21"/>
  <c r="BM95" i="21"/>
  <c r="BP344" i="21"/>
  <c r="BP360" i="21"/>
  <c r="BP212" i="21"/>
  <c r="BM190" i="21"/>
  <c r="BP117" i="21"/>
  <c r="BP353" i="21"/>
  <c r="BM316" i="21"/>
  <c r="BP126" i="21"/>
  <c r="BP346" i="21"/>
  <c r="BP317" i="21"/>
  <c r="BP280" i="21"/>
  <c r="BP82" i="21"/>
  <c r="BJ81" i="21"/>
  <c r="BJ129" i="21"/>
  <c r="BJ147" i="21"/>
  <c r="BJ348" i="21"/>
  <c r="BC388" i="21"/>
  <c r="BM326" i="21"/>
  <c r="BM192" i="21"/>
  <c r="BP157" i="21"/>
  <c r="BM83" i="21"/>
  <c r="BM356" i="21"/>
  <c r="BP87" i="21"/>
  <c r="BC160" i="21"/>
  <c r="BJ220" i="21"/>
  <c r="BE259" i="21"/>
  <c r="BC260" i="21"/>
  <c r="BD292" i="21"/>
  <c r="BE291" i="21"/>
  <c r="BD350" i="21"/>
  <c r="BD355" i="21"/>
  <c r="BC291" i="21"/>
  <c r="BM355" i="21"/>
  <c r="BM128" i="21"/>
  <c r="BM311" i="21"/>
  <c r="BM327" i="21"/>
  <c r="BP195" i="21"/>
  <c r="BM158" i="21"/>
  <c r="BM121" i="21"/>
  <c r="BM343" i="21"/>
  <c r="BM359" i="21"/>
  <c r="CJ19" i="21"/>
  <c r="CI19" i="21"/>
  <c r="CH19" i="21"/>
  <c r="CJ18" i="21"/>
  <c r="CI18" i="21"/>
  <c r="CH18" i="21"/>
  <c r="CH25" i="21"/>
  <c r="CJ25" i="21"/>
  <c r="CI25" i="21"/>
  <c r="BJ111" i="21"/>
  <c r="BC261" i="21"/>
  <c r="BJ346" i="21"/>
  <c r="BJ383" i="21"/>
  <c r="CJ24" i="21"/>
  <c r="CI24" i="21"/>
  <c r="CH24" i="21"/>
  <c r="CJ16" i="21"/>
  <c r="CI16" i="21"/>
  <c r="CH16" i="21"/>
  <c r="BJ115" i="21"/>
  <c r="BF161" i="21"/>
  <c r="BD192" i="21"/>
  <c r="BJ182" i="21"/>
  <c r="BE225" i="21"/>
  <c r="BE261" i="21"/>
  <c r="BD261" i="21"/>
  <c r="BJ324" i="21"/>
  <c r="BJ313" i="21"/>
  <c r="BJ351" i="21"/>
  <c r="BE390" i="21"/>
  <c r="BD390" i="21"/>
  <c r="CJ130" i="21"/>
  <c r="CI97" i="21"/>
  <c r="CI295" i="21"/>
  <c r="CI229" i="21"/>
  <c r="BP96" i="21"/>
  <c r="BP279" i="21"/>
  <c r="BM146" i="21"/>
  <c r="CJ295" i="21"/>
  <c r="CJ163" i="21"/>
  <c r="AQ12" i="21"/>
  <c r="AO12" i="21"/>
  <c r="AP12" i="21"/>
  <c r="CI22" i="21"/>
  <c r="CH22" i="21"/>
  <c r="CJ22" i="21"/>
  <c r="BP347" i="21"/>
  <c r="BP319" i="21"/>
  <c r="BM282" i="21"/>
  <c r="BP261" i="21"/>
  <c r="BP186" i="21"/>
  <c r="BP150" i="21"/>
  <c r="BM129" i="21"/>
  <c r="BP92" i="21"/>
  <c r="BP357" i="21"/>
  <c r="BP283" i="21"/>
  <c r="BP246" i="21"/>
  <c r="BP225" i="21"/>
  <c r="BM114" i="21"/>
  <c r="BP350" i="21"/>
  <c r="BM180" i="21"/>
  <c r="BM57" i="21"/>
  <c r="BM351" i="21"/>
  <c r="BM344" i="21"/>
  <c r="BM360" i="21"/>
  <c r="BM249" i="21"/>
  <c r="BM154" i="21"/>
  <c r="BM117" i="21"/>
  <c r="BP60" i="21"/>
  <c r="BM353" i="21"/>
  <c r="BP221" i="21"/>
  <c r="BP144" i="21"/>
  <c r="BP251" i="21"/>
  <c r="BP214" i="21"/>
  <c r="BP147" i="21"/>
  <c r="BP119" i="21"/>
  <c r="BM53" i="21"/>
  <c r="CH64" i="21"/>
  <c r="CH295" i="21"/>
  <c r="CH163" i="21"/>
  <c r="CJ23" i="21"/>
  <c r="CI23" i="21"/>
  <c r="CH23" i="21"/>
  <c r="CI30" i="21"/>
  <c r="CH30" i="21"/>
  <c r="CJ30" i="21"/>
  <c r="CJ29" i="21"/>
  <c r="CI29" i="21"/>
  <c r="CH29" i="21"/>
  <c r="BD194" i="21"/>
  <c r="CH196" i="21"/>
  <c r="CI262" i="21"/>
  <c r="CI196" i="21"/>
  <c r="CI163" i="21"/>
  <c r="CH97" i="21"/>
  <c r="CJ15" i="21"/>
  <c r="CI15" i="21"/>
  <c r="CH15" i="21"/>
  <c r="CI14" i="21"/>
  <c r="CH14" i="21"/>
  <c r="CJ14" i="21"/>
  <c r="CJ21" i="21"/>
  <c r="CI21" i="21"/>
  <c r="CH21" i="21"/>
  <c r="CJ13" i="21"/>
  <c r="CI13" i="21"/>
  <c r="CH13" i="21"/>
  <c r="BJ226" i="21"/>
  <c r="BD258" i="21"/>
  <c r="BJ287" i="21"/>
  <c r="CJ28" i="21"/>
  <c r="CI28" i="21"/>
  <c r="CH28" i="21"/>
  <c r="CJ20" i="21"/>
  <c r="CI20" i="21"/>
  <c r="CH20" i="21"/>
  <c r="CJ12" i="21"/>
  <c r="CI12" i="21"/>
  <c r="CH12" i="21"/>
  <c r="BF96" i="21"/>
  <c r="BJ120" i="21"/>
  <c r="BJ153" i="21"/>
  <c r="BE160" i="21"/>
  <c r="BJ180" i="21"/>
  <c r="BE192" i="21"/>
  <c r="BJ224" i="21"/>
  <c r="BF261" i="21"/>
  <c r="BD260" i="21"/>
  <c r="BE258" i="21"/>
  <c r="BF292" i="21"/>
  <c r="BJ314" i="21"/>
  <c r="BF350" i="21"/>
  <c r="BC350" i="21"/>
  <c r="BJ380" i="21"/>
  <c r="CJ262" i="21"/>
  <c r="CJ196" i="21"/>
  <c r="CJ64" i="21"/>
  <c r="CJ27" i="21"/>
  <c r="CI27" i="21"/>
  <c r="CH27" i="21"/>
  <c r="CH262" i="21"/>
  <c r="CI64" i="21"/>
  <c r="CJ97" i="21"/>
  <c r="BP318" i="21"/>
  <c r="BP260" i="21"/>
  <c r="BM49" i="21"/>
  <c r="BP348" i="21"/>
  <c r="BP63" i="21"/>
  <c r="BM349" i="21"/>
  <c r="BM122" i="21"/>
  <c r="BM85" i="21"/>
  <c r="BP321" i="21"/>
  <c r="BP255" i="21"/>
  <c r="BP86" i="21"/>
  <c r="BM322" i="21"/>
  <c r="BP248" i="21"/>
  <c r="BM161" i="21"/>
  <c r="BM124" i="21"/>
  <c r="BP52" i="21"/>
  <c r="BM315" i="21"/>
  <c r="BM257" i="21"/>
  <c r="BP220" i="21"/>
  <c r="BM162" i="21"/>
  <c r="BP125" i="21"/>
  <c r="BP89" i="21"/>
  <c r="BM342" i="21"/>
  <c r="BP210" i="21"/>
  <c r="BP191" i="21"/>
  <c r="BM127" i="21"/>
  <c r="CH130" i="21"/>
  <c r="CJ229" i="21"/>
  <c r="CJ26" i="21"/>
  <c r="CI26" i="21"/>
  <c r="CH26" i="21"/>
  <c r="CH17" i="21"/>
  <c r="CJ17" i="21"/>
  <c r="CI17" i="21"/>
  <c r="CI130" i="21"/>
  <c r="CH229" i="21"/>
  <c r="E56" i="37" s="1"/>
  <c r="BJ315" i="21"/>
  <c r="BJ112" i="21"/>
  <c r="BJ327" i="21"/>
  <c r="BD86" i="21"/>
  <c r="BC86" i="21"/>
  <c r="BE86" i="21"/>
  <c r="BJ122" i="21"/>
  <c r="CG53" i="21"/>
  <c r="BC157" i="21"/>
  <c r="BC128" i="21"/>
  <c r="BF86" i="21"/>
  <c r="BJ118" i="21"/>
  <c r="BD389" i="21"/>
  <c r="BP378" i="21"/>
  <c r="BP381" i="21"/>
  <c r="BP390" i="21"/>
  <c r="BP383" i="21"/>
  <c r="BF389" i="21"/>
  <c r="BJ379" i="21"/>
  <c r="BP384" i="21"/>
  <c r="BM377" i="21"/>
  <c r="BM393" i="21"/>
  <c r="BC393" i="21"/>
  <c r="BC391" i="21"/>
  <c r="BM381" i="21"/>
  <c r="BM390" i="21"/>
  <c r="BP376" i="21"/>
  <c r="BP392" i="21"/>
  <c r="BP385" i="21"/>
  <c r="BP386" i="21"/>
  <c r="BP387" i="21"/>
  <c r="BP380" i="21"/>
  <c r="BE387" i="21"/>
  <c r="BC389" i="21"/>
  <c r="BM376" i="21"/>
  <c r="BM392" i="21"/>
  <c r="BM385" i="21"/>
  <c r="BM386" i="21"/>
  <c r="BM380" i="21"/>
  <c r="BM389" i="21"/>
  <c r="BF391" i="21"/>
  <c r="BD387" i="21"/>
  <c r="BE389" i="21"/>
  <c r="BD388" i="21"/>
  <c r="BC384" i="21"/>
  <c r="BE385" i="21"/>
  <c r="BF384" i="21"/>
  <c r="BC385" i="21"/>
  <c r="BP377" i="21"/>
  <c r="BP393" i="21"/>
  <c r="BP379" i="21"/>
  <c r="BC390" i="21"/>
  <c r="BE384" i="21"/>
  <c r="BJ378" i="21"/>
  <c r="BD384" i="21"/>
  <c r="BM384" i="21"/>
  <c r="BM310" i="21"/>
  <c r="BP326" i="21"/>
  <c r="BP289" i="21"/>
  <c r="BM157" i="21"/>
  <c r="BP83" i="21"/>
  <c r="BM319" i="21"/>
  <c r="BP282" i="21"/>
  <c r="BM261" i="21"/>
  <c r="BP224" i="21"/>
  <c r="BM150" i="21"/>
  <c r="BM113" i="21"/>
  <c r="BM92" i="21"/>
  <c r="BK394" i="21"/>
  <c r="BM375" i="21"/>
  <c r="BM283" i="21"/>
  <c r="BM246" i="21"/>
  <c r="BM225" i="21"/>
  <c r="BM93" i="21"/>
  <c r="BM379" i="21"/>
  <c r="BP284" i="21"/>
  <c r="BP180" i="21"/>
  <c r="BM160" i="21"/>
  <c r="BM123" i="21"/>
  <c r="BP57" i="21"/>
  <c r="BM388" i="21"/>
  <c r="BM314" i="21"/>
  <c r="BP277" i="21"/>
  <c r="BM293" i="21"/>
  <c r="BP153" i="21"/>
  <c r="BM79" i="21"/>
  <c r="BP58" i="21"/>
  <c r="BM323" i="21"/>
  <c r="BM286" i="21"/>
  <c r="BP249" i="21"/>
  <c r="BM228" i="21"/>
  <c r="BP154" i="21"/>
  <c r="BP80" i="21"/>
  <c r="BM96" i="21"/>
  <c r="BM59" i="21"/>
  <c r="BM60" i="21"/>
  <c r="BM279" i="21"/>
  <c r="BM258" i="21"/>
  <c r="BP183" i="21"/>
  <c r="BM144" i="21"/>
  <c r="BM383" i="21"/>
  <c r="BM184" i="21"/>
  <c r="BM147" i="21"/>
  <c r="BM119" i="21"/>
  <c r="BP91" i="21"/>
  <c r="BP55" i="21"/>
  <c r="BP47" i="21"/>
  <c r="BP243" i="21"/>
  <c r="BP93" i="21"/>
  <c r="BP314" i="21"/>
  <c r="BP79" i="21"/>
  <c r="BP59" i="21"/>
  <c r="BM276" i="21"/>
  <c r="BP375" i="21"/>
  <c r="BN394" i="21"/>
  <c r="BK130" i="21"/>
  <c r="BM111" i="21"/>
  <c r="BM289" i="21"/>
  <c r="BM252" i="21"/>
  <c r="BM215" i="21"/>
  <c r="BM194" i="21"/>
  <c r="BP120" i="21"/>
  <c r="BM245" i="21"/>
  <c r="BM224" i="21"/>
  <c r="BM378" i="21"/>
  <c r="BM320" i="21"/>
  <c r="BM187" i="21"/>
  <c r="BM151" i="21"/>
  <c r="BP111" i="21"/>
  <c r="BN130" i="21"/>
  <c r="BM313" i="21"/>
  <c r="BM284" i="21"/>
  <c r="BM247" i="21"/>
  <c r="BP218" i="21"/>
  <c r="BM149" i="21"/>
  <c r="BP160" i="21"/>
  <c r="BM94" i="21"/>
  <c r="BP388" i="21"/>
  <c r="BM277" i="21"/>
  <c r="BM219" i="21"/>
  <c r="BP181" i="21"/>
  <c r="BM153" i="21"/>
  <c r="BM116" i="21"/>
  <c r="BP95" i="21"/>
  <c r="BM58" i="21"/>
  <c r="BP323" i="21"/>
  <c r="BP286" i="21"/>
  <c r="BM212" i="21"/>
  <c r="BP228" i="21"/>
  <c r="BP190" i="21"/>
  <c r="BM80" i="21"/>
  <c r="BP316" i="21"/>
  <c r="BP258" i="21"/>
  <c r="BM183" i="21"/>
  <c r="BM126" i="21"/>
  <c r="BM346" i="21"/>
  <c r="BM317" i="21"/>
  <c r="BM280" i="21"/>
  <c r="BP184" i="21"/>
  <c r="BM82" i="21"/>
  <c r="BM91" i="21"/>
  <c r="BP355" i="21"/>
  <c r="BM244" i="21"/>
  <c r="BM260" i="21"/>
  <c r="BM223" i="21"/>
  <c r="BP148" i="21"/>
  <c r="BP112" i="21"/>
  <c r="BP49" i="21"/>
  <c r="BM348" i="21"/>
  <c r="BM253" i="21"/>
  <c r="BM216" i="21"/>
  <c r="BP158" i="21"/>
  <c r="BP309" i="21"/>
  <c r="BN328" i="21"/>
  <c r="BM291" i="21"/>
  <c r="BP254" i="21"/>
  <c r="BM179" i="21"/>
  <c r="BM177" i="21"/>
  <c r="BP159" i="21"/>
  <c r="BP85" i="21"/>
  <c r="BM255" i="21"/>
  <c r="BM188" i="21"/>
  <c r="BM86" i="21"/>
  <c r="BP48" i="21"/>
  <c r="BM248" i="21"/>
  <c r="BM87" i="21"/>
  <c r="BP50" i="21"/>
  <c r="BM52" i="21"/>
  <c r="BP389" i="21"/>
  <c r="BM352" i="21"/>
  <c r="BP294" i="21"/>
  <c r="BM220" i="21"/>
  <c r="BP182" i="21"/>
  <c r="BM145" i="21"/>
  <c r="BP162" i="21"/>
  <c r="BM51" i="21"/>
  <c r="BM89" i="21"/>
  <c r="BP382" i="21"/>
  <c r="BP342" i="21"/>
  <c r="BM250" i="21"/>
  <c r="BM210" i="21"/>
  <c r="BM191" i="21"/>
  <c r="BP118" i="21"/>
  <c r="BP391" i="21"/>
  <c r="BK328" i="21"/>
  <c r="BM309" i="21"/>
  <c r="BP226" i="21"/>
  <c r="BP51" i="21"/>
  <c r="BM118" i="21"/>
  <c r="BP250" i="21"/>
  <c r="BP281" i="21"/>
  <c r="BM185" i="21"/>
  <c r="BM148" i="21"/>
  <c r="BM112" i="21"/>
  <c r="BM290" i="21"/>
  <c r="BP253" i="21"/>
  <c r="BP216" i="21"/>
  <c r="BM178" i="21"/>
  <c r="BP84" i="21"/>
  <c r="BP46" i="21"/>
  <c r="BP312" i="21"/>
  <c r="BM254" i="21"/>
  <c r="BM217" i="21"/>
  <c r="BP177" i="21"/>
  <c r="BM159" i="21"/>
  <c r="BM56" i="21"/>
  <c r="BM387" i="21"/>
  <c r="BM358" i="21"/>
  <c r="BM292" i="21"/>
  <c r="BP188" i="21"/>
  <c r="BP152" i="21"/>
  <c r="BP115" i="21"/>
  <c r="BM48" i="21"/>
  <c r="BM285" i="21"/>
  <c r="BP211" i="21"/>
  <c r="BM227" i="21"/>
  <c r="BM189" i="21"/>
  <c r="BM50" i="21"/>
  <c r="BP352" i="21"/>
  <c r="BM278" i="21"/>
  <c r="BM294" i="21"/>
  <c r="BM182" i="21"/>
  <c r="BP145" i="21"/>
  <c r="BM88" i="21"/>
  <c r="BM382" i="21"/>
  <c r="BP345" i="21"/>
  <c r="BM324" i="21"/>
  <c r="BM287" i="21"/>
  <c r="BM213" i="21"/>
  <c r="BP155" i="21"/>
  <c r="BP81" i="21"/>
  <c r="BP62" i="21"/>
  <c r="BM391" i="21"/>
  <c r="BP354" i="21"/>
  <c r="BP325" i="21"/>
  <c r="BP288" i="21"/>
  <c r="BM259" i="21"/>
  <c r="BM222" i="21"/>
  <c r="BP193" i="21"/>
  <c r="BM156" i="21"/>
  <c r="BM90" i="21"/>
  <c r="BM61" i="21"/>
  <c r="BP54" i="21"/>
  <c r="AY26" i="21"/>
  <c r="CG26" i="21" s="1"/>
  <c r="BK26" i="21"/>
  <c r="BO26" i="21"/>
  <c r="BL26" i="21"/>
  <c r="BN26" i="21"/>
  <c r="AY18" i="21"/>
  <c r="BK18" i="21"/>
  <c r="BL18" i="21"/>
  <c r="BN18" i="21"/>
  <c r="BO18" i="21"/>
  <c r="BF129" i="21"/>
  <c r="BC259" i="21"/>
  <c r="BD290" i="21"/>
  <c r="BJ318" i="21"/>
  <c r="BE388" i="21"/>
  <c r="AY25" i="21"/>
  <c r="BN25" i="21"/>
  <c r="BK25" i="21"/>
  <c r="BO25" i="21"/>
  <c r="BL25" i="21"/>
  <c r="AY19" i="21"/>
  <c r="BN19" i="21"/>
  <c r="BL19" i="21"/>
  <c r="BK19" i="21"/>
  <c r="BO19" i="21"/>
  <c r="AY17" i="21"/>
  <c r="D430" i="21" s="1"/>
  <c r="BO17" i="21"/>
  <c r="BL17" i="21"/>
  <c r="BN17" i="21"/>
  <c r="BK17" i="21"/>
  <c r="BF259" i="21"/>
  <c r="AY24" i="21"/>
  <c r="BO24" i="21"/>
  <c r="BK24" i="21"/>
  <c r="BL24" i="21"/>
  <c r="BN24" i="21"/>
  <c r="AY16" i="21"/>
  <c r="D429" i="21" s="1"/>
  <c r="BO16" i="21"/>
  <c r="BN16" i="21"/>
  <c r="BL16" i="21"/>
  <c r="BK16" i="21"/>
  <c r="BD129" i="21"/>
  <c r="BC152" i="21"/>
  <c r="BE157" i="21"/>
  <c r="BJ218" i="21"/>
  <c r="BF290" i="21"/>
  <c r="BD393" i="21"/>
  <c r="F12" i="21"/>
  <c r="U12" i="21"/>
  <c r="AY23" i="21"/>
  <c r="BK23" i="21"/>
  <c r="BL23" i="21"/>
  <c r="BN23" i="21"/>
  <c r="BO23" i="21"/>
  <c r="AY15" i="21"/>
  <c r="D428" i="21" s="1"/>
  <c r="BL15" i="21"/>
  <c r="BN15" i="21"/>
  <c r="BK15" i="21"/>
  <c r="BO15" i="21"/>
  <c r="BC129" i="21"/>
  <c r="BE152" i="21"/>
  <c r="BE188" i="21"/>
  <c r="BE393" i="21"/>
  <c r="AY30" i="21"/>
  <c r="BL30" i="21"/>
  <c r="BO30" i="21"/>
  <c r="BK30" i="21"/>
  <c r="BN30" i="21"/>
  <c r="BH22" i="21"/>
  <c r="BI22" i="21" s="1"/>
  <c r="BL22" i="21"/>
  <c r="BN22" i="21"/>
  <c r="BK22" i="21"/>
  <c r="BO22" i="21"/>
  <c r="AY14" i="21"/>
  <c r="BL14" i="21"/>
  <c r="BO14" i="21"/>
  <c r="BN14" i="21"/>
  <c r="BK14" i="21"/>
  <c r="BD157" i="21"/>
  <c r="BF188" i="21"/>
  <c r="BC188" i="21"/>
  <c r="BJ213" i="21"/>
  <c r="BE290" i="21"/>
  <c r="AY27" i="21"/>
  <c r="BN27" i="21"/>
  <c r="BK27" i="21"/>
  <c r="BO27" i="21"/>
  <c r="BL27" i="21"/>
  <c r="AY29" i="21"/>
  <c r="BL29" i="21"/>
  <c r="BN29" i="21"/>
  <c r="BO29" i="21"/>
  <c r="BK29" i="21"/>
  <c r="AY21" i="21"/>
  <c r="CG21" i="21" s="1"/>
  <c r="BL21" i="21"/>
  <c r="BN21" i="21"/>
  <c r="BK21" i="21"/>
  <c r="BO21" i="21"/>
  <c r="AY13" i="21"/>
  <c r="BO13" i="21"/>
  <c r="BN13" i="21"/>
  <c r="BK13" i="21"/>
  <c r="BL13" i="21"/>
  <c r="CG54" i="21"/>
  <c r="BD188" i="21"/>
  <c r="BJ248" i="21"/>
  <c r="BJ321" i="21"/>
  <c r="BF393" i="21"/>
  <c r="BF388" i="21"/>
  <c r="AY28" i="21"/>
  <c r="CG28" i="21" s="1"/>
  <c r="BN28" i="21"/>
  <c r="BK28" i="21"/>
  <c r="BL28" i="21"/>
  <c r="BO28" i="21"/>
  <c r="AY20" i="21"/>
  <c r="BN20" i="21"/>
  <c r="BK20" i="21"/>
  <c r="BO20" i="21"/>
  <c r="BL20" i="21"/>
  <c r="BH12" i="21"/>
  <c r="BI12" i="21" s="1"/>
  <c r="BL12" i="21"/>
  <c r="BO12" i="21"/>
  <c r="BK12" i="21"/>
  <c r="BF152" i="21"/>
  <c r="BJ342" i="21"/>
  <c r="BC154" i="21"/>
  <c r="BC355" i="21"/>
  <c r="BJ343" i="21"/>
  <c r="BE355" i="21"/>
  <c r="BN361" i="21"/>
  <c r="BD357" i="21"/>
  <c r="BF356" i="21"/>
  <c r="BC356" i="21"/>
  <c r="BK361" i="21"/>
  <c r="BD356" i="21"/>
  <c r="BF355" i="21"/>
  <c r="BE356" i="21"/>
  <c r="BE326" i="21"/>
  <c r="BF325" i="21"/>
  <c r="BJ319" i="21"/>
  <c r="BE318" i="21"/>
  <c r="BD326" i="21"/>
  <c r="BC326" i="21"/>
  <c r="BC324" i="21"/>
  <c r="BJ325" i="21"/>
  <c r="BF326" i="21"/>
  <c r="BF285" i="21"/>
  <c r="BC290" i="21"/>
  <c r="CG290" i="21"/>
  <c r="BK295" i="21"/>
  <c r="BC285" i="21"/>
  <c r="BN295" i="21"/>
  <c r="BJ283" i="21"/>
  <c r="BJ279" i="21"/>
  <c r="BD285" i="21"/>
  <c r="BE285" i="21"/>
  <c r="BC287" i="21"/>
  <c r="CG287" i="21"/>
  <c r="BJ247" i="21"/>
  <c r="BN262" i="21"/>
  <c r="BE257" i="21"/>
  <c r="CG257" i="21"/>
  <c r="BK262" i="21"/>
  <c r="CG251" i="21"/>
  <c r="BJ212" i="21"/>
  <c r="BJ215" i="21"/>
  <c r="BJ222" i="21"/>
  <c r="BJ214" i="21"/>
  <c r="BJ221" i="21"/>
  <c r="BD225" i="21"/>
  <c r="BJ217" i="21"/>
  <c r="BC228" i="21"/>
  <c r="CG228" i="21"/>
  <c r="BK229" i="21"/>
  <c r="BJ223" i="21"/>
  <c r="CG219" i="21"/>
  <c r="BN229" i="21"/>
  <c r="BE185" i="21"/>
  <c r="BE190" i="21"/>
  <c r="BF185" i="21"/>
  <c r="BD190" i="21"/>
  <c r="BD185" i="21"/>
  <c r="BC192" i="21"/>
  <c r="BN196" i="21"/>
  <c r="BC189" i="21"/>
  <c r="CG189" i="21"/>
  <c r="BF190" i="21"/>
  <c r="BC185" i="21"/>
  <c r="BK196" i="21"/>
  <c r="BC190" i="21"/>
  <c r="BF157" i="21"/>
  <c r="BD152" i="21"/>
  <c r="BF154" i="21"/>
  <c r="BJ149" i="21"/>
  <c r="BE154" i="21"/>
  <c r="BN163" i="21"/>
  <c r="BK163" i="21"/>
  <c r="BJ123" i="21"/>
  <c r="BC125" i="21"/>
  <c r="BJ121" i="21"/>
  <c r="BE125" i="21"/>
  <c r="BF125" i="21"/>
  <c r="BD125" i="21"/>
  <c r="BE126" i="21"/>
  <c r="CG126" i="21"/>
  <c r="BD128" i="21"/>
  <c r="BE128" i="21"/>
  <c r="BF128" i="21"/>
  <c r="BD124" i="21"/>
  <c r="CG124" i="21"/>
  <c r="BD122" i="21"/>
  <c r="CG122" i="21"/>
  <c r="BE129" i="21"/>
  <c r="BC126" i="21"/>
  <c r="BD95" i="21"/>
  <c r="BF95" i="21"/>
  <c r="BC95" i="21"/>
  <c r="BD90" i="21"/>
  <c r="BE96" i="21"/>
  <c r="BE90" i="21"/>
  <c r="BC89" i="21"/>
  <c r="CG92" i="21"/>
  <c r="BP78" i="21"/>
  <c r="BN97" i="21"/>
  <c r="BD89" i="21"/>
  <c r="BK97" i="21"/>
  <c r="BM78" i="21"/>
  <c r="BE89" i="21"/>
  <c r="BD96" i="21"/>
  <c r="BC96" i="21"/>
  <c r="BF90" i="21"/>
  <c r="BF89" i="21"/>
  <c r="BC90" i="21"/>
  <c r="CG56" i="21"/>
  <c r="CG60" i="21"/>
  <c r="BK64" i="21"/>
  <c r="BM45" i="21"/>
  <c r="BP45" i="21"/>
  <c r="BN64" i="21"/>
  <c r="CG61" i="21"/>
  <c r="BJ85" i="21"/>
  <c r="X12" i="21"/>
  <c r="W12" i="21"/>
  <c r="BC187" i="21"/>
  <c r="BC323" i="21"/>
  <c r="BC254" i="21"/>
  <c r="BJ387" i="21"/>
  <c r="BC92" i="21"/>
  <c r="BJ225" i="21"/>
  <c r="BD126" i="21"/>
  <c r="BC221" i="21"/>
  <c r="BE191" i="21"/>
  <c r="BD191" i="21"/>
  <c r="BC191" i="21"/>
  <c r="BJ344" i="21"/>
  <c r="BJ390" i="21"/>
  <c r="BF191" i="21"/>
  <c r="BE219" i="21"/>
  <c r="BD94" i="21"/>
  <c r="BC227" i="21"/>
  <c r="BF189" i="21"/>
  <c r="BE227" i="21"/>
  <c r="BJ128" i="21"/>
  <c r="BF227" i="21"/>
  <c r="BC94" i="21"/>
  <c r="BF257" i="21"/>
  <c r="BE162" i="21"/>
  <c r="BD227" i="21"/>
  <c r="BC162" i="21"/>
  <c r="BF253" i="21"/>
  <c r="BJ117" i="21"/>
  <c r="BE158" i="21"/>
  <c r="BD162" i="21"/>
  <c r="BC93" i="21"/>
  <c r="BF162" i="21"/>
  <c r="BC158" i="21"/>
  <c r="BF93" i="21"/>
  <c r="BF158" i="21"/>
  <c r="BD158" i="21"/>
  <c r="BD121" i="21"/>
  <c r="BF318" i="21"/>
  <c r="BJ385" i="21"/>
  <c r="BE94" i="21"/>
  <c r="BE121" i="21"/>
  <c r="BC121" i="21"/>
  <c r="BD320" i="21"/>
  <c r="BC257" i="21"/>
  <c r="BF94" i="21"/>
  <c r="BF121" i="21"/>
  <c r="BD257" i="21"/>
  <c r="BD318" i="21"/>
  <c r="BD87" i="21"/>
  <c r="BD187" i="21"/>
  <c r="BD323" i="21"/>
  <c r="BE87" i="21"/>
  <c r="BD254" i="21"/>
  <c r="BD93" i="21"/>
  <c r="BF87" i="21"/>
  <c r="BE323" i="21"/>
  <c r="BE254" i="21"/>
  <c r="BC87" i="21"/>
  <c r="BF187" i="21"/>
  <c r="BE187" i="21"/>
  <c r="BF323" i="21"/>
  <c r="BF254" i="21"/>
  <c r="BD153" i="21"/>
  <c r="BC153" i="21"/>
  <c r="BF219" i="21"/>
  <c r="BF320" i="21"/>
  <c r="BF153" i="21"/>
  <c r="BD317" i="21"/>
  <c r="BD219" i="21"/>
  <c r="BC219" i="21"/>
  <c r="CG55" i="21"/>
  <c r="BF120" i="21"/>
  <c r="BC317" i="21"/>
  <c r="BC320" i="21"/>
  <c r="BE321" i="21"/>
  <c r="BD321" i="21"/>
  <c r="BE320" i="21"/>
  <c r="BC120" i="21"/>
  <c r="BE153" i="21"/>
  <c r="BF321" i="21"/>
  <c r="BC321" i="21"/>
  <c r="BJ350" i="21"/>
  <c r="BC255" i="21"/>
  <c r="BF327" i="21"/>
  <c r="BD353" i="21"/>
  <c r="BF252" i="21"/>
  <c r="BD252" i="21"/>
  <c r="BE255" i="21"/>
  <c r="BE353" i="21"/>
  <c r="BC252" i="21"/>
  <c r="BE319" i="21"/>
  <c r="BE252" i="21"/>
  <c r="BF255" i="21"/>
  <c r="BE327" i="21"/>
  <c r="BC327" i="21"/>
  <c r="BF353" i="21"/>
  <c r="BC353" i="21"/>
  <c r="BD255" i="21"/>
  <c r="BD92" i="21"/>
  <c r="BE224" i="21"/>
  <c r="BF92" i="21"/>
  <c r="BE186" i="21"/>
  <c r="BF317" i="21"/>
  <c r="BF322" i="21"/>
  <c r="BJ381" i="21"/>
  <c r="BE92" i="21"/>
  <c r="BF122" i="21"/>
  <c r="BF186" i="21"/>
  <c r="BC186" i="21"/>
  <c r="BE322" i="21"/>
  <c r="BD186" i="21"/>
  <c r="BD322" i="21"/>
  <c r="D473" i="21"/>
  <c r="BH130" i="21"/>
  <c r="BE120" i="21"/>
  <c r="BF223" i="21"/>
  <c r="BD327" i="21"/>
  <c r="BE222" i="21"/>
  <c r="BC319" i="21"/>
  <c r="BC123" i="21"/>
  <c r="BD120" i="21"/>
  <c r="BD223" i="21"/>
  <c r="BC223" i="21"/>
  <c r="BJ326" i="21"/>
  <c r="BF319" i="21"/>
  <c r="BJ388" i="21"/>
  <c r="BE93" i="21"/>
  <c r="BJ125" i="21"/>
  <c r="BF222" i="21"/>
  <c r="BF324" i="21"/>
  <c r="BD319" i="21"/>
  <c r="BE223" i="21"/>
  <c r="BJ219" i="21"/>
  <c r="BJ316" i="21"/>
  <c r="BD123" i="21"/>
  <c r="BD222" i="21"/>
  <c r="BD325" i="21"/>
  <c r="BE123" i="21"/>
  <c r="BD289" i="21"/>
  <c r="BC322" i="21"/>
  <c r="BC222" i="21"/>
  <c r="BE119" i="21"/>
  <c r="BF123" i="21"/>
  <c r="BD159" i="21"/>
  <c r="BD221" i="21"/>
  <c r="BC253" i="21"/>
  <c r="BC293" i="21"/>
  <c r="BE155" i="21"/>
  <c r="BF221" i="21"/>
  <c r="BD253" i="21"/>
  <c r="BE124" i="21"/>
  <c r="BD293" i="21"/>
  <c r="BE324" i="21"/>
  <c r="BJ384" i="21"/>
  <c r="BD392" i="21"/>
  <c r="BC124" i="21"/>
  <c r="BE221" i="21"/>
  <c r="BD256" i="21"/>
  <c r="BD324" i="21"/>
  <c r="BJ83" i="21"/>
  <c r="BF159" i="21"/>
  <c r="BC155" i="21"/>
  <c r="BF293" i="21"/>
  <c r="BE293" i="21"/>
  <c r="BF124" i="21"/>
  <c r="BF155" i="21"/>
  <c r="BD155" i="21"/>
  <c r="BJ216" i="21"/>
  <c r="BJ320" i="21"/>
  <c r="BE357" i="21"/>
  <c r="BC288" i="21"/>
  <c r="BC392" i="21"/>
  <c r="BF286" i="21"/>
  <c r="BF359" i="21"/>
  <c r="BF392" i="21"/>
  <c r="BF289" i="21"/>
  <c r="BC289" i="21"/>
  <c r="BF386" i="21"/>
  <c r="BE286" i="21"/>
  <c r="BD288" i="21"/>
  <c r="BF358" i="21"/>
  <c r="BD386" i="21"/>
  <c r="BE288" i="21"/>
  <c r="BC386" i="21"/>
  <c r="BF127" i="21"/>
  <c r="BD286" i="21"/>
  <c r="BF288" i="21"/>
  <c r="BE386" i="21"/>
  <c r="BC286" i="21"/>
  <c r="BF195" i="21"/>
  <c r="BF224" i="21"/>
  <c r="BE228" i="21"/>
  <c r="BH361" i="21"/>
  <c r="BE351" i="21"/>
  <c r="BC359" i="21"/>
  <c r="BD284" i="21"/>
  <c r="BC318" i="21"/>
  <c r="BD218" i="21"/>
  <c r="BD251" i="21"/>
  <c r="BF228" i="21"/>
  <c r="BC251" i="21"/>
  <c r="BF284" i="21"/>
  <c r="BC159" i="21"/>
  <c r="BJ227" i="21"/>
  <c r="BC357" i="21"/>
  <c r="BE392" i="21"/>
  <c r="BF294" i="21"/>
  <c r="BC354" i="21"/>
  <c r="BE220" i="21"/>
  <c r="BD220" i="21"/>
  <c r="BE354" i="21"/>
  <c r="BF357" i="21"/>
  <c r="BD354" i="21"/>
  <c r="BE383" i="21"/>
  <c r="BF220" i="21"/>
  <c r="BC220" i="21"/>
  <c r="BD294" i="21"/>
  <c r="BF354" i="21"/>
  <c r="BJ382" i="21"/>
  <c r="BH229" i="21"/>
  <c r="BE289" i="21"/>
  <c r="BE91" i="21"/>
  <c r="BD91" i="21"/>
  <c r="BJ281" i="21"/>
  <c r="BD287" i="21"/>
  <c r="BF119" i="21"/>
  <c r="BE226" i="21"/>
  <c r="BF287" i="21"/>
  <c r="BJ290" i="21"/>
  <c r="BC91" i="21"/>
  <c r="BH295" i="21"/>
  <c r="BE253" i="21"/>
  <c r="BE287" i="21"/>
  <c r="BC119" i="21"/>
  <c r="BD119" i="21"/>
  <c r="BF251" i="21"/>
  <c r="BE251" i="21"/>
  <c r="BF91" i="21"/>
  <c r="BE218" i="21"/>
  <c r="BJ211" i="21"/>
  <c r="BJ393" i="21"/>
  <c r="BD383" i="21"/>
  <c r="BC383" i="21"/>
  <c r="BD228" i="21"/>
  <c r="BJ389" i="21"/>
  <c r="BF383" i="21"/>
  <c r="BJ391" i="21"/>
  <c r="BJ377" i="21"/>
  <c r="AY394" i="21"/>
  <c r="BJ376" i="21"/>
  <c r="BH394" i="21"/>
  <c r="BI375" i="21"/>
  <c r="BJ375" i="21" s="1"/>
  <c r="BC360" i="21"/>
  <c r="BC352" i="21"/>
  <c r="BE359" i="21"/>
  <c r="BE360" i="21"/>
  <c r="BE352" i="21"/>
  <c r="BF360" i="21"/>
  <c r="BF352" i="21"/>
  <c r="BD359" i="21"/>
  <c r="BD352" i="21"/>
  <c r="BF351" i="21"/>
  <c r="BD351" i="21"/>
  <c r="BC351" i="21"/>
  <c r="BD360" i="21"/>
  <c r="BE358" i="21"/>
  <c r="BD358" i="21"/>
  <c r="BC358" i="21"/>
  <c r="AY361" i="21"/>
  <c r="BE325" i="21"/>
  <c r="BC325" i="21"/>
  <c r="BE317" i="21"/>
  <c r="AY328" i="21"/>
  <c r="BJ311" i="21"/>
  <c r="BJ310" i="21"/>
  <c r="BH328" i="21"/>
  <c r="BJ309" i="21"/>
  <c r="BE294" i="21"/>
  <c r="BC294" i="21"/>
  <c r="BI292" i="21"/>
  <c r="BJ292" i="21" s="1"/>
  <c r="BE284" i="21"/>
  <c r="BC284" i="21"/>
  <c r="AY295" i="21"/>
  <c r="BC256" i="21"/>
  <c r="BF256" i="21"/>
  <c r="BE256" i="21"/>
  <c r="BI261" i="21"/>
  <c r="BJ261" i="21" s="1"/>
  <c r="BI260" i="21"/>
  <c r="BJ260" i="21" s="1"/>
  <c r="BI259" i="21"/>
  <c r="BJ259" i="21" s="1"/>
  <c r="BI258" i="21"/>
  <c r="BJ258" i="21" s="1"/>
  <c r="AY262" i="21"/>
  <c r="BH262" i="21"/>
  <c r="BF226" i="21"/>
  <c r="BC218" i="21"/>
  <c r="BF218" i="21"/>
  <c r="BD224" i="21"/>
  <c r="BC224" i="21"/>
  <c r="BD226" i="21"/>
  <c r="BC226" i="21"/>
  <c r="AY229" i="21"/>
  <c r="BH196" i="21"/>
  <c r="BE195" i="21"/>
  <c r="BD195" i="21"/>
  <c r="BE189" i="21"/>
  <c r="BD189" i="21"/>
  <c r="BF193" i="21"/>
  <c r="BD193" i="21"/>
  <c r="BE193" i="21"/>
  <c r="BC193" i="21"/>
  <c r="BC195" i="21"/>
  <c r="AY196" i="21"/>
  <c r="BC156" i="21"/>
  <c r="BF156" i="21"/>
  <c r="BE156" i="21"/>
  <c r="BD156" i="21"/>
  <c r="BE159" i="21"/>
  <c r="BI146" i="21"/>
  <c r="BJ146" i="21" s="1"/>
  <c r="BI145" i="21"/>
  <c r="BJ145" i="21" s="1"/>
  <c r="BH163" i="21"/>
  <c r="BI144" i="21"/>
  <c r="BJ144" i="21" s="1"/>
  <c r="AY163" i="21"/>
  <c r="BE122" i="21"/>
  <c r="BC122" i="21"/>
  <c r="AY130" i="21"/>
  <c r="BE127" i="21"/>
  <c r="BD127" i="21"/>
  <c r="BC127" i="21"/>
  <c r="BC88" i="21"/>
  <c r="BD88" i="21"/>
  <c r="BF88" i="21"/>
  <c r="BE88" i="21"/>
  <c r="BI80" i="21"/>
  <c r="BJ80" i="21" s="1"/>
  <c r="AY97" i="21"/>
  <c r="BI79" i="21"/>
  <c r="BJ79" i="21" s="1"/>
  <c r="BI78" i="21"/>
  <c r="BJ78" i="21" s="1"/>
  <c r="BH97" i="21"/>
  <c r="AY64" i="21"/>
  <c r="CG63" i="21"/>
  <c r="BH64" i="21"/>
  <c r="BH24" i="21"/>
  <c r="BI24" i="21" s="1"/>
  <c r="BH23" i="21"/>
  <c r="BI23" i="21" s="1"/>
  <c r="BA31" i="21"/>
  <c r="BJ59" i="21"/>
  <c r="BJ61" i="21"/>
  <c r="BH16" i="21"/>
  <c r="BI16" i="21" s="1"/>
  <c r="BH15" i="21"/>
  <c r="BI15" i="21" s="1"/>
  <c r="BH28" i="21"/>
  <c r="BH20" i="21"/>
  <c r="BI20" i="21" s="1"/>
  <c r="BJ20" i="21" s="1"/>
  <c r="BH29" i="21"/>
  <c r="BI29" i="21" s="1"/>
  <c r="BH27" i="21"/>
  <c r="BI27" i="21" s="1"/>
  <c r="BH19" i="21"/>
  <c r="BI19" i="21" s="1"/>
  <c r="BJ19" i="21" s="1"/>
  <c r="BH13" i="21"/>
  <c r="BI13" i="21" s="1"/>
  <c r="BH26" i="21"/>
  <c r="BI26" i="21" s="1"/>
  <c r="BH18" i="21"/>
  <c r="BH21" i="21"/>
  <c r="BI21" i="21" s="1"/>
  <c r="BH25" i="21"/>
  <c r="BI25" i="21" s="1"/>
  <c r="BJ25" i="21" s="1"/>
  <c r="BH17" i="21"/>
  <c r="BI17" i="21" s="1"/>
  <c r="BJ17" i="21" s="1"/>
  <c r="AY22" i="21"/>
  <c r="BH30" i="21"/>
  <c r="BI30" i="21" s="1"/>
  <c r="BH14" i="21"/>
  <c r="BI14" i="21" s="1"/>
  <c r="N198" i="29" l="1"/>
  <c r="U198" i="29" s="1"/>
  <c r="N41" i="37"/>
  <c r="N179" i="29"/>
  <c r="U179" i="29" s="1"/>
  <c r="M38" i="37"/>
  <c r="N20" i="29"/>
  <c r="U20" i="29" s="1"/>
  <c r="C39" i="37"/>
  <c r="N55" i="29"/>
  <c r="U55" i="29" s="1"/>
  <c r="E42" i="37"/>
  <c r="N182" i="29"/>
  <c r="U182" i="29" s="1"/>
  <c r="M41" i="37"/>
  <c r="N38" i="29"/>
  <c r="U38" i="29" s="1"/>
  <c r="D41" i="37"/>
  <c r="N21" i="29"/>
  <c r="U21" i="29" s="1"/>
  <c r="C40" i="37"/>
  <c r="N103" i="29"/>
  <c r="U103" i="29" s="1"/>
  <c r="H42" i="37"/>
  <c r="N180" i="29"/>
  <c r="U180" i="29" s="1"/>
  <c r="M39" i="37"/>
  <c r="N64" i="29"/>
  <c r="U64" i="29" s="1"/>
  <c r="F35" i="37"/>
  <c r="N118" i="29"/>
  <c r="U118" i="29" s="1"/>
  <c r="I41" i="37"/>
  <c r="N183" i="29"/>
  <c r="U183" i="29" s="1"/>
  <c r="M42" i="37"/>
  <c r="N19" i="29"/>
  <c r="U19" i="29" s="1"/>
  <c r="C38" i="37"/>
  <c r="N181" i="29"/>
  <c r="U181" i="29" s="1"/>
  <c r="M40" i="37"/>
  <c r="N163" i="29"/>
  <c r="U163" i="29" s="1"/>
  <c r="L38" i="37"/>
  <c r="N167" i="29"/>
  <c r="U167" i="29" s="1"/>
  <c r="L42" i="37"/>
  <c r="N166" i="29"/>
  <c r="U166" i="29" s="1"/>
  <c r="L41" i="37"/>
  <c r="N164" i="29"/>
  <c r="U164" i="29" s="1"/>
  <c r="L39" i="37"/>
  <c r="N165" i="29"/>
  <c r="U165" i="29" s="1"/>
  <c r="L40" i="37"/>
  <c r="B34" i="36"/>
  <c r="F33" i="36"/>
  <c r="C33" i="36"/>
  <c r="E33" i="36"/>
  <c r="D33" i="36"/>
  <c r="AJ12" i="21"/>
  <c r="D431" i="21"/>
  <c r="D432" i="21"/>
  <c r="BJ196" i="21"/>
  <c r="CG30" i="21"/>
  <c r="CG24" i="21"/>
  <c r="CG20" i="21"/>
  <c r="O12" i="21"/>
  <c r="P12" i="21" s="1"/>
  <c r="AD12" i="21"/>
  <c r="CG23" i="21"/>
  <c r="BM12" i="21"/>
  <c r="BP26" i="21"/>
  <c r="BM13" i="21"/>
  <c r="BM295" i="21"/>
  <c r="BP24" i="21"/>
  <c r="BP23" i="21"/>
  <c r="BP25" i="21"/>
  <c r="BP19" i="21"/>
  <c r="BM328" i="21"/>
  <c r="CJ31" i="21"/>
  <c r="BM26" i="21"/>
  <c r="CI31" i="21"/>
  <c r="BP13" i="21"/>
  <c r="BM15" i="21"/>
  <c r="BP29" i="21"/>
  <c r="BP14" i="21"/>
  <c r="BM27" i="21"/>
  <c r="CH31" i="21"/>
  <c r="CG29" i="21"/>
  <c r="BM28" i="21"/>
  <c r="BM14" i="21"/>
  <c r="BP328" i="21"/>
  <c r="BM130" i="21"/>
  <c r="BM394" i="21"/>
  <c r="BP28" i="21"/>
  <c r="BM21" i="21"/>
  <c r="BP27" i="21"/>
  <c r="BM30" i="21"/>
  <c r="AG12" i="21"/>
  <c r="AI12" i="21" s="1"/>
  <c r="AA12" i="21"/>
  <c r="AC12" i="21" s="1"/>
  <c r="BP394" i="21"/>
  <c r="BP20" i="21"/>
  <c r="BP21" i="21"/>
  <c r="BM25" i="21"/>
  <c r="BP130" i="21"/>
  <c r="BM19" i="21"/>
  <c r="BM29" i="21"/>
  <c r="BP22" i="21"/>
  <c r="BM17" i="21"/>
  <c r="BP30" i="21"/>
  <c r="BP17" i="21"/>
  <c r="BM18" i="21"/>
  <c r="BM20" i="21"/>
  <c r="BM23" i="21"/>
  <c r="BM361" i="21"/>
  <c r="BK31" i="21"/>
  <c r="BN31" i="21"/>
  <c r="BP12" i="21"/>
  <c r="BP15" i="21"/>
  <c r="BM24" i="21"/>
  <c r="CG25" i="21"/>
  <c r="BM22" i="21"/>
  <c r="BM16" i="21"/>
  <c r="CG27" i="21"/>
  <c r="BJ22" i="21"/>
  <c r="BP16" i="21"/>
  <c r="BP18" i="21"/>
  <c r="BP361" i="21"/>
  <c r="BP295" i="21"/>
  <c r="BM262" i="21"/>
  <c r="BP262" i="21"/>
  <c r="BM229" i="21"/>
  <c r="BP229" i="21"/>
  <c r="BM196" i="21"/>
  <c r="BP196" i="21"/>
  <c r="BP163" i="21"/>
  <c r="BM163" i="21"/>
  <c r="BM97" i="21"/>
  <c r="BP97" i="21"/>
  <c r="BP64" i="21"/>
  <c r="BM64" i="21"/>
  <c r="Y12" i="21"/>
  <c r="V12" i="21"/>
  <c r="BJ361" i="21"/>
  <c r="BJ12" i="21"/>
  <c r="BJ130" i="21"/>
  <c r="BJ24" i="21"/>
  <c r="BJ229" i="21"/>
  <c r="BJ23" i="21"/>
  <c r="BJ27" i="21"/>
  <c r="BJ295" i="21"/>
  <c r="BJ15" i="21"/>
  <c r="BJ394" i="21"/>
  <c r="BJ328" i="21"/>
  <c r="BJ262" i="21"/>
  <c r="BJ163" i="21"/>
  <c r="BJ97" i="21"/>
  <c r="BJ64" i="21"/>
  <c r="AY31" i="21"/>
  <c r="BJ16" i="21"/>
  <c r="CG22" i="21"/>
  <c r="BJ26" i="21"/>
  <c r="BJ13" i="21"/>
  <c r="BI18" i="21"/>
  <c r="BJ18" i="21" s="1"/>
  <c r="BJ14" i="21"/>
  <c r="BJ21" i="21"/>
  <c r="BJ30" i="21"/>
  <c r="BJ29" i="21"/>
  <c r="BI28" i="21"/>
  <c r="BJ28" i="21" s="1"/>
  <c r="F21" i="29" l="1"/>
  <c r="F20" i="29"/>
  <c r="N23" i="29"/>
  <c r="U23" i="29" s="1"/>
  <c r="C42" i="37"/>
  <c r="N22" i="29"/>
  <c r="U22" i="29" s="1"/>
  <c r="C41" i="37"/>
  <c r="E34" i="36"/>
  <c r="D34" i="36"/>
  <c r="C34" i="36"/>
  <c r="F34" i="36"/>
  <c r="B35" i="36"/>
  <c r="BM31" i="21"/>
  <c r="BP31" i="21"/>
  <c r="C594" i="21"/>
  <c r="C595" i="21"/>
  <c r="C596" i="21"/>
  <c r="C597" i="21"/>
  <c r="C598" i="21"/>
  <c r="C599" i="21"/>
  <c r="C600" i="21"/>
  <c r="C593" i="21"/>
  <c r="C578" i="21"/>
  <c r="C579" i="21"/>
  <c r="C580" i="21"/>
  <c r="C581" i="21"/>
  <c r="C582" i="21"/>
  <c r="C583" i="21"/>
  <c r="C584" i="21"/>
  <c r="C577" i="21"/>
  <c r="C562" i="21"/>
  <c r="C563" i="21"/>
  <c r="C564" i="21"/>
  <c r="C565" i="21"/>
  <c r="C566" i="21"/>
  <c r="C567" i="21"/>
  <c r="C568" i="21"/>
  <c r="C561" i="21"/>
  <c r="C546" i="21"/>
  <c r="C547" i="21"/>
  <c r="C548" i="21"/>
  <c r="C549" i="21"/>
  <c r="C550" i="21"/>
  <c r="C551" i="21"/>
  <c r="C552" i="21"/>
  <c r="C545" i="21"/>
  <c r="C530" i="21"/>
  <c r="C531" i="21"/>
  <c r="C532" i="21"/>
  <c r="C533" i="21"/>
  <c r="C534" i="21"/>
  <c r="C535" i="21"/>
  <c r="C536" i="21"/>
  <c r="C529" i="21"/>
  <c r="C514" i="21"/>
  <c r="C515" i="21"/>
  <c r="C516" i="21"/>
  <c r="C517" i="21"/>
  <c r="C518" i="21"/>
  <c r="C519" i="21"/>
  <c r="C520" i="21"/>
  <c r="C513" i="21"/>
  <c r="C498" i="21"/>
  <c r="C499" i="21"/>
  <c r="C500" i="21"/>
  <c r="C501" i="21"/>
  <c r="C502" i="21"/>
  <c r="C503" i="21"/>
  <c r="C504" i="21"/>
  <c r="C497" i="21"/>
  <c r="C483" i="21"/>
  <c r="C484" i="21"/>
  <c r="C485" i="21"/>
  <c r="C486" i="21"/>
  <c r="C487" i="21"/>
  <c r="C488" i="21"/>
  <c r="C482" i="21"/>
  <c r="C481" i="21"/>
  <c r="C466" i="21"/>
  <c r="C467" i="21"/>
  <c r="C468" i="21"/>
  <c r="C469" i="21"/>
  <c r="C470" i="21"/>
  <c r="C471" i="21"/>
  <c r="C472" i="21"/>
  <c r="C465" i="21"/>
  <c r="C450" i="21"/>
  <c r="C451" i="21"/>
  <c r="C452" i="21"/>
  <c r="C453" i="21"/>
  <c r="C454" i="21"/>
  <c r="C455" i="21"/>
  <c r="C456" i="21"/>
  <c r="C449" i="21"/>
  <c r="C434" i="21"/>
  <c r="C435" i="21"/>
  <c r="C436" i="21"/>
  <c r="C437" i="21"/>
  <c r="C438" i="21"/>
  <c r="C439" i="21"/>
  <c r="C440" i="21"/>
  <c r="C433" i="21"/>
  <c r="C418" i="21"/>
  <c r="B8" i="37" s="1"/>
  <c r="B28" i="37" s="1"/>
  <c r="C419" i="21"/>
  <c r="B9" i="37" s="1"/>
  <c r="B29" i="37" s="1"/>
  <c r="C420" i="21"/>
  <c r="B10" i="37" s="1"/>
  <c r="B30" i="37" s="1"/>
  <c r="C421" i="21"/>
  <c r="B11" i="37" s="1"/>
  <c r="B31" i="37" s="1"/>
  <c r="C422" i="21"/>
  <c r="B12" i="37" s="1"/>
  <c r="B32" i="37" s="1"/>
  <c r="C423" i="21"/>
  <c r="B13" i="37" s="1"/>
  <c r="B33" i="37" s="1"/>
  <c r="C424" i="21"/>
  <c r="B14" i="37" s="1"/>
  <c r="B34" i="37" s="1"/>
  <c r="C417" i="21"/>
  <c r="B7" i="37" s="1"/>
  <c r="B27" i="37" s="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75" i="21"/>
  <c r="G394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42" i="21"/>
  <c r="G361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09" i="21"/>
  <c r="G328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76" i="21"/>
  <c r="G295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43" i="21"/>
  <c r="G262" i="21"/>
  <c r="G229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77" i="21"/>
  <c r="G196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44" i="21"/>
  <c r="G163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G130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78" i="21"/>
  <c r="G97" i="21"/>
  <c r="G64" i="21"/>
  <c r="H58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9" i="21"/>
  <c r="H60" i="21"/>
  <c r="H61" i="21"/>
  <c r="H62" i="21"/>
  <c r="H63" i="21"/>
  <c r="F23" i="29" l="1"/>
  <c r="F22" i="29"/>
  <c r="B36" i="36"/>
  <c r="F35" i="36"/>
  <c r="E35" i="36"/>
  <c r="D35" i="36"/>
  <c r="C35" i="36"/>
  <c r="AO58" i="21"/>
  <c r="AQ58" i="21"/>
  <c r="AP58" i="21"/>
  <c r="AO194" i="21"/>
  <c r="AQ194" i="21"/>
  <c r="AP194" i="21"/>
  <c r="AP282" i="21"/>
  <c r="AO282" i="21"/>
  <c r="AQ282" i="21"/>
  <c r="AQ377" i="21"/>
  <c r="AP377" i="21"/>
  <c r="AO377" i="21"/>
  <c r="AQ118" i="21"/>
  <c r="AP118" i="21"/>
  <c r="AO118" i="21"/>
  <c r="AQ281" i="21"/>
  <c r="AP281" i="21"/>
  <c r="AO281" i="21"/>
  <c r="AQ392" i="21"/>
  <c r="AP392" i="21"/>
  <c r="AO392" i="21"/>
  <c r="AP127" i="21"/>
  <c r="AQ127" i="21"/>
  <c r="AO127" i="21"/>
  <c r="AQ261" i="21"/>
  <c r="AP261" i="21"/>
  <c r="AO261" i="21"/>
  <c r="AO356" i="21"/>
  <c r="AQ356" i="21"/>
  <c r="AP356" i="21"/>
  <c r="AP185" i="21"/>
  <c r="AQ185" i="21"/>
  <c r="AO185" i="21"/>
  <c r="AQ244" i="21"/>
  <c r="AP244" i="21"/>
  <c r="AO244" i="21"/>
  <c r="AQ310" i="21"/>
  <c r="AP310" i="21"/>
  <c r="AO310" i="21"/>
  <c r="AO60" i="21"/>
  <c r="AQ60" i="21"/>
  <c r="AP60" i="21"/>
  <c r="AP51" i="21"/>
  <c r="AQ51" i="21"/>
  <c r="AO51" i="21"/>
  <c r="AO90" i="21"/>
  <c r="AQ90" i="21"/>
  <c r="AP90" i="21"/>
  <c r="AO82" i="21"/>
  <c r="AP82" i="21"/>
  <c r="AQ82" i="21"/>
  <c r="AP125" i="21"/>
  <c r="AO125" i="21"/>
  <c r="AQ125" i="21"/>
  <c r="AP117" i="21"/>
  <c r="AQ117" i="21"/>
  <c r="AO117" i="21"/>
  <c r="AQ144" i="21"/>
  <c r="AO144" i="21"/>
  <c r="AP144" i="21"/>
  <c r="AP155" i="21"/>
  <c r="AO155" i="21"/>
  <c r="AQ155" i="21"/>
  <c r="AP147" i="21"/>
  <c r="AQ147" i="21"/>
  <c r="AO147" i="21"/>
  <c r="AQ192" i="21"/>
  <c r="AO192" i="21"/>
  <c r="AP192" i="21"/>
  <c r="AQ184" i="21"/>
  <c r="AP184" i="21"/>
  <c r="AO184" i="21"/>
  <c r="AQ259" i="21"/>
  <c r="AP259" i="21"/>
  <c r="AO259" i="21"/>
  <c r="AQ251" i="21"/>
  <c r="AP251" i="21"/>
  <c r="AO251" i="21"/>
  <c r="AQ288" i="21"/>
  <c r="AP288" i="21"/>
  <c r="AO288" i="21"/>
  <c r="AQ280" i="21"/>
  <c r="AP280" i="21"/>
  <c r="AO280" i="21"/>
  <c r="AO325" i="21"/>
  <c r="AQ325" i="21"/>
  <c r="AP325" i="21"/>
  <c r="AO317" i="21"/>
  <c r="AQ317" i="21"/>
  <c r="AP317" i="21"/>
  <c r="AQ354" i="21"/>
  <c r="AP354" i="21"/>
  <c r="AO354" i="21"/>
  <c r="AQ346" i="21"/>
  <c r="AP346" i="21"/>
  <c r="AO346" i="21"/>
  <c r="AP391" i="21"/>
  <c r="AO391" i="21"/>
  <c r="AQ391" i="21"/>
  <c r="AP383" i="21"/>
  <c r="AO383" i="21"/>
  <c r="AQ383" i="21"/>
  <c r="AP111" i="21"/>
  <c r="AQ111" i="21"/>
  <c r="AO111" i="21"/>
  <c r="AP290" i="21"/>
  <c r="AO290" i="21"/>
  <c r="AQ290" i="21"/>
  <c r="AP193" i="21"/>
  <c r="AQ193" i="21"/>
  <c r="AO193" i="21"/>
  <c r="AP59" i="21"/>
  <c r="AO59" i="21"/>
  <c r="AQ59" i="21"/>
  <c r="AQ50" i="21"/>
  <c r="AP50" i="21"/>
  <c r="AO50" i="21"/>
  <c r="AQ78" i="21"/>
  <c r="AP78" i="21"/>
  <c r="AO78" i="21"/>
  <c r="AP89" i="21"/>
  <c r="AQ89" i="21"/>
  <c r="AO89" i="21"/>
  <c r="AP81" i="21"/>
  <c r="AQ81" i="21"/>
  <c r="AO81" i="21"/>
  <c r="AQ124" i="21"/>
  <c r="AP124" i="21"/>
  <c r="AO124" i="21"/>
  <c r="AQ116" i="21"/>
  <c r="AP116" i="21"/>
  <c r="AO116" i="21"/>
  <c r="AQ162" i="21"/>
  <c r="AP162" i="21"/>
  <c r="AO162" i="21"/>
  <c r="AQ154" i="21"/>
  <c r="AP154" i="21"/>
  <c r="AO154" i="21"/>
  <c r="AQ146" i="21"/>
  <c r="AP146" i="21"/>
  <c r="AO146" i="21"/>
  <c r="AQ191" i="21"/>
  <c r="AP191" i="21"/>
  <c r="AO191" i="21"/>
  <c r="AO183" i="21"/>
  <c r="AQ183" i="21"/>
  <c r="AP183" i="21"/>
  <c r="AQ258" i="21"/>
  <c r="AP258" i="21"/>
  <c r="AO258" i="21"/>
  <c r="AQ250" i="21"/>
  <c r="AP250" i="21"/>
  <c r="AO250" i="21"/>
  <c r="AQ276" i="21"/>
  <c r="AP276" i="21"/>
  <c r="AO276" i="21"/>
  <c r="AQ287" i="21"/>
  <c r="AP287" i="21"/>
  <c r="AO287" i="21"/>
  <c r="AQ279" i="21"/>
  <c r="AP279" i="21"/>
  <c r="AO279" i="21"/>
  <c r="AQ324" i="21"/>
  <c r="AP324" i="21"/>
  <c r="AO324" i="21"/>
  <c r="AQ316" i="21"/>
  <c r="AP316" i="21"/>
  <c r="AO316" i="21"/>
  <c r="AQ342" i="21"/>
  <c r="AP342" i="21"/>
  <c r="AO342" i="21"/>
  <c r="AP353" i="21"/>
  <c r="AQ353" i="21"/>
  <c r="AO353" i="21"/>
  <c r="AP345" i="21"/>
  <c r="AQ345" i="21"/>
  <c r="AO345" i="21"/>
  <c r="AQ390" i="21"/>
  <c r="AP390" i="21"/>
  <c r="AO390" i="21"/>
  <c r="AQ382" i="21"/>
  <c r="AP382" i="21"/>
  <c r="AO382" i="21"/>
  <c r="AP119" i="21"/>
  <c r="AQ119" i="21"/>
  <c r="AO119" i="21"/>
  <c r="AQ178" i="21"/>
  <c r="AP178" i="21"/>
  <c r="AO178" i="21"/>
  <c r="AO348" i="21"/>
  <c r="AQ348" i="21"/>
  <c r="AP348" i="21"/>
  <c r="AO355" i="21"/>
  <c r="AP355" i="21"/>
  <c r="AQ355" i="21"/>
  <c r="AP57" i="21"/>
  <c r="AQ57" i="21"/>
  <c r="AO57" i="21"/>
  <c r="AP88" i="21"/>
  <c r="AO88" i="21"/>
  <c r="AQ88" i="21"/>
  <c r="AQ123" i="21"/>
  <c r="AO123" i="21"/>
  <c r="AP123" i="21"/>
  <c r="AQ115" i="21"/>
  <c r="AP115" i="21"/>
  <c r="AO115" i="21"/>
  <c r="AQ153" i="21"/>
  <c r="AP153" i="21"/>
  <c r="AO153" i="21"/>
  <c r="AQ145" i="21"/>
  <c r="AP145" i="21"/>
  <c r="AO145" i="21"/>
  <c r="AQ190" i="21"/>
  <c r="AO190" i="21"/>
  <c r="AP190" i="21"/>
  <c r="AQ182" i="21"/>
  <c r="AO182" i="21"/>
  <c r="AP182" i="21"/>
  <c r="AP257" i="21"/>
  <c r="AO257" i="21"/>
  <c r="AQ257" i="21"/>
  <c r="AQ249" i="21"/>
  <c r="AP249" i="21"/>
  <c r="AO249" i="21"/>
  <c r="AQ294" i="21"/>
  <c r="AP294" i="21"/>
  <c r="AO294" i="21"/>
  <c r="AQ286" i="21"/>
  <c r="AP286" i="21"/>
  <c r="AO286" i="21"/>
  <c r="AQ278" i="21"/>
  <c r="AP278" i="21"/>
  <c r="AO278" i="21"/>
  <c r="AP323" i="21"/>
  <c r="AQ323" i="21"/>
  <c r="AO323" i="21"/>
  <c r="AP315" i="21"/>
  <c r="AQ315" i="21"/>
  <c r="AO315" i="21"/>
  <c r="AP360" i="21"/>
  <c r="AO360" i="21"/>
  <c r="AQ360" i="21"/>
  <c r="AP352" i="21"/>
  <c r="AO352" i="21"/>
  <c r="AQ352" i="21"/>
  <c r="AP344" i="21"/>
  <c r="AO344" i="21"/>
  <c r="AQ344" i="21"/>
  <c r="AQ389" i="21"/>
  <c r="AP389" i="21"/>
  <c r="AO389" i="21"/>
  <c r="AQ381" i="21"/>
  <c r="AP381" i="21"/>
  <c r="AO381" i="21"/>
  <c r="AQ92" i="21"/>
  <c r="AO92" i="21"/>
  <c r="AP92" i="21"/>
  <c r="AQ186" i="21"/>
  <c r="AP186" i="21"/>
  <c r="AO186" i="21"/>
  <c r="AQ311" i="21"/>
  <c r="AP311" i="21"/>
  <c r="AO311" i="21"/>
  <c r="AQ126" i="21"/>
  <c r="AP126" i="21"/>
  <c r="AO126" i="21"/>
  <c r="AQ289" i="21"/>
  <c r="AP289" i="21"/>
  <c r="AO289" i="21"/>
  <c r="AO318" i="21"/>
  <c r="AQ318" i="21"/>
  <c r="AP318" i="21"/>
  <c r="AO347" i="21"/>
  <c r="AQ347" i="21"/>
  <c r="AP347" i="21"/>
  <c r="AQ384" i="21"/>
  <c r="AP384" i="21"/>
  <c r="AO384" i="21"/>
  <c r="AP49" i="21"/>
  <c r="AO49" i="21"/>
  <c r="AQ49" i="21"/>
  <c r="AQ96" i="21"/>
  <c r="AP96" i="21"/>
  <c r="AO96" i="21"/>
  <c r="AQ80" i="21"/>
  <c r="AP80" i="21"/>
  <c r="AO80" i="21"/>
  <c r="AQ161" i="21"/>
  <c r="AP161" i="21"/>
  <c r="AO161" i="21"/>
  <c r="AQ56" i="21"/>
  <c r="AP56" i="21"/>
  <c r="AO56" i="21"/>
  <c r="AQ48" i="21"/>
  <c r="AP48" i="21"/>
  <c r="AO48" i="21"/>
  <c r="AP95" i="21"/>
  <c r="AO95" i="21"/>
  <c r="AQ95" i="21"/>
  <c r="AP87" i="21"/>
  <c r="AQ87" i="21"/>
  <c r="AO87" i="21"/>
  <c r="AQ122" i="21"/>
  <c r="AO122" i="21"/>
  <c r="AP122" i="21"/>
  <c r="AQ114" i="21"/>
  <c r="AO114" i="21"/>
  <c r="AP114" i="21"/>
  <c r="AQ160" i="21"/>
  <c r="AO160" i="21"/>
  <c r="AP160" i="21"/>
  <c r="AQ152" i="21"/>
  <c r="AO152" i="21"/>
  <c r="AP152" i="21"/>
  <c r="AQ189" i="21"/>
  <c r="AP189" i="21"/>
  <c r="AO189" i="21"/>
  <c r="AO181" i="21"/>
  <c r="AQ181" i="21"/>
  <c r="AP181" i="21"/>
  <c r="AQ256" i="21"/>
  <c r="AP256" i="21"/>
  <c r="AO256" i="21"/>
  <c r="AO248" i="21"/>
  <c r="AQ248" i="21"/>
  <c r="AP248" i="21"/>
  <c r="AO293" i="21"/>
  <c r="AQ293" i="21"/>
  <c r="AP293" i="21"/>
  <c r="AQ285" i="21"/>
  <c r="AP285" i="21"/>
  <c r="AO285" i="21"/>
  <c r="AO277" i="21"/>
  <c r="AQ277" i="21"/>
  <c r="AP277" i="21"/>
  <c r="AP322" i="21"/>
  <c r="AO322" i="21"/>
  <c r="AQ322" i="21"/>
  <c r="AP314" i="21"/>
  <c r="AO314" i="21"/>
  <c r="AQ314" i="21"/>
  <c r="AQ359" i="21"/>
  <c r="AP359" i="21"/>
  <c r="AO359" i="21"/>
  <c r="AQ351" i="21"/>
  <c r="AP351" i="21"/>
  <c r="AO351" i="21"/>
  <c r="AQ343" i="21"/>
  <c r="AP343" i="21"/>
  <c r="AO343" i="21"/>
  <c r="AQ388" i="21"/>
  <c r="AP388" i="21"/>
  <c r="AO388" i="21"/>
  <c r="AQ380" i="21"/>
  <c r="AP380" i="21"/>
  <c r="AO380" i="21"/>
  <c r="AQ53" i="21"/>
  <c r="AP53" i="21"/>
  <c r="AO53" i="21"/>
  <c r="AP157" i="21"/>
  <c r="AQ157" i="21"/>
  <c r="AO157" i="21"/>
  <c r="AP253" i="21"/>
  <c r="AO253" i="21"/>
  <c r="AQ253" i="21"/>
  <c r="AQ327" i="21"/>
  <c r="AP327" i="21"/>
  <c r="AO327" i="21"/>
  <c r="AQ393" i="21"/>
  <c r="AP393" i="21"/>
  <c r="AO393" i="21"/>
  <c r="AO52" i="21"/>
  <c r="AQ52" i="21"/>
  <c r="AP52" i="21"/>
  <c r="AQ83" i="21"/>
  <c r="AP83" i="21"/>
  <c r="AO83" i="21"/>
  <c r="AP148" i="21"/>
  <c r="AO148" i="21"/>
  <c r="AQ148" i="21"/>
  <c r="AQ252" i="21"/>
  <c r="AP252" i="21"/>
  <c r="AO252" i="21"/>
  <c r="AQ55" i="21"/>
  <c r="AP55" i="21"/>
  <c r="AO55" i="21"/>
  <c r="AP47" i="21"/>
  <c r="AQ47" i="21"/>
  <c r="AO47" i="21"/>
  <c r="AQ94" i="21"/>
  <c r="AP94" i="21"/>
  <c r="AO94" i="21"/>
  <c r="AQ86" i="21"/>
  <c r="AO86" i="21"/>
  <c r="AP86" i="21"/>
  <c r="AQ129" i="21"/>
  <c r="AP129" i="21"/>
  <c r="AO129" i="21"/>
  <c r="AP121" i="21"/>
  <c r="AQ121" i="21"/>
  <c r="AO121" i="21"/>
  <c r="AO113" i="21"/>
  <c r="AQ113" i="21"/>
  <c r="AP113" i="21"/>
  <c r="AO159" i="21"/>
  <c r="AQ159" i="21"/>
  <c r="AP159" i="21"/>
  <c r="AO151" i="21"/>
  <c r="AQ151" i="21"/>
  <c r="AP151" i="21"/>
  <c r="AP177" i="21"/>
  <c r="AQ177" i="21"/>
  <c r="AO177" i="21"/>
  <c r="AO188" i="21"/>
  <c r="AQ188" i="21"/>
  <c r="AP188" i="21"/>
  <c r="AO180" i="21"/>
  <c r="AQ180" i="21"/>
  <c r="AP180" i="21"/>
  <c r="AQ255" i="21"/>
  <c r="AP255" i="21"/>
  <c r="AO255" i="21"/>
  <c r="AQ247" i="21"/>
  <c r="AP247" i="21"/>
  <c r="AO247" i="21"/>
  <c r="AQ292" i="21"/>
  <c r="AP292" i="21"/>
  <c r="AO292" i="21"/>
  <c r="AQ284" i="21"/>
  <c r="AP284" i="21"/>
  <c r="AO284" i="21"/>
  <c r="AQ321" i="21"/>
  <c r="AP321" i="21"/>
  <c r="AO321" i="21"/>
  <c r="AQ313" i="21"/>
  <c r="AP313" i="21"/>
  <c r="AO313" i="21"/>
  <c r="AQ358" i="21"/>
  <c r="AP358" i="21"/>
  <c r="AO358" i="21"/>
  <c r="AQ350" i="21"/>
  <c r="AP350" i="21"/>
  <c r="AO350" i="21"/>
  <c r="AQ387" i="21"/>
  <c r="AP387" i="21"/>
  <c r="AO387" i="21"/>
  <c r="AQ379" i="21"/>
  <c r="AP379" i="21"/>
  <c r="AO379" i="21"/>
  <c r="AQ62" i="21"/>
  <c r="AO62" i="21"/>
  <c r="AP62" i="21"/>
  <c r="AQ84" i="21"/>
  <c r="AO84" i="21"/>
  <c r="AP84" i="21"/>
  <c r="AP149" i="21"/>
  <c r="AO149" i="21"/>
  <c r="AQ149" i="21"/>
  <c r="AP245" i="21"/>
  <c r="AQ245" i="21"/>
  <c r="AO245" i="21"/>
  <c r="AQ319" i="21"/>
  <c r="AP319" i="21"/>
  <c r="AO319" i="21"/>
  <c r="AQ385" i="21"/>
  <c r="AP385" i="21"/>
  <c r="AO385" i="21"/>
  <c r="AP61" i="21"/>
  <c r="AQ61" i="21"/>
  <c r="AO61" i="21"/>
  <c r="AO91" i="21"/>
  <c r="AQ91" i="21"/>
  <c r="AP91" i="21"/>
  <c r="AQ156" i="21"/>
  <c r="AP156" i="21"/>
  <c r="AO156" i="21"/>
  <c r="AO260" i="21"/>
  <c r="AQ260" i="21"/>
  <c r="AP260" i="21"/>
  <c r="AO326" i="21"/>
  <c r="AQ326" i="21"/>
  <c r="AP326" i="21"/>
  <c r="AQ376" i="21"/>
  <c r="AP376" i="21"/>
  <c r="AO376" i="21"/>
  <c r="AQ63" i="21"/>
  <c r="AP63" i="21"/>
  <c r="AO63" i="21"/>
  <c r="AQ54" i="21"/>
  <c r="AO54" i="21"/>
  <c r="AP54" i="21"/>
  <c r="AQ46" i="21"/>
  <c r="AO46" i="21"/>
  <c r="AP46" i="21"/>
  <c r="AP93" i="21"/>
  <c r="AQ93" i="21"/>
  <c r="AO93" i="21"/>
  <c r="AQ85" i="21"/>
  <c r="AP85" i="21"/>
  <c r="AO85" i="21"/>
  <c r="AO128" i="21"/>
  <c r="AQ128" i="21"/>
  <c r="AP128" i="21"/>
  <c r="AO120" i="21"/>
  <c r="AQ120" i="21"/>
  <c r="AP120" i="21"/>
  <c r="AO112" i="21"/>
  <c r="AQ112" i="21"/>
  <c r="AP112" i="21"/>
  <c r="AO158" i="21"/>
  <c r="AQ158" i="21"/>
  <c r="AP158" i="21"/>
  <c r="AO150" i="21"/>
  <c r="AQ150" i="21"/>
  <c r="AP150" i="21"/>
  <c r="AP195" i="21"/>
  <c r="AQ195" i="21"/>
  <c r="AO195" i="21"/>
  <c r="AP187" i="21"/>
  <c r="AO187" i="21"/>
  <c r="AQ187" i="21"/>
  <c r="AP179" i="21"/>
  <c r="AQ179" i="21"/>
  <c r="AO179" i="21"/>
  <c r="AQ243" i="21"/>
  <c r="AO243" i="21"/>
  <c r="AP243" i="21"/>
  <c r="AQ254" i="21"/>
  <c r="AP254" i="21"/>
  <c r="AO254" i="21"/>
  <c r="AQ246" i="21"/>
  <c r="AP246" i="21"/>
  <c r="AO246" i="21"/>
  <c r="AQ291" i="21"/>
  <c r="AP291" i="21"/>
  <c r="AO291" i="21"/>
  <c r="AQ283" i="21"/>
  <c r="AP283" i="21"/>
  <c r="AO283" i="21"/>
  <c r="U309" i="21"/>
  <c r="AQ309" i="21"/>
  <c r="AP309" i="21"/>
  <c r="AO309" i="21"/>
  <c r="AQ320" i="21"/>
  <c r="AO320" i="21"/>
  <c r="AP320" i="21"/>
  <c r="AQ312" i="21"/>
  <c r="AP312" i="21"/>
  <c r="AO312" i="21"/>
  <c r="AQ357" i="21"/>
  <c r="AP357" i="21"/>
  <c r="AO357" i="21"/>
  <c r="AQ349" i="21"/>
  <c r="AP349" i="21"/>
  <c r="AO349" i="21"/>
  <c r="AP375" i="21"/>
  <c r="AO375" i="21"/>
  <c r="AQ375" i="21"/>
  <c r="AO386" i="21"/>
  <c r="AQ386" i="21"/>
  <c r="AP386" i="21"/>
  <c r="AO378" i="21"/>
  <c r="AQ378" i="21"/>
  <c r="AP378" i="21"/>
  <c r="U375" i="21"/>
  <c r="T375" i="21"/>
  <c r="W375" i="21"/>
  <c r="X375" i="21"/>
  <c r="W358" i="21"/>
  <c r="X358" i="21"/>
  <c r="U358" i="21"/>
  <c r="T358" i="21"/>
  <c r="T350" i="21"/>
  <c r="U350" i="21"/>
  <c r="W350" i="21"/>
  <c r="X350" i="21"/>
  <c r="X387" i="21"/>
  <c r="W387" i="21"/>
  <c r="T387" i="21"/>
  <c r="U387" i="21"/>
  <c r="T379" i="21"/>
  <c r="U379" i="21"/>
  <c r="W379" i="21"/>
  <c r="X379" i="21"/>
  <c r="T357" i="21"/>
  <c r="U357" i="21"/>
  <c r="W357" i="21"/>
  <c r="X357" i="21"/>
  <c r="T386" i="21"/>
  <c r="U386" i="21"/>
  <c r="W386" i="21"/>
  <c r="X386" i="21"/>
  <c r="W356" i="21"/>
  <c r="X356" i="21"/>
  <c r="U356" i="21"/>
  <c r="T356" i="21"/>
  <c r="T348" i="21"/>
  <c r="U348" i="21"/>
  <c r="W348" i="21"/>
  <c r="X348" i="21"/>
  <c r="T393" i="21"/>
  <c r="U393" i="21"/>
  <c r="W393" i="21"/>
  <c r="X393" i="21"/>
  <c r="X385" i="21"/>
  <c r="W385" i="21"/>
  <c r="T385" i="21"/>
  <c r="U385" i="21"/>
  <c r="T377" i="21"/>
  <c r="U377" i="21"/>
  <c r="W377" i="21"/>
  <c r="X377" i="21"/>
  <c r="T355" i="21"/>
  <c r="U355" i="21"/>
  <c r="W355" i="21"/>
  <c r="X355" i="21"/>
  <c r="X347" i="21"/>
  <c r="W347" i="21"/>
  <c r="T347" i="21"/>
  <c r="U347" i="21"/>
  <c r="X392" i="21"/>
  <c r="W392" i="21"/>
  <c r="T392" i="21"/>
  <c r="U392" i="21"/>
  <c r="T384" i="21"/>
  <c r="U384" i="21"/>
  <c r="W384" i="21"/>
  <c r="X384" i="21"/>
  <c r="X376" i="21"/>
  <c r="W376" i="21"/>
  <c r="T376" i="21"/>
  <c r="U376" i="21"/>
  <c r="W378" i="21"/>
  <c r="U378" i="21"/>
  <c r="X378" i="21"/>
  <c r="T378" i="21"/>
  <c r="T354" i="21"/>
  <c r="U354" i="21"/>
  <c r="W354" i="21"/>
  <c r="X354" i="21"/>
  <c r="T346" i="21"/>
  <c r="U346" i="21"/>
  <c r="W346" i="21"/>
  <c r="X346" i="21"/>
  <c r="U391" i="21"/>
  <c r="W391" i="21"/>
  <c r="X391" i="21"/>
  <c r="T391" i="21"/>
  <c r="T383" i="21"/>
  <c r="U383" i="21"/>
  <c r="W383" i="21"/>
  <c r="X383" i="21"/>
  <c r="W349" i="21"/>
  <c r="X349" i="21"/>
  <c r="U349" i="21"/>
  <c r="T349" i="21"/>
  <c r="T342" i="21"/>
  <c r="X342" i="21"/>
  <c r="W342" i="21"/>
  <c r="U342" i="21"/>
  <c r="T353" i="21"/>
  <c r="U353" i="21"/>
  <c r="W353" i="21"/>
  <c r="X353" i="21"/>
  <c r="X345" i="21"/>
  <c r="T345" i="21"/>
  <c r="U345" i="21"/>
  <c r="W345" i="21"/>
  <c r="T390" i="21"/>
  <c r="U390" i="21"/>
  <c r="W390" i="21"/>
  <c r="X390" i="21"/>
  <c r="U382" i="21"/>
  <c r="W382" i="21"/>
  <c r="T382" i="21"/>
  <c r="X382" i="21"/>
  <c r="T360" i="21"/>
  <c r="U360" i="21"/>
  <c r="W360" i="21"/>
  <c r="X360" i="21"/>
  <c r="X352" i="21"/>
  <c r="T352" i="21"/>
  <c r="U352" i="21"/>
  <c r="W352" i="21"/>
  <c r="T344" i="21"/>
  <c r="U344" i="21"/>
  <c r="W344" i="21"/>
  <c r="X344" i="21"/>
  <c r="U389" i="21"/>
  <c r="T389" i="21"/>
  <c r="W389" i="21"/>
  <c r="X389" i="21"/>
  <c r="T381" i="21"/>
  <c r="U381" i="21"/>
  <c r="W381" i="21"/>
  <c r="X381" i="21"/>
  <c r="T359" i="21"/>
  <c r="U359" i="21"/>
  <c r="W359" i="21"/>
  <c r="X359" i="21"/>
  <c r="U351" i="21"/>
  <c r="W351" i="21"/>
  <c r="X351" i="21"/>
  <c r="T351" i="21"/>
  <c r="T343" i="21"/>
  <c r="U343" i="21"/>
  <c r="W343" i="21"/>
  <c r="X343" i="21"/>
  <c r="T388" i="21"/>
  <c r="U388" i="21"/>
  <c r="W388" i="21"/>
  <c r="X388" i="21"/>
  <c r="W380" i="21"/>
  <c r="X380" i="21"/>
  <c r="U380" i="21"/>
  <c r="T380" i="21"/>
  <c r="F49" i="21"/>
  <c r="X49" i="21"/>
  <c r="T49" i="21"/>
  <c r="W49" i="21"/>
  <c r="U49" i="21"/>
  <c r="T115" i="21"/>
  <c r="U115" i="21"/>
  <c r="W115" i="21"/>
  <c r="X115" i="21"/>
  <c r="U190" i="21"/>
  <c r="W190" i="21"/>
  <c r="X190" i="21"/>
  <c r="T190" i="21"/>
  <c r="T286" i="21"/>
  <c r="U286" i="21"/>
  <c r="W286" i="21"/>
  <c r="X286" i="21"/>
  <c r="F55" i="21"/>
  <c r="T55" i="21"/>
  <c r="W55" i="21"/>
  <c r="U55" i="21"/>
  <c r="X55" i="21"/>
  <c r="F47" i="21"/>
  <c r="T47" i="21"/>
  <c r="W47" i="21"/>
  <c r="U47" i="21"/>
  <c r="X47" i="21"/>
  <c r="X94" i="21"/>
  <c r="T94" i="21"/>
  <c r="U94" i="21"/>
  <c r="W94" i="21"/>
  <c r="T86" i="21"/>
  <c r="U86" i="21"/>
  <c r="W86" i="21"/>
  <c r="X86" i="21"/>
  <c r="T129" i="21"/>
  <c r="U129" i="21"/>
  <c r="W129" i="21"/>
  <c r="X129" i="21"/>
  <c r="X121" i="21"/>
  <c r="T121" i="21"/>
  <c r="U121" i="21"/>
  <c r="W121" i="21"/>
  <c r="U113" i="21"/>
  <c r="W113" i="21"/>
  <c r="X113" i="21"/>
  <c r="T113" i="21"/>
  <c r="X159" i="21"/>
  <c r="T159" i="21"/>
  <c r="U159" i="21"/>
  <c r="W159" i="21"/>
  <c r="F151" i="21"/>
  <c r="W151" i="21"/>
  <c r="X151" i="21"/>
  <c r="T151" i="21"/>
  <c r="U151" i="21"/>
  <c r="X177" i="21"/>
  <c r="W177" i="21"/>
  <c r="U177" i="21"/>
  <c r="T177" i="21"/>
  <c r="W188" i="21"/>
  <c r="X188" i="21"/>
  <c r="T188" i="21"/>
  <c r="U188" i="21"/>
  <c r="T180" i="21"/>
  <c r="U180" i="21"/>
  <c r="W180" i="21"/>
  <c r="X180" i="21"/>
  <c r="T255" i="21"/>
  <c r="U255" i="21"/>
  <c r="W255" i="21"/>
  <c r="X255" i="21"/>
  <c r="U247" i="21"/>
  <c r="W247" i="21"/>
  <c r="X247" i="21"/>
  <c r="T247" i="21"/>
  <c r="T292" i="21"/>
  <c r="U292" i="21"/>
  <c r="W292" i="21"/>
  <c r="X292" i="21"/>
  <c r="T284" i="21"/>
  <c r="U284" i="21"/>
  <c r="W284" i="21"/>
  <c r="X284" i="21"/>
  <c r="T321" i="21"/>
  <c r="U321" i="21"/>
  <c r="W321" i="21"/>
  <c r="X321" i="21"/>
  <c r="X313" i="21"/>
  <c r="T313" i="21"/>
  <c r="U313" i="21"/>
  <c r="W313" i="21"/>
  <c r="U80" i="21"/>
  <c r="W80" i="21"/>
  <c r="X80" i="21"/>
  <c r="T80" i="21"/>
  <c r="F161" i="21"/>
  <c r="W161" i="21"/>
  <c r="X161" i="21"/>
  <c r="T161" i="21"/>
  <c r="U161" i="21"/>
  <c r="F63" i="21"/>
  <c r="T63" i="21"/>
  <c r="W63" i="21"/>
  <c r="U63" i="21"/>
  <c r="X63" i="21"/>
  <c r="F54" i="21"/>
  <c r="W54" i="21"/>
  <c r="U54" i="21"/>
  <c r="X54" i="21"/>
  <c r="T54" i="21"/>
  <c r="F46" i="21"/>
  <c r="W46" i="21"/>
  <c r="U46" i="21"/>
  <c r="X46" i="21"/>
  <c r="T46" i="21"/>
  <c r="T93" i="21"/>
  <c r="U93" i="21"/>
  <c r="W93" i="21"/>
  <c r="X93" i="21"/>
  <c r="X85" i="21"/>
  <c r="T85" i="21"/>
  <c r="U85" i="21"/>
  <c r="W85" i="21"/>
  <c r="T128" i="21"/>
  <c r="U128" i="21"/>
  <c r="W128" i="21"/>
  <c r="X128" i="21"/>
  <c r="T120" i="21"/>
  <c r="U120" i="21"/>
  <c r="W120" i="21"/>
  <c r="X120" i="21"/>
  <c r="T112" i="21"/>
  <c r="U112" i="21"/>
  <c r="W112" i="21"/>
  <c r="X112" i="21"/>
  <c r="F158" i="21"/>
  <c r="L158" i="21" s="1"/>
  <c r="U158" i="21"/>
  <c r="W158" i="21"/>
  <c r="X158" i="21"/>
  <c r="T158" i="21"/>
  <c r="F150" i="21"/>
  <c r="T150" i="21"/>
  <c r="U150" i="21"/>
  <c r="W150" i="21"/>
  <c r="X150" i="21"/>
  <c r="W195" i="21"/>
  <c r="X195" i="21"/>
  <c r="T195" i="21"/>
  <c r="U195" i="21"/>
  <c r="T187" i="21"/>
  <c r="U187" i="21"/>
  <c r="W187" i="21"/>
  <c r="X187" i="21"/>
  <c r="W179" i="21"/>
  <c r="X179" i="21"/>
  <c r="T179" i="21"/>
  <c r="U179" i="21"/>
  <c r="U243" i="21"/>
  <c r="T243" i="21"/>
  <c r="W243" i="21"/>
  <c r="X243" i="21"/>
  <c r="X254" i="21"/>
  <c r="T254" i="21"/>
  <c r="U254" i="21"/>
  <c r="W254" i="21"/>
  <c r="T246" i="21"/>
  <c r="U246" i="21"/>
  <c r="W246" i="21"/>
  <c r="X246" i="21"/>
  <c r="W291" i="21"/>
  <c r="X291" i="21"/>
  <c r="T291" i="21"/>
  <c r="U291" i="21"/>
  <c r="W283" i="21"/>
  <c r="X283" i="21"/>
  <c r="T283" i="21"/>
  <c r="U283" i="21"/>
  <c r="X309" i="21"/>
  <c r="W309" i="21"/>
  <c r="T309" i="21"/>
  <c r="X320" i="21"/>
  <c r="T320" i="21"/>
  <c r="U320" i="21"/>
  <c r="W320" i="21"/>
  <c r="T312" i="21"/>
  <c r="U312" i="21"/>
  <c r="W312" i="21"/>
  <c r="X312" i="21"/>
  <c r="F58" i="21"/>
  <c r="U58" i="21"/>
  <c r="X58" i="21"/>
  <c r="T58" i="21"/>
  <c r="W58" i="21"/>
  <c r="F157" i="21"/>
  <c r="T157" i="21"/>
  <c r="U157" i="21"/>
  <c r="W157" i="21"/>
  <c r="X157" i="21"/>
  <c r="T178" i="21"/>
  <c r="U178" i="21"/>
  <c r="W178" i="21"/>
  <c r="X178" i="21"/>
  <c r="T253" i="21"/>
  <c r="U253" i="21"/>
  <c r="W253" i="21"/>
  <c r="X253" i="21"/>
  <c r="T282" i="21"/>
  <c r="U282" i="21"/>
  <c r="W282" i="21"/>
  <c r="X282" i="21"/>
  <c r="X327" i="21"/>
  <c r="T327" i="21"/>
  <c r="U327" i="21"/>
  <c r="W327" i="21"/>
  <c r="T319" i="21"/>
  <c r="U319" i="21"/>
  <c r="W319" i="21"/>
  <c r="X319" i="21"/>
  <c r="X311" i="21"/>
  <c r="T311" i="21"/>
  <c r="U311" i="21"/>
  <c r="W311" i="21"/>
  <c r="F62" i="21"/>
  <c r="W62" i="21"/>
  <c r="U62" i="21"/>
  <c r="X62" i="21"/>
  <c r="T62" i="21"/>
  <c r="T84" i="21"/>
  <c r="U84" i="21"/>
  <c r="W84" i="21"/>
  <c r="X84" i="21"/>
  <c r="T119" i="21"/>
  <c r="U119" i="21"/>
  <c r="W119" i="21"/>
  <c r="X119" i="21"/>
  <c r="F149" i="21"/>
  <c r="X149" i="21"/>
  <c r="T149" i="21"/>
  <c r="U149" i="21"/>
  <c r="W149" i="21"/>
  <c r="T261" i="21"/>
  <c r="U261" i="21"/>
  <c r="W261" i="21"/>
  <c r="X261" i="21"/>
  <c r="F61" i="21"/>
  <c r="W61" i="21"/>
  <c r="U61" i="21"/>
  <c r="X61" i="21"/>
  <c r="T61" i="21"/>
  <c r="F52" i="21"/>
  <c r="U52" i="21"/>
  <c r="X52" i="21"/>
  <c r="T52" i="21"/>
  <c r="W52" i="21"/>
  <c r="T91" i="21"/>
  <c r="U91" i="21"/>
  <c r="W91" i="21"/>
  <c r="X91" i="21"/>
  <c r="T83" i="21"/>
  <c r="U83" i="21"/>
  <c r="W83" i="21"/>
  <c r="X83" i="21"/>
  <c r="T126" i="21"/>
  <c r="U126" i="21"/>
  <c r="W126" i="21"/>
  <c r="X126" i="21"/>
  <c r="W118" i="21"/>
  <c r="X118" i="21"/>
  <c r="T118" i="21"/>
  <c r="U118" i="21"/>
  <c r="W156" i="21"/>
  <c r="X156" i="21"/>
  <c r="T156" i="21"/>
  <c r="U156" i="21"/>
  <c r="F148" i="21"/>
  <c r="T148" i="21"/>
  <c r="U148" i="21"/>
  <c r="W148" i="21"/>
  <c r="X148" i="21"/>
  <c r="T193" i="21"/>
  <c r="U193" i="21"/>
  <c r="W193" i="21"/>
  <c r="X193" i="21"/>
  <c r="T185" i="21"/>
  <c r="U185" i="21"/>
  <c r="W185" i="21"/>
  <c r="X185" i="21"/>
  <c r="U260" i="21"/>
  <c r="W260" i="21"/>
  <c r="X260" i="21"/>
  <c r="T260" i="21"/>
  <c r="X252" i="21"/>
  <c r="T252" i="21"/>
  <c r="U252" i="21"/>
  <c r="W252" i="21"/>
  <c r="T244" i="21"/>
  <c r="U244" i="21"/>
  <c r="W244" i="21"/>
  <c r="X244" i="21"/>
  <c r="W289" i="21"/>
  <c r="X289" i="21"/>
  <c r="T289" i="21"/>
  <c r="U289" i="21"/>
  <c r="W281" i="21"/>
  <c r="X281" i="21"/>
  <c r="T281" i="21"/>
  <c r="U281" i="21"/>
  <c r="T326" i="21"/>
  <c r="U326" i="21"/>
  <c r="W326" i="21"/>
  <c r="X326" i="21"/>
  <c r="T318" i="21"/>
  <c r="U318" i="21"/>
  <c r="W318" i="21"/>
  <c r="X318" i="21"/>
  <c r="T310" i="21"/>
  <c r="U310" i="21"/>
  <c r="W310" i="21"/>
  <c r="X310" i="21"/>
  <c r="F53" i="21"/>
  <c r="W53" i="21"/>
  <c r="U53" i="21"/>
  <c r="X53" i="21"/>
  <c r="T53" i="21"/>
  <c r="U127" i="21"/>
  <c r="W127" i="21"/>
  <c r="X127" i="21"/>
  <c r="T127" i="21"/>
  <c r="T194" i="21"/>
  <c r="U194" i="21"/>
  <c r="W194" i="21"/>
  <c r="X194" i="21"/>
  <c r="T290" i="21"/>
  <c r="U290" i="21"/>
  <c r="W290" i="21"/>
  <c r="X290" i="21"/>
  <c r="F60" i="21"/>
  <c r="U60" i="21"/>
  <c r="X60" i="21"/>
  <c r="T60" i="21"/>
  <c r="W60" i="21"/>
  <c r="F51" i="21"/>
  <c r="U51" i="21"/>
  <c r="X51" i="21"/>
  <c r="T51" i="21"/>
  <c r="W51" i="21"/>
  <c r="T90" i="21"/>
  <c r="U90" i="21"/>
  <c r="W90" i="21"/>
  <c r="X90" i="21"/>
  <c r="U82" i="21"/>
  <c r="W82" i="21"/>
  <c r="X82" i="21"/>
  <c r="T82" i="21"/>
  <c r="U125" i="21"/>
  <c r="W125" i="21"/>
  <c r="X125" i="21"/>
  <c r="T125" i="21"/>
  <c r="T117" i="21"/>
  <c r="U117" i="21"/>
  <c r="W117" i="21"/>
  <c r="X117" i="21"/>
  <c r="F144" i="21"/>
  <c r="U144" i="21"/>
  <c r="X144" i="21"/>
  <c r="T144" i="21"/>
  <c r="W144" i="21"/>
  <c r="F155" i="21"/>
  <c r="T155" i="21"/>
  <c r="U155" i="21"/>
  <c r="W155" i="21"/>
  <c r="X155" i="21"/>
  <c r="F147" i="21"/>
  <c r="T147" i="21"/>
  <c r="U147" i="21"/>
  <c r="W147" i="21"/>
  <c r="X147" i="21"/>
  <c r="T192" i="21"/>
  <c r="U192" i="21"/>
  <c r="W192" i="21"/>
  <c r="X192" i="21"/>
  <c r="T184" i="21"/>
  <c r="U184" i="21"/>
  <c r="W184" i="21"/>
  <c r="X184" i="21"/>
  <c r="T259" i="21"/>
  <c r="U259" i="21"/>
  <c r="W259" i="21"/>
  <c r="X259" i="21"/>
  <c r="T251" i="21"/>
  <c r="U251" i="21"/>
  <c r="W251" i="21"/>
  <c r="X251" i="21"/>
  <c r="T288" i="21"/>
  <c r="U288" i="21"/>
  <c r="W288" i="21"/>
  <c r="X288" i="21"/>
  <c r="T280" i="21"/>
  <c r="U280" i="21"/>
  <c r="W280" i="21"/>
  <c r="X280" i="21"/>
  <c r="T325" i="21"/>
  <c r="U325" i="21"/>
  <c r="W325" i="21"/>
  <c r="X325" i="21"/>
  <c r="U317" i="21"/>
  <c r="W317" i="21"/>
  <c r="X317" i="21"/>
  <c r="T317" i="21"/>
  <c r="X92" i="21"/>
  <c r="T92" i="21"/>
  <c r="U92" i="21"/>
  <c r="W92" i="21"/>
  <c r="U111" i="21"/>
  <c r="T111" i="21"/>
  <c r="X111" i="21"/>
  <c r="W111" i="21"/>
  <c r="X186" i="21"/>
  <c r="T186" i="21"/>
  <c r="U186" i="21"/>
  <c r="W186" i="21"/>
  <c r="U245" i="21"/>
  <c r="W245" i="21"/>
  <c r="X245" i="21"/>
  <c r="T245" i="21"/>
  <c r="F59" i="21"/>
  <c r="U59" i="21"/>
  <c r="X59" i="21"/>
  <c r="T59" i="21"/>
  <c r="W59" i="21"/>
  <c r="F50" i="21"/>
  <c r="U50" i="21"/>
  <c r="X50" i="21"/>
  <c r="T50" i="21"/>
  <c r="W50" i="21"/>
  <c r="X78" i="21"/>
  <c r="T78" i="21"/>
  <c r="W78" i="21"/>
  <c r="U78" i="21"/>
  <c r="U89" i="21"/>
  <c r="W89" i="21"/>
  <c r="X89" i="21"/>
  <c r="T89" i="21"/>
  <c r="T81" i="21"/>
  <c r="U81" i="21"/>
  <c r="W81" i="21"/>
  <c r="X81" i="21"/>
  <c r="T124" i="21"/>
  <c r="U124" i="21"/>
  <c r="W124" i="21"/>
  <c r="X124" i="21"/>
  <c r="X116" i="21"/>
  <c r="T116" i="21"/>
  <c r="U116" i="21"/>
  <c r="W116" i="21"/>
  <c r="F162" i="21"/>
  <c r="T162" i="21"/>
  <c r="U162" i="21"/>
  <c r="W162" i="21"/>
  <c r="X162" i="21"/>
  <c r="F154" i="21"/>
  <c r="T154" i="21"/>
  <c r="U154" i="21"/>
  <c r="W154" i="21"/>
  <c r="X154" i="21"/>
  <c r="F146" i="21"/>
  <c r="W146" i="21"/>
  <c r="X146" i="21"/>
  <c r="T146" i="21"/>
  <c r="U146" i="21"/>
  <c r="T191" i="21"/>
  <c r="U191" i="21"/>
  <c r="W191" i="21"/>
  <c r="X191" i="21"/>
  <c r="T183" i="21"/>
  <c r="U183" i="21"/>
  <c r="W183" i="21"/>
  <c r="X183" i="21"/>
  <c r="W258" i="21"/>
  <c r="X258" i="21"/>
  <c r="T258" i="21"/>
  <c r="U258" i="21"/>
  <c r="T250" i="21"/>
  <c r="U250" i="21"/>
  <c r="W250" i="21"/>
  <c r="X250" i="21"/>
  <c r="U276" i="21"/>
  <c r="T276" i="21"/>
  <c r="X276" i="21"/>
  <c r="W276" i="21"/>
  <c r="W287" i="21"/>
  <c r="X287" i="21"/>
  <c r="T287" i="21"/>
  <c r="U287" i="21"/>
  <c r="W279" i="21"/>
  <c r="X279" i="21"/>
  <c r="T279" i="21"/>
  <c r="U279" i="21"/>
  <c r="U324" i="21"/>
  <c r="W324" i="21"/>
  <c r="X324" i="21"/>
  <c r="T324" i="21"/>
  <c r="T316" i="21"/>
  <c r="U316" i="21"/>
  <c r="W316" i="21"/>
  <c r="X316" i="21"/>
  <c r="U96" i="21"/>
  <c r="W96" i="21"/>
  <c r="X96" i="21"/>
  <c r="T96" i="21"/>
  <c r="F153" i="21"/>
  <c r="T153" i="21"/>
  <c r="U153" i="21"/>
  <c r="W153" i="21"/>
  <c r="X153" i="21"/>
  <c r="T182" i="21"/>
  <c r="U182" i="21"/>
  <c r="W182" i="21"/>
  <c r="X182" i="21"/>
  <c r="T249" i="21"/>
  <c r="U249" i="21"/>
  <c r="W249" i="21"/>
  <c r="X249" i="21"/>
  <c r="T294" i="21"/>
  <c r="U294" i="21"/>
  <c r="W294" i="21"/>
  <c r="X294" i="21"/>
  <c r="T278" i="21"/>
  <c r="U278" i="21"/>
  <c r="W278" i="21"/>
  <c r="X278" i="21"/>
  <c r="T323" i="21"/>
  <c r="U323" i="21"/>
  <c r="W323" i="21"/>
  <c r="X323" i="21"/>
  <c r="U315" i="21"/>
  <c r="W315" i="21"/>
  <c r="X315" i="21"/>
  <c r="T315" i="21"/>
  <c r="F57" i="21"/>
  <c r="X57" i="21"/>
  <c r="T57" i="21"/>
  <c r="W57" i="21"/>
  <c r="U57" i="21"/>
  <c r="T88" i="21"/>
  <c r="U88" i="21"/>
  <c r="W88" i="21"/>
  <c r="X88" i="21"/>
  <c r="W123" i="21"/>
  <c r="X123" i="21"/>
  <c r="T123" i="21"/>
  <c r="U123" i="21"/>
  <c r="F145" i="21"/>
  <c r="T145" i="21"/>
  <c r="U145" i="21"/>
  <c r="W145" i="21"/>
  <c r="X145" i="21"/>
  <c r="T257" i="21"/>
  <c r="U257" i="21"/>
  <c r="W257" i="21"/>
  <c r="X257" i="21"/>
  <c r="F56" i="21"/>
  <c r="X56" i="21"/>
  <c r="T56" i="21"/>
  <c r="W56" i="21"/>
  <c r="U56" i="21"/>
  <c r="F48" i="21"/>
  <c r="X48" i="21"/>
  <c r="T48" i="21"/>
  <c r="W48" i="21"/>
  <c r="U48" i="21"/>
  <c r="T95" i="21"/>
  <c r="U95" i="21"/>
  <c r="W95" i="21"/>
  <c r="X95" i="21"/>
  <c r="W87" i="21"/>
  <c r="X87" i="21"/>
  <c r="T87" i="21"/>
  <c r="U87" i="21"/>
  <c r="T122" i="21"/>
  <c r="U122" i="21"/>
  <c r="W122" i="21"/>
  <c r="X122" i="21"/>
  <c r="T114" i="21"/>
  <c r="U114" i="21"/>
  <c r="W114" i="21"/>
  <c r="X114" i="21"/>
  <c r="T160" i="21"/>
  <c r="U160" i="21"/>
  <c r="W160" i="21"/>
  <c r="X160" i="21"/>
  <c r="T152" i="21"/>
  <c r="U152" i="21"/>
  <c r="W152" i="21"/>
  <c r="X152" i="21"/>
  <c r="T189" i="21"/>
  <c r="U189" i="21"/>
  <c r="W189" i="21"/>
  <c r="X189" i="21"/>
  <c r="W181" i="21"/>
  <c r="X181" i="21"/>
  <c r="T181" i="21"/>
  <c r="U181" i="21"/>
  <c r="W256" i="21"/>
  <c r="X256" i="21"/>
  <c r="T256" i="21"/>
  <c r="U256" i="21"/>
  <c r="T248" i="21"/>
  <c r="U248" i="21"/>
  <c r="W248" i="21"/>
  <c r="X248" i="21"/>
  <c r="W293" i="21"/>
  <c r="X293" i="21"/>
  <c r="T293" i="21"/>
  <c r="U293" i="21"/>
  <c r="W285" i="21"/>
  <c r="X285" i="21"/>
  <c r="T285" i="21"/>
  <c r="U285" i="21"/>
  <c r="W277" i="21"/>
  <c r="X277" i="21"/>
  <c r="T277" i="21"/>
  <c r="U277" i="21"/>
  <c r="W322" i="21"/>
  <c r="X322" i="21"/>
  <c r="T322" i="21"/>
  <c r="U322" i="21"/>
  <c r="T314" i="21"/>
  <c r="U314" i="21"/>
  <c r="W314" i="21"/>
  <c r="X314" i="21"/>
  <c r="F375" i="21"/>
  <c r="F386" i="21"/>
  <c r="F378" i="21"/>
  <c r="F393" i="21"/>
  <c r="F385" i="21"/>
  <c r="F377" i="21"/>
  <c r="F392" i="21"/>
  <c r="F384" i="21"/>
  <c r="F376" i="21"/>
  <c r="F390" i="21"/>
  <c r="F382" i="21"/>
  <c r="F389" i="21"/>
  <c r="F388" i="21"/>
  <c r="F380" i="21"/>
  <c r="F354" i="21"/>
  <c r="F342" i="21"/>
  <c r="F345" i="21"/>
  <c r="F352" i="21"/>
  <c r="F359" i="21"/>
  <c r="F351" i="21"/>
  <c r="F343" i="21"/>
  <c r="F358" i="21"/>
  <c r="F350" i="21"/>
  <c r="F346" i="21"/>
  <c r="F344" i="21"/>
  <c r="F356" i="21"/>
  <c r="F348" i="21"/>
  <c r="F355" i="21"/>
  <c r="F347" i="21"/>
  <c r="F323" i="21"/>
  <c r="F322" i="21"/>
  <c r="F314" i="21"/>
  <c r="F321" i="21"/>
  <c r="F312" i="21"/>
  <c r="F313" i="21"/>
  <c r="F327" i="21"/>
  <c r="F319" i="21"/>
  <c r="F311" i="21"/>
  <c r="F326" i="21"/>
  <c r="F318" i="21"/>
  <c r="F310" i="21"/>
  <c r="F293" i="21"/>
  <c r="F285" i="21"/>
  <c r="F277" i="21"/>
  <c r="F278" i="21"/>
  <c r="F284" i="21"/>
  <c r="F283" i="21"/>
  <c r="F290" i="21"/>
  <c r="F286" i="21"/>
  <c r="F289" i="21"/>
  <c r="F281" i="21"/>
  <c r="F276" i="21"/>
  <c r="F280" i="21"/>
  <c r="F250" i="21"/>
  <c r="F249" i="21"/>
  <c r="F258" i="21"/>
  <c r="F256" i="21"/>
  <c r="F247" i="21"/>
  <c r="F254" i="21"/>
  <c r="F246" i="21"/>
  <c r="F248" i="21"/>
  <c r="F253" i="21"/>
  <c r="F245" i="21"/>
  <c r="F260" i="21"/>
  <c r="F252" i="21"/>
  <c r="F244" i="21"/>
  <c r="F194" i="21"/>
  <c r="F186" i="21"/>
  <c r="F178" i="21"/>
  <c r="F185" i="21"/>
  <c r="F192" i="21"/>
  <c r="F190" i="21"/>
  <c r="F182" i="21"/>
  <c r="F189" i="21"/>
  <c r="F181" i="21"/>
  <c r="F177" i="21"/>
  <c r="F188" i="21"/>
  <c r="F180" i="21"/>
  <c r="F111" i="21"/>
  <c r="F114" i="21"/>
  <c r="F121" i="21"/>
  <c r="F113" i="21"/>
  <c r="F117" i="21"/>
  <c r="F119" i="21"/>
  <c r="F124" i="21"/>
  <c r="F116" i="21"/>
  <c r="F123" i="21"/>
  <c r="F115" i="21"/>
  <c r="F79" i="21"/>
  <c r="F95" i="21"/>
  <c r="F86" i="21"/>
  <c r="F85" i="21"/>
  <c r="F91" i="21"/>
  <c r="F83" i="21"/>
  <c r="F92" i="21"/>
  <c r="F82" i="21"/>
  <c r="F78" i="21"/>
  <c r="F89" i="21"/>
  <c r="F87" i="21"/>
  <c r="F96" i="21"/>
  <c r="F88" i="21"/>
  <c r="O214" i="21"/>
  <c r="P214" i="21" s="1"/>
  <c r="D513" i="21"/>
  <c r="F381" i="21"/>
  <c r="F391" i="21"/>
  <c r="H394" i="21"/>
  <c r="F387" i="21"/>
  <c r="F379" i="21"/>
  <c r="F383" i="21"/>
  <c r="F360" i="21"/>
  <c r="F349" i="21"/>
  <c r="F353" i="21"/>
  <c r="H361" i="21"/>
  <c r="F357" i="21"/>
  <c r="F317" i="21"/>
  <c r="F324" i="21"/>
  <c r="F309" i="21"/>
  <c r="F325" i="21"/>
  <c r="F315" i="21"/>
  <c r="F316" i="21"/>
  <c r="H328" i="21"/>
  <c r="F320" i="21"/>
  <c r="F291" i="21"/>
  <c r="F287" i="21"/>
  <c r="F294" i="21"/>
  <c r="F279" i="21"/>
  <c r="F282" i="21"/>
  <c r="F292" i="21"/>
  <c r="H295" i="21"/>
  <c r="F288" i="21"/>
  <c r="F259" i="21"/>
  <c r="F257" i="21"/>
  <c r="F243" i="21"/>
  <c r="F251" i="21"/>
  <c r="F261" i="21"/>
  <c r="H262" i="21"/>
  <c r="F255" i="21"/>
  <c r="O228" i="21"/>
  <c r="P228" i="21" s="1"/>
  <c r="O223" i="21"/>
  <c r="P223" i="21" s="1"/>
  <c r="O225" i="21"/>
  <c r="P225" i="21" s="1"/>
  <c r="O217" i="21"/>
  <c r="P217" i="21" s="1"/>
  <c r="O215" i="21"/>
  <c r="P215" i="21" s="1"/>
  <c r="O210" i="21"/>
  <c r="O220" i="21"/>
  <c r="P220" i="21" s="1"/>
  <c r="O227" i="21"/>
  <c r="P227" i="21" s="1"/>
  <c r="O211" i="21"/>
  <c r="P211" i="21" s="1"/>
  <c r="O221" i="21"/>
  <c r="P221" i="21" s="1"/>
  <c r="O213" i="21"/>
  <c r="P213" i="21" s="1"/>
  <c r="O219" i="21"/>
  <c r="P219" i="21" s="1"/>
  <c r="O224" i="21"/>
  <c r="P224" i="21" s="1"/>
  <c r="M228" i="21"/>
  <c r="L228" i="21"/>
  <c r="K228" i="21"/>
  <c r="J228" i="21"/>
  <c r="K219" i="21"/>
  <c r="J219" i="21"/>
  <c r="M219" i="21"/>
  <c r="L219" i="21"/>
  <c r="M220" i="21"/>
  <c r="L220" i="21"/>
  <c r="K220" i="21"/>
  <c r="J220" i="21"/>
  <c r="M225" i="21"/>
  <c r="L225" i="21"/>
  <c r="K225" i="21"/>
  <c r="J225" i="21"/>
  <c r="K227" i="21"/>
  <c r="J227" i="21"/>
  <c r="M227" i="21"/>
  <c r="L227" i="21"/>
  <c r="K223" i="21"/>
  <c r="J223" i="21"/>
  <c r="M223" i="21"/>
  <c r="L223" i="21"/>
  <c r="M224" i="21"/>
  <c r="L224" i="21"/>
  <c r="K224" i="21"/>
  <c r="J224" i="21"/>
  <c r="H229" i="21"/>
  <c r="M221" i="21"/>
  <c r="L221" i="21"/>
  <c r="K221" i="21"/>
  <c r="J221" i="21"/>
  <c r="H196" i="21"/>
  <c r="F184" i="21"/>
  <c r="F195" i="21"/>
  <c r="F193" i="21"/>
  <c r="F183" i="21"/>
  <c r="F187" i="21"/>
  <c r="F179" i="21"/>
  <c r="F191" i="21"/>
  <c r="F159" i="21"/>
  <c r="H163" i="21"/>
  <c r="F152" i="21"/>
  <c r="F156" i="21"/>
  <c r="F160" i="21"/>
  <c r="F127" i="21"/>
  <c r="F128" i="21"/>
  <c r="F120" i="21"/>
  <c r="F125" i="21"/>
  <c r="F129" i="21"/>
  <c r="H130" i="21"/>
  <c r="F118" i="21"/>
  <c r="F122" i="21"/>
  <c r="F112" i="21"/>
  <c r="F126" i="21"/>
  <c r="F93" i="21"/>
  <c r="F80" i="21"/>
  <c r="F81" i="21"/>
  <c r="F90" i="21"/>
  <c r="F84" i="21"/>
  <c r="H97" i="21"/>
  <c r="F94" i="21"/>
  <c r="F45" i="21"/>
  <c r="H64" i="21"/>
  <c r="H26" i="21"/>
  <c r="G31" i="21"/>
  <c r="H25" i="21"/>
  <c r="H13" i="21"/>
  <c r="H23" i="21"/>
  <c r="H14" i="21"/>
  <c r="H15" i="21"/>
  <c r="H16" i="21"/>
  <c r="H17" i="21"/>
  <c r="H18" i="21"/>
  <c r="H19" i="21"/>
  <c r="H20" i="21"/>
  <c r="H21" i="21"/>
  <c r="H22" i="21"/>
  <c r="H24" i="21"/>
  <c r="H27" i="21"/>
  <c r="H28" i="21"/>
  <c r="H29" i="21"/>
  <c r="H30" i="21"/>
  <c r="N104" i="29" l="1"/>
  <c r="U104" i="29" s="1"/>
  <c r="I27" i="37"/>
  <c r="C36" i="36"/>
  <c r="B37" i="36"/>
  <c r="D36" i="36"/>
  <c r="F36" i="36"/>
  <c r="E36" i="36"/>
  <c r="J188" i="21"/>
  <c r="O113" i="21"/>
  <c r="P113" i="21" s="1"/>
  <c r="O244" i="21"/>
  <c r="P244" i="21" s="1"/>
  <c r="Q244" i="21" s="1"/>
  <c r="O289" i="21"/>
  <c r="O390" i="21"/>
  <c r="P390" i="21" s="1"/>
  <c r="Q390" i="21" s="1"/>
  <c r="O145" i="21"/>
  <c r="P145" i="21" s="1"/>
  <c r="Q145" i="21" s="1"/>
  <c r="AN60" i="21"/>
  <c r="AN55" i="21"/>
  <c r="O182" i="21"/>
  <c r="P182" i="21" s="1"/>
  <c r="Q182" i="21" s="1"/>
  <c r="K256" i="21"/>
  <c r="J162" i="21"/>
  <c r="J155" i="21"/>
  <c r="AN53" i="21"/>
  <c r="K158" i="21"/>
  <c r="L161" i="21"/>
  <c r="AN93" i="21"/>
  <c r="O45" i="21"/>
  <c r="O115" i="21"/>
  <c r="P115" i="21" s="1"/>
  <c r="O260" i="21"/>
  <c r="P260" i="21" s="1"/>
  <c r="Q260" i="21" s="1"/>
  <c r="J258" i="21"/>
  <c r="K318" i="21"/>
  <c r="O314" i="21"/>
  <c r="P314" i="21" s="1"/>
  <c r="J384" i="21"/>
  <c r="O153" i="21"/>
  <c r="P153" i="21" s="1"/>
  <c r="AN62" i="21"/>
  <c r="AN94" i="21"/>
  <c r="L92" i="21"/>
  <c r="L123" i="21"/>
  <c r="O111" i="21"/>
  <c r="P111" i="21" s="1"/>
  <c r="Q111" i="21" s="1"/>
  <c r="L192" i="21"/>
  <c r="O326" i="21"/>
  <c r="P326" i="21" s="1"/>
  <c r="L322" i="21"/>
  <c r="M392" i="21"/>
  <c r="AN51" i="21"/>
  <c r="O180" i="21"/>
  <c r="P180" i="21" s="1"/>
  <c r="O250" i="21"/>
  <c r="R250" i="21" s="1"/>
  <c r="O147" i="21"/>
  <c r="P147" i="21" s="1"/>
  <c r="AN61" i="21"/>
  <c r="AN58" i="21"/>
  <c r="M150" i="21"/>
  <c r="AN63" i="21"/>
  <c r="L124" i="21"/>
  <c r="O178" i="21"/>
  <c r="P178" i="21" s="1"/>
  <c r="Q178" i="21" s="1"/>
  <c r="K388" i="21"/>
  <c r="J385" i="21"/>
  <c r="AN57" i="21"/>
  <c r="AN84" i="21"/>
  <c r="AN90" i="21"/>
  <c r="M119" i="21"/>
  <c r="L186" i="21"/>
  <c r="M355" i="21"/>
  <c r="K351" i="21"/>
  <c r="J393" i="21"/>
  <c r="O144" i="21"/>
  <c r="P144" i="21" s="1"/>
  <c r="Q144" i="21" s="1"/>
  <c r="O148" i="21"/>
  <c r="P148" i="21" s="1"/>
  <c r="K86" i="21"/>
  <c r="K194" i="21"/>
  <c r="K254" i="21"/>
  <c r="O281" i="21"/>
  <c r="P281" i="21" s="1"/>
  <c r="M348" i="21"/>
  <c r="M359" i="21"/>
  <c r="O378" i="21"/>
  <c r="P378" i="21" s="1"/>
  <c r="Q378" i="21" s="1"/>
  <c r="AN56" i="21"/>
  <c r="O146" i="21"/>
  <c r="P146" i="21" s="1"/>
  <c r="AN59" i="21"/>
  <c r="AN52" i="21"/>
  <c r="J157" i="21"/>
  <c r="AN54" i="21"/>
  <c r="O161" i="21"/>
  <c r="P161" i="21" s="1"/>
  <c r="K161" i="21"/>
  <c r="V179" i="21"/>
  <c r="K151" i="21"/>
  <c r="D465" i="21"/>
  <c r="K392" i="21"/>
  <c r="J158" i="21"/>
  <c r="O318" i="21"/>
  <c r="P318" i="21" s="1"/>
  <c r="M158" i="21"/>
  <c r="O158" i="21"/>
  <c r="P158" i="21" s="1"/>
  <c r="V195" i="21"/>
  <c r="M161" i="21"/>
  <c r="J161" i="21"/>
  <c r="V112" i="21"/>
  <c r="V128" i="21"/>
  <c r="V343" i="21"/>
  <c r="V359" i="21"/>
  <c r="V383" i="21"/>
  <c r="Y347" i="21"/>
  <c r="V377" i="21"/>
  <c r="Y387" i="21"/>
  <c r="L321" i="21"/>
  <c r="M153" i="21"/>
  <c r="K153" i="21"/>
  <c r="Y382" i="21"/>
  <c r="V378" i="21"/>
  <c r="J153" i="21"/>
  <c r="M384" i="21"/>
  <c r="AO328" i="21"/>
  <c r="AP262" i="21"/>
  <c r="M318" i="21"/>
  <c r="L153" i="21"/>
  <c r="K260" i="21"/>
  <c r="L190" i="21"/>
  <c r="J318" i="21"/>
  <c r="K393" i="21"/>
  <c r="K384" i="21"/>
  <c r="V309" i="21"/>
  <c r="K123" i="21"/>
  <c r="J123" i="21"/>
  <c r="L293" i="21"/>
  <c r="O359" i="21"/>
  <c r="P359" i="21" s="1"/>
  <c r="J390" i="21"/>
  <c r="Q214" i="21"/>
  <c r="AO97" i="21"/>
  <c r="AQ130" i="21"/>
  <c r="AP22" i="21"/>
  <c r="AO22" i="21"/>
  <c r="AQ22" i="21"/>
  <c r="AP14" i="21"/>
  <c r="AQ14" i="21"/>
  <c r="AO14" i="21"/>
  <c r="L256" i="21"/>
  <c r="M327" i="21"/>
  <c r="V85" i="21"/>
  <c r="Y161" i="21"/>
  <c r="V313" i="21"/>
  <c r="Y247" i="21"/>
  <c r="Y86" i="21"/>
  <c r="V190" i="21"/>
  <c r="Y351" i="21"/>
  <c r="AQ394" i="21"/>
  <c r="AP328" i="21"/>
  <c r="AP64" i="21"/>
  <c r="AO361" i="21"/>
  <c r="AP97" i="21"/>
  <c r="AP130" i="21"/>
  <c r="AO262" i="21"/>
  <c r="AQ262" i="21"/>
  <c r="AO196" i="21"/>
  <c r="AQ21" i="21"/>
  <c r="AO21" i="21"/>
  <c r="AP21" i="21"/>
  <c r="AQ13" i="21"/>
  <c r="AO13" i="21"/>
  <c r="AP13" i="21"/>
  <c r="AP394" i="21"/>
  <c r="AQ64" i="21"/>
  <c r="AQ196" i="21"/>
  <c r="AQ97" i="21"/>
  <c r="AP23" i="21"/>
  <c r="AQ23" i="21"/>
  <c r="AO23" i="21"/>
  <c r="AO20" i="21"/>
  <c r="AP20" i="21"/>
  <c r="AQ20" i="21"/>
  <c r="AP30" i="21"/>
  <c r="AO30" i="21"/>
  <c r="AQ30" i="21"/>
  <c r="AO19" i="21"/>
  <c r="AQ19" i="21"/>
  <c r="AP19" i="21"/>
  <c r="AO25" i="21"/>
  <c r="AP25" i="21"/>
  <c r="AQ25" i="21"/>
  <c r="M256" i="21"/>
  <c r="Y314" i="21"/>
  <c r="Y189" i="21"/>
  <c r="Y160" i="21"/>
  <c r="Y122" i="21"/>
  <c r="Y95" i="21"/>
  <c r="Y323" i="21"/>
  <c r="Y294" i="21"/>
  <c r="Y182" i="21"/>
  <c r="V154" i="21"/>
  <c r="Y81" i="21"/>
  <c r="V280" i="21"/>
  <c r="V251" i="21"/>
  <c r="V147" i="21"/>
  <c r="Y127" i="21"/>
  <c r="Y310" i="21"/>
  <c r="Y326" i="21"/>
  <c r="Y185" i="21"/>
  <c r="Y148" i="21"/>
  <c r="V149" i="21"/>
  <c r="Y84" i="21"/>
  <c r="V320" i="21"/>
  <c r="V54" i="21"/>
  <c r="V63" i="21"/>
  <c r="V113" i="21"/>
  <c r="Y94" i="21"/>
  <c r="Y343" i="21"/>
  <c r="Y359" i="21"/>
  <c r="Y383" i="21"/>
  <c r="Y346" i="21"/>
  <c r="Y384" i="21"/>
  <c r="Y377" i="21"/>
  <c r="Y393" i="21"/>
  <c r="V356" i="21"/>
  <c r="Y357" i="21"/>
  <c r="AQ328" i="21"/>
  <c r="AP196" i="21"/>
  <c r="AO130" i="21"/>
  <c r="AP163" i="21"/>
  <c r="AP24" i="21"/>
  <c r="AQ24" i="21"/>
  <c r="AO24" i="21"/>
  <c r="AQ18" i="21"/>
  <c r="AO18" i="21"/>
  <c r="AP18" i="21"/>
  <c r="Y254" i="21"/>
  <c r="AO394" i="21"/>
  <c r="AP295" i="21"/>
  <c r="AO163" i="21"/>
  <c r="AQ29" i="21"/>
  <c r="AP29" i="21"/>
  <c r="AO29" i="21"/>
  <c r="AP28" i="21"/>
  <c r="AO28" i="21"/>
  <c r="AQ28" i="21"/>
  <c r="AP361" i="21"/>
  <c r="AO295" i="21"/>
  <c r="AQ295" i="21"/>
  <c r="AQ163" i="21"/>
  <c r="AQ15" i="21"/>
  <c r="AO15" i="21"/>
  <c r="AP15" i="21"/>
  <c r="AO17" i="21"/>
  <c r="AP17" i="21"/>
  <c r="AQ17" i="21"/>
  <c r="AQ26" i="21"/>
  <c r="AP26" i="21"/>
  <c r="AO26" i="21"/>
  <c r="AO27" i="21"/>
  <c r="AQ27" i="21"/>
  <c r="AP27" i="21"/>
  <c r="AP16" i="21"/>
  <c r="AO16" i="21"/>
  <c r="AQ16" i="21"/>
  <c r="AO64" i="21"/>
  <c r="AQ361" i="21"/>
  <c r="O157" i="21"/>
  <c r="P157" i="21" s="1"/>
  <c r="K117" i="21"/>
  <c r="L157" i="21"/>
  <c r="L117" i="21"/>
  <c r="J86" i="21"/>
  <c r="M117" i="21"/>
  <c r="L151" i="21"/>
  <c r="O151" i="21"/>
  <c r="P151" i="21" s="1"/>
  <c r="L327" i="21"/>
  <c r="M157" i="21"/>
  <c r="J151" i="21"/>
  <c r="O117" i="21"/>
  <c r="P117" i="21" s="1"/>
  <c r="K157" i="21"/>
  <c r="M151" i="21"/>
  <c r="J117" i="21"/>
  <c r="L390" i="21"/>
  <c r="J249" i="21"/>
  <c r="J289" i="21"/>
  <c r="V86" i="21"/>
  <c r="Y286" i="21"/>
  <c r="Y115" i="21"/>
  <c r="V245" i="21"/>
  <c r="M289" i="21"/>
  <c r="O293" i="21"/>
  <c r="R293" i="21" s="1"/>
  <c r="V254" i="21"/>
  <c r="Y85" i="21"/>
  <c r="V161" i="21"/>
  <c r="Y313" i="21"/>
  <c r="V247" i="21"/>
  <c r="V177" i="21"/>
  <c r="V129" i="21"/>
  <c r="V349" i="21"/>
  <c r="V391" i="21"/>
  <c r="V385" i="21"/>
  <c r="K293" i="21"/>
  <c r="O123" i="21"/>
  <c r="P123" i="21" s="1"/>
  <c r="K192" i="21"/>
  <c r="K327" i="21"/>
  <c r="L355" i="21"/>
  <c r="J392" i="21"/>
  <c r="L393" i="21"/>
  <c r="M326" i="21"/>
  <c r="O355" i="21"/>
  <c r="P355" i="21" s="1"/>
  <c r="Q355" i="21" s="1"/>
  <c r="K186" i="21"/>
  <c r="K355" i="21"/>
  <c r="O392" i="21"/>
  <c r="R392" i="21" s="1"/>
  <c r="M123" i="21"/>
  <c r="O322" i="21"/>
  <c r="P322" i="21" s="1"/>
  <c r="J186" i="21"/>
  <c r="Y352" i="21"/>
  <c r="Y345" i="21"/>
  <c r="V324" i="21"/>
  <c r="V125" i="21"/>
  <c r="Y311" i="21"/>
  <c r="Y327" i="21"/>
  <c r="AN160" i="21"/>
  <c r="AD160" i="21"/>
  <c r="AF160" i="21" s="1"/>
  <c r="AJ160" i="21"/>
  <c r="AL160" i="21" s="1"/>
  <c r="AA160" i="21"/>
  <c r="AC160" i="21" s="1"/>
  <c r="AG160" i="21"/>
  <c r="AI160" i="21" s="1"/>
  <c r="AN185" i="21"/>
  <c r="AA185" i="21"/>
  <c r="AC185" i="21" s="1"/>
  <c r="AG185" i="21"/>
  <c r="AI185" i="21" s="1"/>
  <c r="AJ185" i="21"/>
  <c r="AL185" i="21" s="1"/>
  <c r="AD185" i="21"/>
  <c r="AF185" i="21" s="1"/>
  <c r="AN358" i="21"/>
  <c r="AD358" i="21"/>
  <c r="AF358" i="21" s="1"/>
  <c r="AA358" i="21"/>
  <c r="AC358" i="21" s="1"/>
  <c r="AG358" i="21"/>
  <c r="AI358" i="21" s="1"/>
  <c r="AJ358" i="21"/>
  <c r="AL358" i="21" s="1"/>
  <c r="AG147" i="21"/>
  <c r="AI147" i="21" s="1"/>
  <c r="AD147" i="21"/>
  <c r="AF147" i="21" s="1"/>
  <c r="AA147" i="21"/>
  <c r="AC147" i="21" s="1"/>
  <c r="AJ147" i="21"/>
  <c r="AL147" i="21" s="1"/>
  <c r="AN128" i="21"/>
  <c r="AA128" i="21"/>
  <c r="AC128" i="21" s="1"/>
  <c r="AG128" i="21"/>
  <c r="AI128" i="21" s="1"/>
  <c r="AD128" i="21"/>
  <c r="AF128" i="21" s="1"/>
  <c r="AJ128" i="21"/>
  <c r="AL128" i="21" s="1"/>
  <c r="AN156" i="21"/>
  <c r="AG156" i="21"/>
  <c r="AI156" i="21" s="1"/>
  <c r="AD156" i="21"/>
  <c r="AF156" i="21" s="1"/>
  <c r="AA156" i="21"/>
  <c r="AC156" i="21" s="1"/>
  <c r="AJ156" i="21"/>
  <c r="AL156" i="21" s="1"/>
  <c r="K150" i="21"/>
  <c r="L154" i="21"/>
  <c r="AN187" i="21"/>
  <c r="AD187" i="21"/>
  <c r="AF187" i="21" s="1"/>
  <c r="AJ187" i="21"/>
  <c r="AL187" i="21" s="1"/>
  <c r="AA187" i="21"/>
  <c r="AC187" i="21" s="1"/>
  <c r="AG187" i="21"/>
  <c r="AI187" i="21" s="1"/>
  <c r="AN255" i="21"/>
  <c r="AD255" i="21"/>
  <c r="AF255" i="21" s="1"/>
  <c r="AJ255" i="21"/>
  <c r="AL255" i="21" s="1"/>
  <c r="AA255" i="21"/>
  <c r="AC255" i="21" s="1"/>
  <c r="AG255" i="21"/>
  <c r="AI255" i="21" s="1"/>
  <c r="AA243" i="21"/>
  <c r="AG243" i="21"/>
  <c r="AJ243" i="21"/>
  <c r="AD243" i="21"/>
  <c r="M293" i="21"/>
  <c r="AN292" i="21"/>
  <c r="AG292" i="21"/>
  <c r="AI292" i="21" s="1"/>
  <c r="AJ292" i="21"/>
  <c r="AL292" i="21" s="1"/>
  <c r="AD292" i="21"/>
  <c r="AF292" i="21" s="1"/>
  <c r="AA292" i="21"/>
  <c r="AC292" i="21" s="1"/>
  <c r="K289" i="21"/>
  <c r="AN320" i="21"/>
  <c r="AG320" i="21"/>
  <c r="AI320" i="21" s="1"/>
  <c r="AJ320" i="21"/>
  <c r="AL320" i="21" s="1"/>
  <c r="AD320" i="21"/>
  <c r="AF320" i="21" s="1"/>
  <c r="AA320" i="21"/>
  <c r="AC320" i="21" s="1"/>
  <c r="L318" i="21"/>
  <c r="AN324" i="21"/>
  <c r="AA324" i="21"/>
  <c r="AC324" i="21" s="1"/>
  <c r="AJ324" i="21"/>
  <c r="AL324" i="21" s="1"/>
  <c r="AG324" i="21"/>
  <c r="AI324" i="21" s="1"/>
  <c r="AD324" i="21"/>
  <c r="AF324" i="21" s="1"/>
  <c r="AN353" i="21"/>
  <c r="AA353" i="21"/>
  <c r="AC353" i="21" s="1"/>
  <c r="AJ353" i="21"/>
  <c r="AL353" i="21" s="1"/>
  <c r="AG353" i="21"/>
  <c r="AI353" i="21" s="1"/>
  <c r="AD353" i="21"/>
  <c r="AF353" i="21" s="1"/>
  <c r="O384" i="21"/>
  <c r="R384" i="21" s="1"/>
  <c r="L384" i="21"/>
  <c r="AN381" i="21"/>
  <c r="AJ381" i="21"/>
  <c r="AL381" i="21" s="1"/>
  <c r="AG381" i="21"/>
  <c r="AI381" i="21" s="1"/>
  <c r="AA381" i="21"/>
  <c r="AC381" i="21" s="1"/>
  <c r="AD381" i="21"/>
  <c r="AF381" i="21" s="1"/>
  <c r="AJ124" i="21"/>
  <c r="AL124" i="21" s="1"/>
  <c r="AD124" i="21"/>
  <c r="AF124" i="21" s="1"/>
  <c r="AA124" i="21"/>
  <c r="AC124" i="21" s="1"/>
  <c r="AG124" i="21"/>
  <c r="AI124" i="21" s="1"/>
  <c r="AJ188" i="21"/>
  <c r="AL188" i="21" s="1"/>
  <c r="AD188" i="21"/>
  <c r="AF188" i="21" s="1"/>
  <c r="AG188" i="21"/>
  <c r="AI188" i="21" s="1"/>
  <c r="AA188" i="21"/>
  <c r="AC188" i="21" s="1"/>
  <c r="AJ178" i="21"/>
  <c r="AL178" i="21" s="1"/>
  <c r="AA178" i="21"/>
  <c r="AC178" i="21" s="1"/>
  <c r="AD178" i="21"/>
  <c r="AF178" i="21" s="1"/>
  <c r="AG178" i="21"/>
  <c r="AI178" i="21" s="1"/>
  <c r="AJ248" i="21"/>
  <c r="AL248" i="21" s="1"/>
  <c r="AA248" i="21"/>
  <c r="AC248" i="21" s="1"/>
  <c r="AG248" i="21"/>
  <c r="AI248" i="21" s="1"/>
  <c r="AD248" i="21"/>
  <c r="AF248" i="21" s="1"/>
  <c r="AA280" i="21"/>
  <c r="AC280" i="21" s="1"/>
  <c r="AD280" i="21"/>
  <c r="AF280" i="21" s="1"/>
  <c r="AJ280" i="21"/>
  <c r="AL280" i="21" s="1"/>
  <c r="AG280" i="21"/>
  <c r="AI280" i="21" s="1"/>
  <c r="AG278" i="21"/>
  <c r="AI278" i="21" s="1"/>
  <c r="AJ278" i="21"/>
  <c r="AL278" i="21" s="1"/>
  <c r="AA278" i="21"/>
  <c r="AC278" i="21" s="1"/>
  <c r="AD278" i="21"/>
  <c r="AF278" i="21" s="1"/>
  <c r="AD319" i="21"/>
  <c r="AF319" i="21" s="1"/>
  <c r="AJ319" i="21"/>
  <c r="AL319" i="21" s="1"/>
  <c r="AA319" i="21"/>
  <c r="AC319" i="21" s="1"/>
  <c r="AG319" i="21"/>
  <c r="AI319" i="21" s="1"/>
  <c r="AJ347" i="21"/>
  <c r="AL347" i="21" s="1"/>
  <c r="AD347" i="21"/>
  <c r="AF347" i="21" s="1"/>
  <c r="AA347" i="21"/>
  <c r="AC347" i="21" s="1"/>
  <c r="AG347" i="21"/>
  <c r="AI347" i="21" s="1"/>
  <c r="AJ343" i="21"/>
  <c r="AL343" i="21" s="1"/>
  <c r="AA343" i="21"/>
  <c r="AC343" i="21" s="1"/>
  <c r="AG343" i="21"/>
  <c r="AI343" i="21" s="1"/>
  <c r="AD343" i="21"/>
  <c r="AF343" i="21" s="1"/>
  <c r="AG388" i="21"/>
  <c r="AI388" i="21" s="1"/>
  <c r="AD388" i="21"/>
  <c r="AF388" i="21" s="1"/>
  <c r="AA388" i="21"/>
  <c r="AC388" i="21" s="1"/>
  <c r="AJ388" i="21"/>
  <c r="AL388" i="21" s="1"/>
  <c r="AJ385" i="21"/>
  <c r="AL385" i="21" s="1"/>
  <c r="AG385" i="21"/>
  <c r="AI385" i="21" s="1"/>
  <c r="AD385" i="21"/>
  <c r="AF385" i="21" s="1"/>
  <c r="AA385" i="21"/>
  <c r="AC385" i="21" s="1"/>
  <c r="AA149" i="21"/>
  <c r="AC149" i="21" s="1"/>
  <c r="AD149" i="21"/>
  <c r="AF149" i="21" s="1"/>
  <c r="AG149" i="21"/>
  <c r="AI149" i="21" s="1"/>
  <c r="AJ149" i="21"/>
  <c r="AL149" i="21" s="1"/>
  <c r="AN387" i="21"/>
  <c r="AA387" i="21"/>
  <c r="AC387" i="21" s="1"/>
  <c r="AG387" i="21"/>
  <c r="AI387" i="21" s="1"/>
  <c r="AJ387" i="21"/>
  <c r="AL387" i="21" s="1"/>
  <c r="AD387" i="21"/>
  <c r="AF387" i="21" s="1"/>
  <c r="AN323" i="21"/>
  <c r="AD323" i="21"/>
  <c r="AF323" i="21" s="1"/>
  <c r="AJ323" i="21"/>
  <c r="AL323" i="21" s="1"/>
  <c r="AG323" i="21"/>
  <c r="AI323" i="21" s="1"/>
  <c r="AA323" i="21"/>
  <c r="AC323" i="21" s="1"/>
  <c r="AG112" i="21"/>
  <c r="AI112" i="21" s="1"/>
  <c r="AA112" i="21"/>
  <c r="AC112" i="21" s="1"/>
  <c r="AJ112" i="21"/>
  <c r="AL112" i="21" s="1"/>
  <c r="AD112" i="21"/>
  <c r="AF112" i="21" s="1"/>
  <c r="AN152" i="21"/>
  <c r="AA152" i="21"/>
  <c r="AC152" i="21" s="1"/>
  <c r="AD152" i="21"/>
  <c r="AF152" i="21" s="1"/>
  <c r="AG152" i="21"/>
  <c r="AI152" i="21" s="1"/>
  <c r="AJ152" i="21"/>
  <c r="AL152" i="21" s="1"/>
  <c r="J185" i="21"/>
  <c r="AN282" i="21"/>
  <c r="AJ282" i="21"/>
  <c r="AL282" i="21" s="1"/>
  <c r="AA282" i="21"/>
  <c r="AC282" i="21" s="1"/>
  <c r="AD282" i="21"/>
  <c r="AF282" i="21" s="1"/>
  <c r="AG282" i="21"/>
  <c r="AI282" i="21" s="1"/>
  <c r="AN349" i="21"/>
  <c r="AD349" i="21"/>
  <c r="AF349" i="21" s="1"/>
  <c r="AJ349" i="21"/>
  <c r="AL349" i="21" s="1"/>
  <c r="AA349" i="21"/>
  <c r="AC349" i="21" s="1"/>
  <c r="AG349" i="21"/>
  <c r="AI349" i="21" s="1"/>
  <c r="AG186" i="21"/>
  <c r="AI186" i="21" s="1"/>
  <c r="AA186" i="21"/>
  <c r="AC186" i="21" s="1"/>
  <c r="AJ186" i="21"/>
  <c r="AL186" i="21" s="1"/>
  <c r="AD186" i="21"/>
  <c r="AF186" i="21" s="1"/>
  <c r="AG277" i="21"/>
  <c r="AI277" i="21" s="1"/>
  <c r="AD277" i="21"/>
  <c r="AF277" i="21" s="1"/>
  <c r="AA277" i="21"/>
  <c r="AC277" i="21" s="1"/>
  <c r="AJ277" i="21"/>
  <c r="AL277" i="21" s="1"/>
  <c r="AD355" i="21"/>
  <c r="AF355" i="21" s="1"/>
  <c r="AA355" i="21"/>
  <c r="AC355" i="21" s="1"/>
  <c r="AG355" i="21"/>
  <c r="AI355" i="21" s="1"/>
  <c r="AJ355" i="21"/>
  <c r="AL355" i="21" s="1"/>
  <c r="AA351" i="21"/>
  <c r="AC351" i="21" s="1"/>
  <c r="AD351" i="21"/>
  <c r="AF351" i="21" s="1"/>
  <c r="AG351" i="21"/>
  <c r="AI351" i="21" s="1"/>
  <c r="AJ351" i="21"/>
  <c r="AL351" i="21" s="1"/>
  <c r="AN393" i="21"/>
  <c r="AD393" i="21"/>
  <c r="AF393" i="21" s="1"/>
  <c r="AG393" i="21"/>
  <c r="AI393" i="21" s="1"/>
  <c r="AA393" i="21"/>
  <c r="AC393" i="21" s="1"/>
  <c r="AJ393" i="21"/>
  <c r="AL393" i="21" s="1"/>
  <c r="AG144" i="21"/>
  <c r="AA144" i="21"/>
  <c r="AD144" i="21"/>
  <c r="AJ144" i="21"/>
  <c r="AA148" i="21"/>
  <c r="AC148" i="21" s="1"/>
  <c r="AJ148" i="21"/>
  <c r="AL148" i="21" s="1"/>
  <c r="AG148" i="21"/>
  <c r="AI148" i="21" s="1"/>
  <c r="AD148" i="21"/>
  <c r="AF148" i="21" s="1"/>
  <c r="AN151" i="21"/>
  <c r="AA151" i="21"/>
  <c r="AC151" i="21" s="1"/>
  <c r="AD151" i="21"/>
  <c r="AF151" i="21" s="1"/>
  <c r="AG151" i="21"/>
  <c r="AI151" i="21" s="1"/>
  <c r="AJ151" i="21"/>
  <c r="AL151" i="21" s="1"/>
  <c r="AN191" i="21"/>
  <c r="AJ191" i="21"/>
  <c r="AL191" i="21" s="1"/>
  <c r="AA191" i="21"/>
  <c r="AC191" i="21" s="1"/>
  <c r="AG191" i="21"/>
  <c r="AI191" i="21" s="1"/>
  <c r="AD191" i="21"/>
  <c r="AF191" i="21" s="1"/>
  <c r="AN391" i="21"/>
  <c r="AD391" i="21"/>
  <c r="AF391" i="21" s="1"/>
  <c r="AG391" i="21"/>
  <c r="AI391" i="21" s="1"/>
  <c r="AA391" i="21"/>
  <c r="AC391" i="21" s="1"/>
  <c r="AJ391" i="21"/>
  <c r="AL391" i="21" s="1"/>
  <c r="AG116" i="21"/>
  <c r="AI116" i="21" s="1"/>
  <c r="AA116" i="21"/>
  <c r="AC116" i="21" s="1"/>
  <c r="AD116" i="21"/>
  <c r="AF116" i="21" s="1"/>
  <c r="AJ116" i="21"/>
  <c r="AL116" i="21" s="1"/>
  <c r="AJ284" i="21"/>
  <c r="AL284" i="21" s="1"/>
  <c r="AD284" i="21"/>
  <c r="AF284" i="21" s="1"/>
  <c r="AA284" i="21"/>
  <c r="AC284" i="21" s="1"/>
  <c r="AG284" i="21"/>
  <c r="AI284" i="21" s="1"/>
  <c r="AJ377" i="21"/>
  <c r="AL377" i="21" s="1"/>
  <c r="AD377" i="21"/>
  <c r="AF377" i="21" s="1"/>
  <c r="AG377" i="21"/>
  <c r="AI377" i="21" s="1"/>
  <c r="AA377" i="21"/>
  <c r="AC377" i="21" s="1"/>
  <c r="AN127" i="21"/>
  <c r="AD127" i="21"/>
  <c r="AF127" i="21" s="1"/>
  <c r="AG127" i="21"/>
  <c r="AI127" i="21" s="1"/>
  <c r="AJ127" i="21"/>
  <c r="AL127" i="21" s="1"/>
  <c r="AA127" i="21"/>
  <c r="AC127" i="21" s="1"/>
  <c r="K154" i="21"/>
  <c r="J154" i="21"/>
  <c r="AN183" i="21"/>
  <c r="AG183" i="21"/>
  <c r="AI183" i="21" s="1"/>
  <c r="AD183" i="21"/>
  <c r="AF183" i="21" s="1"/>
  <c r="AA183" i="21"/>
  <c r="AC183" i="21" s="1"/>
  <c r="AJ183" i="21"/>
  <c r="AL183" i="21" s="1"/>
  <c r="AN287" i="21"/>
  <c r="AD287" i="21"/>
  <c r="AF287" i="21" s="1"/>
  <c r="AA287" i="21"/>
  <c r="AC287" i="21" s="1"/>
  <c r="AG287" i="21"/>
  <c r="AI287" i="21" s="1"/>
  <c r="AJ287" i="21"/>
  <c r="AL287" i="21" s="1"/>
  <c r="AN317" i="21"/>
  <c r="AJ317" i="21"/>
  <c r="AL317" i="21" s="1"/>
  <c r="AG317" i="21"/>
  <c r="AI317" i="21" s="1"/>
  <c r="AD317" i="21"/>
  <c r="AF317" i="21" s="1"/>
  <c r="AA317" i="21"/>
  <c r="AC317" i="21" s="1"/>
  <c r="AG119" i="21"/>
  <c r="AI119" i="21" s="1"/>
  <c r="AD119" i="21"/>
  <c r="AF119" i="21" s="1"/>
  <c r="AA119" i="21"/>
  <c r="AC119" i="21" s="1"/>
  <c r="AJ119" i="21"/>
  <c r="AL119" i="21" s="1"/>
  <c r="AG177" i="21"/>
  <c r="AJ177" i="21"/>
  <c r="AD177" i="21"/>
  <c r="AA177" i="21"/>
  <c r="AJ246" i="21"/>
  <c r="AL246" i="21" s="1"/>
  <c r="AD246" i="21"/>
  <c r="AF246" i="21" s="1"/>
  <c r="AA246" i="21"/>
  <c r="AC246" i="21" s="1"/>
  <c r="AG246" i="21"/>
  <c r="AI246" i="21" s="1"/>
  <c r="AG276" i="21"/>
  <c r="AD276" i="21"/>
  <c r="AA276" i="21"/>
  <c r="AJ276" i="21"/>
  <c r="AN327" i="21"/>
  <c r="AD327" i="21"/>
  <c r="AF327" i="21" s="1"/>
  <c r="AA327" i="21"/>
  <c r="AC327" i="21" s="1"/>
  <c r="AJ327" i="21"/>
  <c r="AL327" i="21" s="1"/>
  <c r="AG327" i="21"/>
  <c r="AI327" i="21" s="1"/>
  <c r="AD389" i="21"/>
  <c r="AF389" i="21" s="1"/>
  <c r="AG389" i="21"/>
  <c r="AI389" i="21" s="1"/>
  <c r="AJ389" i="21"/>
  <c r="AL389" i="21" s="1"/>
  <c r="AA389" i="21"/>
  <c r="AC389" i="21" s="1"/>
  <c r="AN126" i="21"/>
  <c r="AG126" i="21"/>
  <c r="AI126" i="21" s="1"/>
  <c r="AA126" i="21"/>
  <c r="AC126" i="21" s="1"/>
  <c r="AD126" i="21"/>
  <c r="AF126" i="21" s="1"/>
  <c r="AJ126" i="21"/>
  <c r="AL126" i="21" s="1"/>
  <c r="AN122" i="21"/>
  <c r="AD122" i="21"/>
  <c r="AF122" i="21" s="1"/>
  <c r="AG122" i="21"/>
  <c r="AI122" i="21" s="1"/>
  <c r="AA122" i="21"/>
  <c r="AC122" i="21" s="1"/>
  <c r="AJ122" i="21"/>
  <c r="AL122" i="21" s="1"/>
  <c r="M154" i="21"/>
  <c r="O185" i="21"/>
  <c r="P185" i="21" s="1"/>
  <c r="Q185" i="21" s="1"/>
  <c r="K185" i="21"/>
  <c r="O177" i="21"/>
  <c r="J260" i="21"/>
  <c r="K284" i="21"/>
  <c r="M358" i="21"/>
  <c r="M351" i="21"/>
  <c r="AN360" i="21"/>
  <c r="AD360" i="21"/>
  <c r="AF360" i="21" s="1"/>
  <c r="AA360" i="21"/>
  <c r="AC360" i="21" s="1"/>
  <c r="AJ360" i="21"/>
  <c r="AL360" i="21" s="1"/>
  <c r="AG360" i="21"/>
  <c r="AI360" i="21" s="1"/>
  <c r="M393" i="21"/>
  <c r="AN383" i="21"/>
  <c r="AJ383" i="21"/>
  <c r="AL383" i="21" s="1"/>
  <c r="AD383" i="21"/>
  <c r="AF383" i="21" s="1"/>
  <c r="AA383" i="21"/>
  <c r="AC383" i="21" s="1"/>
  <c r="AG383" i="21"/>
  <c r="AI383" i="21" s="1"/>
  <c r="L392" i="21"/>
  <c r="AN117" i="21"/>
  <c r="AD117" i="21"/>
  <c r="AF117" i="21" s="1"/>
  <c r="AA117" i="21"/>
  <c r="AC117" i="21" s="1"/>
  <c r="AG117" i="21"/>
  <c r="AI117" i="21" s="1"/>
  <c r="AJ117" i="21"/>
  <c r="AL117" i="21" s="1"/>
  <c r="AA181" i="21"/>
  <c r="AC181" i="21" s="1"/>
  <c r="AJ181" i="21"/>
  <c r="AL181" i="21" s="1"/>
  <c r="AG181" i="21"/>
  <c r="AI181" i="21" s="1"/>
  <c r="AD181" i="21"/>
  <c r="AF181" i="21" s="1"/>
  <c r="AA194" i="21"/>
  <c r="AC194" i="21" s="1"/>
  <c r="AJ194" i="21"/>
  <c r="AL194" i="21" s="1"/>
  <c r="AG194" i="21"/>
  <c r="AI194" i="21" s="1"/>
  <c r="AD194" i="21"/>
  <c r="AF194" i="21" s="1"/>
  <c r="AD254" i="21"/>
  <c r="AF254" i="21" s="1"/>
  <c r="AG254" i="21"/>
  <c r="AI254" i="21" s="1"/>
  <c r="AA254" i="21"/>
  <c r="AC254" i="21" s="1"/>
  <c r="AJ254" i="21"/>
  <c r="AL254" i="21" s="1"/>
  <c r="AD281" i="21"/>
  <c r="AF281" i="21" s="1"/>
  <c r="AJ281" i="21"/>
  <c r="AL281" i="21" s="1"/>
  <c r="AA281" i="21"/>
  <c r="AC281" i="21" s="1"/>
  <c r="AG281" i="21"/>
  <c r="AI281" i="21" s="1"/>
  <c r="AA285" i="21"/>
  <c r="AC285" i="21" s="1"/>
  <c r="AJ285" i="21"/>
  <c r="AL285" i="21" s="1"/>
  <c r="AD285" i="21"/>
  <c r="AF285" i="21" s="1"/>
  <c r="AG285" i="21"/>
  <c r="AI285" i="21" s="1"/>
  <c r="AA313" i="21"/>
  <c r="AC313" i="21" s="1"/>
  <c r="AJ313" i="21"/>
  <c r="AL313" i="21" s="1"/>
  <c r="AG313" i="21"/>
  <c r="AI313" i="21" s="1"/>
  <c r="AD313" i="21"/>
  <c r="AF313" i="21" s="1"/>
  <c r="AJ348" i="21"/>
  <c r="AL348" i="21" s="1"/>
  <c r="AD348" i="21"/>
  <c r="AF348" i="21" s="1"/>
  <c r="AA348" i="21"/>
  <c r="AC348" i="21" s="1"/>
  <c r="AG348" i="21"/>
  <c r="AI348" i="21" s="1"/>
  <c r="AD359" i="21"/>
  <c r="AF359" i="21" s="1"/>
  <c r="AA359" i="21"/>
  <c r="AC359" i="21" s="1"/>
  <c r="AG359" i="21"/>
  <c r="AI359" i="21" s="1"/>
  <c r="AJ359" i="21"/>
  <c r="AL359" i="21" s="1"/>
  <c r="AG382" i="21"/>
  <c r="AI382" i="21" s="1"/>
  <c r="AD382" i="21"/>
  <c r="AF382" i="21" s="1"/>
  <c r="AJ382" i="21"/>
  <c r="AL382" i="21" s="1"/>
  <c r="AA382" i="21"/>
  <c r="AC382" i="21" s="1"/>
  <c r="AD378" i="21"/>
  <c r="AF378" i="21" s="1"/>
  <c r="AJ378" i="21"/>
  <c r="AL378" i="21" s="1"/>
  <c r="AG378" i="21"/>
  <c r="AI378" i="21" s="1"/>
  <c r="AA378" i="21"/>
  <c r="AC378" i="21" s="1"/>
  <c r="V88" i="21"/>
  <c r="AG146" i="21"/>
  <c r="AI146" i="21" s="1"/>
  <c r="AA146" i="21"/>
  <c r="AC146" i="21" s="1"/>
  <c r="AJ146" i="21"/>
  <c r="AL146" i="21" s="1"/>
  <c r="AD146" i="21"/>
  <c r="AF146" i="21" s="1"/>
  <c r="V82" i="21"/>
  <c r="V194" i="21"/>
  <c r="Y260" i="21"/>
  <c r="V156" i="21"/>
  <c r="V261" i="21"/>
  <c r="AN157" i="21"/>
  <c r="AA157" i="21"/>
  <c r="AC157" i="21" s="1"/>
  <c r="AG157" i="21"/>
  <c r="AI157" i="21" s="1"/>
  <c r="AJ157" i="21"/>
  <c r="AL157" i="21" s="1"/>
  <c r="AD157" i="21"/>
  <c r="AF157" i="21" s="1"/>
  <c r="AD253" i="21"/>
  <c r="AF253" i="21" s="1"/>
  <c r="AG253" i="21"/>
  <c r="AI253" i="21" s="1"/>
  <c r="AJ253" i="21"/>
  <c r="AL253" i="21" s="1"/>
  <c r="AA253" i="21"/>
  <c r="AC253" i="21" s="1"/>
  <c r="AN150" i="21"/>
  <c r="AG150" i="21"/>
  <c r="AI150" i="21" s="1"/>
  <c r="AD150" i="21"/>
  <c r="AF150" i="21" s="1"/>
  <c r="AJ150" i="21"/>
  <c r="AL150" i="21" s="1"/>
  <c r="AA150" i="21"/>
  <c r="AC150" i="21" s="1"/>
  <c r="AN118" i="21"/>
  <c r="AD118" i="21"/>
  <c r="AF118" i="21" s="1"/>
  <c r="AA118" i="21"/>
  <c r="AC118" i="21" s="1"/>
  <c r="AJ118" i="21"/>
  <c r="AL118" i="21" s="1"/>
  <c r="AG118" i="21"/>
  <c r="AI118" i="21" s="1"/>
  <c r="AN193" i="21"/>
  <c r="AJ193" i="21"/>
  <c r="AL193" i="21" s="1"/>
  <c r="AG193" i="21"/>
  <c r="AI193" i="21" s="1"/>
  <c r="AD193" i="21"/>
  <c r="AF193" i="21" s="1"/>
  <c r="AA193" i="21"/>
  <c r="AC193" i="21" s="1"/>
  <c r="L185" i="21"/>
  <c r="AN261" i="21"/>
  <c r="AD261" i="21"/>
  <c r="AF261" i="21" s="1"/>
  <c r="AJ261" i="21"/>
  <c r="AL261" i="21" s="1"/>
  <c r="AA261" i="21"/>
  <c r="AC261" i="21" s="1"/>
  <c r="AG261" i="21"/>
  <c r="AI261" i="21" s="1"/>
  <c r="AN257" i="21"/>
  <c r="AG257" i="21"/>
  <c r="AI257" i="21" s="1"/>
  <c r="AD257" i="21"/>
  <c r="AF257" i="21" s="1"/>
  <c r="AJ257" i="21"/>
  <c r="AL257" i="21" s="1"/>
  <c r="AA257" i="21"/>
  <c r="AC257" i="21" s="1"/>
  <c r="AA279" i="21"/>
  <c r="AC279" i="21" s="1"/>
  <c r="AJ279" i="21"/>
  <c r="AL279" i="21" s="1"/>
  <c r="AD279" i="21"/>
  <c r="AF279" i="21" s="1"/>
  <c r="AG279" i="21"/>
  <c r="AI279" i="21" s="1"/>
  <c r="O327" i="21"/>
  <c r="P327" i="21" s="1"/>
  <c r="O351" i="21"/>
  <c r="P351" i="21" s="1"/>
  <c r="J358" i="21"/>
  <c r="O393" i="21"/>
  <c r="R393" i="21" s="1"/>
  <c r="AA379" i="21"/>
  <c r="AC379" i="21" s="1"/>
  <c r="AD379" i="21"/>
  <c r="AF379" i="21" s="1"/>
  <c r="AJ379" i="21"/>
  <c r="AL379" i="21" s="1"/>
  <c r="AG379" i="21"/>
  <c r="AI379" i="21" s="1"/>
  <c r="J327" i="21"/>
  <c r="AG113" i="21"/>
  <c r="AI113" i="21" s="1"/>
  <c r="AD113" i="21"/>
  <c r="AF113" i="21" s="1"/>
  <c r="AJ113" i="21"/>
  <c r="AL113" i="21" s="1"/>
  <c r="AA113" i="21"/>
  <c r="AC113" i="21" s="1"/>
  <c r="AD189" i="21"/>
  <c r="AF189" i="21" s="1"/>
  <c r="AJ189" i="21"/>
  <c r="AL189" i="21" s="1"/>
  <c r="AA189" i="21"/>
  <c r="AC189" i="21" s="1"/>
  <c r="AG189" i="21"/>
  <c r="AI189" i="21" s="1"/>
  <c r="AA244" i="21"/>
  <c r="AC244" i="21" s="1"/>
  <c r="AG244" i="21"/>
  <c r="AI244" i="21" s="1"/>
  <c r="AJ244" i="21"/>
  <c r="AL244" i="21" s="1"/>
  <c r="AD244" i="21"/>
  <c r="AF244" i="21" s="1"/>
  <c r="AG247" i="21"/>
  <c r="AI247" i="21" s="1"/>
  <c r="AD247" i="21"/>
  <c r="AF247" i="21" s="1"/>
  <c r="AJ247" i="21"/>
  <c r="AL247" i="21" s="1"/>
  <c r="AA247" i="21"/>
  <c r="AC247" i="21" s="1"/>
  <c r="AA289" i="21"/>
  <c r="AC289" i="21" s="1"/>
  <c r="AG289" i="21"/>
  <c r="AI289" i="21" s="1"/>
  <c r="AD289" i="21"/>
  <c r="AF289" i="21" s="1"/>
  <c r="AJ289" i="21"/>
  <c r="AL289" i="21" s="1"/>
  <c r="AJ293" i="21"/>
  <c r="AL293" i="21" s="1"/>
  <c r="AD293" i="21"/>
  <c r="AF293" i="21" s="1"/>
  <c r="AA293" i="21"/>
  <c r="AC293" i="21" s="1"/>
  <c r="AG293" i="21"/>
  <c r="AI293" i="21" s="1"/>
  <c r="AD312" i="21"/>
  <c r="AF312" i="21" s="1"/>
  <c r="AA312" i="21"/>
  <c r="AC312" i="21" s="1"/>
  <c r="AG312" i="21"/>
  <c r="AI312" i="21" s="1"/>
  <c r="AJ312" i="21"/>
  <c r="AL312" i="21" s="1"/>
  <c r="AA356" i="21"/>
  <c r="AC356" i="21" s="1"/>
  <c r="AD356" i="21"/>
  <c r="AF356" i="21" s="1"/>
  <c r="AJ356" i="21"/>
  <c r="AL356" i="21" s="1"/>
  <c r="AG356" i="21"/>
  <c r="AI356" i="21" s="1"/>
  <c r="AD352" i="21"/>
  <c r="AF352" i="21" s="1"/>
  <c r="AA352" i="21"/>
  <c r="AC352" i="21" s="1"/>
  <c r="AJ352" i="21"/>
  <c r="AL352" i="21" s="1"/>
  <c r="AG352" i="21"/>
  <c r="AI352" i="21" s="1"/>
  <c r="AG390" i="21"/>
  <c r="AI390" i="21" s="1"/>
  <c r="AJ390" i="21"/>
  <c r="AL390" i="21" s="1"/>
  <c r="AA390" i="21"/>
  <c r="AC390" i="21" s="1"/>
  <c r="AD390" i="21"/>
  <c r="AF390" i="21" s="1"/>
  <c r="AN386" i="21"/>
  <c r="AG386" i="21"/>
  <c r="AI386" i="21" s="1"/>
  <c r="AD386" i="21"/>
  <c r="AF386" i="21" s="1"/>
  <c r="AA386" i="21"/>
  <c r="AC386" i="21" s="1"/>
  <c r="AJ386" i="21"/>
  <c r="AL386" i="21" s="1"/>
  <c r="AG145" i="21"/>
  <c r="AI145" i="21" s="1"/>
  <c r="AD145" i="21"/>
  <c r="AF145" i="21" s="1"/>
  <c r="AA145" i="21"/>
  <c r="AC145" i="21" s="1"/>
  <c r="AJ145" i="21"/>
  <c r="AL145" i="21" s="1"/>
  <c r="V51" i="21"/>
  <c r="V283" i="21"/>
  <c r="V120" i="21"/>
  <c r="V180" i="21"/>
  <c r="V381" i="21"/>
  <c r="V344" i="21"/>
  <c r="V360" i="21"/>
  <c r="Y376" i="21"/>
  <c r="Y392" i="21"/>
  <c r="V355" i="21"/>
  <c r="Y385" i="21"/>
  <c r="V348" i="21"/>
  <c r="V379" i="21"/>
  <c r="AN184" i="21"/>
  <c r="AG184" i="21"/>
  <c r="AI184" i="21" s="1"/>
  <c r="AD184" i="21"/>
  <c r="AF184" i="21" s="1"/>
  <c r="AJ184" i="21"/>
  <c r="AL184" i="21" s="1"/>
  <c r="AA184" i="21"/>
  <c r="AC184" i="21" s="1"/>
  <c r="AN288" i="21"/>
  <c r="AA288" i="21"/>
  <c r="AC288" i="21" s="1"/>
  <c r="AD288" i="21"/>
  <c r="AF288" i="21" s="1"/>
  <c r="AJ288" i="21"/>
  <c r="AL288" i="21" s="1"/>
  <c r="AG288" i="21"/>
  <c r="AI288" i="21" s="1"/>
  <c r="AN325" i="21"/>
  <c r="AD325" i="21"/>
  <c r="AF325" i="21" s="1"/>
  <c r="AA325" i="21"/>
  <c r="AC325" i="21" s="1"/>
  <c r="AG325" i="21"/>
  <c r="AI325" i="21" s="1"/>
  <c r="AJ325" i="21"/>
  <c r="AL325" i="21" s="1"/>
  <c r="AA180" i="21"/>
  <c r="AC180" i="21" s="1"/>
  <c r="AJ180" i="21"/>
  <c r="AL180" i="21" s="1"/>
  <c r="AG180" i="21"/>
  <c r="AI180" i="21" s="1"/>
  <c r="AD180" i="21"/>
  <c r="AF180" i="21" s="1"/>
  <c r="AJ311" i="21"/>
  <c r="AL311" i="21" s="1"/>
  <c r="AD311" i="21"/>
  <c r="AF311" i="21" s="1"/>
  <c r="AG311" i="21"/>
  <c r="AI311" i="21" s="1"/>
  <c r="AA311" i="21"/>
  <c r="AC311" i="21" s="1"/>
  <c r="AD45" i="21"/>
  <c r="AJ45" i="21"/>
  <c r="AA45" i="21"/>
  <c r="AG45" i="21"/>
  <c r="M185" i="21"/>
  <c r="J253" i="21"/>
  <c r="AN294" i="21"/>
  <c r="AG294" i="21"/>
  <c r="AI294" i="21" s="1"/>
  <c r="AD294" i="21"/>
  <c r="AF294" i="21" s="1"/>
  <c r="AJ294" i="21"/>
  <c r="AL294" i="21" s="1"/>
  <c r="AA294" i="21"/>
  <c r="AC294" i="21" s="1"/>
  <c r="AN291" i="21"/>
  <c r="AD291" i="21"/>
  <c r="AF291" i="21" s="1"/>
  <c r="AJ291" i="21"/>
  <c r="AL291" i="21" s="1"/>
  <c r="AA291" i="21"/>
  <c r="AC291" i="21" s="1"/>
  <c r="AG291" i="21"/>
  <c r="AI291" i="21" s="1"/>
  <c r="AN316" i="21"/>
  <c r="AG316" i="21"/>
  <c r="AI316" i="21" s="1"/>
  <c r="AA316" i="21"/>
  <c r="AC316" i="21" s="1"/>
  <c r="AD316" i="21"/>
  <c r="AF316" i="21" s="1"/>
  <c r="AJ316" i="21"/>
  <c r="AL316" i="21" s="1"/>
  <c r="K358" i="21"/>
  <c r="L358" i="21"/>
  <c r="AJ78" i="21"/>
  <c r="AD78" i="21"/>
  <c r="AG78" i="21"/>
  <c r="AA78" i="21"/>
  <c r="AJ121" i="21"/>
  <c r="AL121" i="21" s="1"/>
  <c r="AG121" i="21"/>
  <c r="AI121" i="21" s="1"/>
  <c r="AD121" i="21"/>
  <c r="AF121" i="21" s="1"/>
  <c r="AA121" i="21"/>
  <c r="AC121" i="21" s="1"/>
  <c r="AJ182" i="21"/>
  <c r="AL182" i="21" s="1"/>
  <c r="AD182" i="21"/>
  <c r="AF182" i="21" s="1"/>
  <c r="AG182" i="21"/>
  <c r="AI182" i="21" s="1"/>
  <c r="AA182" i="21"/>
  <c r="AC182" i="21" s="1"/>
  <c r="AN252" i="21"/>
  <c r="AJ252" i="21"/>
  <c r="AL252" i="21" s="1"/>
  <c r="AA252" i="21"/>
  <c r="AC252" i="21" s="1"/>
  <c r="AG252" i="21"/>
  <c r="AI252" i="21" s="1"/>
  <c r="AD252" i="21"/>
  <c r="AF252" i="21" s="1"/>
  <c r="AJ256" i="21"/>
  <c r="AL256" i="21" s="1"/>
  <c r="AA256" i="21"/>
  <c r="AC256" i="21" s="1"/>
  <c r="AG256" i="21"/>
  <c r="AI256" i="21" s="1"/>
  <c r="AD256" i="21"/>
  <c r="AF256" i="21" s="1"/>
  <c r="AD286" i="21"/>
  <c r="AF286" i="21" s="1"/>
  <c r="AG286" i="21"/>
  <c r="AI286" i="21" s="1"/>
  <c r="AA286" i="21"/>
  <c r="AC286" i="21" s="1"/>
  <c r="AJ286" i="21"/>
  <c r="AL286" i="21" s="1"/>
  <c r="AJ310" i="21"/>
  <c r="AL310" i="21" s="1"/>
  <c r="AD310" i="21"/>
  <c r="AF310" i="21" s="1"/>
  <c r="AG310" i="21"/>
  <c r="AI310" i="21" s="1"/>
  <c r="AA310" i="21"/>
  <c r="AC310" i="21" s="1"/>
  <c r="AD321" i="21"/>
  <c r="AF321" i="21" s="1"/>
  <c r="AJ321" i="21"/>
  <c r="AL321" i="21" s="1"/>
  <c r="AA321" i="21"/>
  <c r="AC321" i="21" s="1"/>
  <c r="AG321" i="21"/>
  <c r="AI321" i="21" s="1"/>
  <c r="AA344" i="21"/>
  <c r="AC344" i="21" s="1"/>
  <c r="AG344" i="21"/>
  <c r="AI344" i="21" s="1"/>
  <c r="AJ344" i="21"/>
  <c r="AL344" i="21" s="1"/>
  <c r="AD344" i="21"/>
  <c r="AF344" i="21" s="1"/>
  <c r="AJ345" i="21"/>
  <c r="AL345" i="21" s="1"/>
  <c r="AA345" i="21"/>
  <c r="AC345" i="21" s="1"/>
  <c r="AG345" i="21"/>
  <c r="AI345" i="21" s="1"/>
  <c r="AD345" i="21"/>
  <c r="AF345" i="21" s="1"/>
  <c r="AG376" i="21"/>
  <c r="AI376" i="21" s="1"/>
  <c r="AJ376" i="21"/>
  <c r="AL376" i="21" s="1"/>
  <c r="AA376" i="21"/>
  <c r="AC376" i="21" s="1"/>
  <c r="AD376" i="21"/>
  <c r="AF376" i="21" s="1"/>
  <c r="AA375" i="21"/>
  <c r="AG375" i="21"/>
  <c r="AJ375" i="21"/>
  <c r="AD375" i="21"/>
  <c r="AG162" i="21"/>
  <c r="AI162" i="21" s="1"/>
  <c r="AJ162" i="21"/>
  <c r="AL162" i="21" s="1"/>
  <c r="AA162" i="21"/>
  <c r="AC162" i="21" s="1"/>
  <c r="AD162" i="21"/>
  <c r="AF162" i="21" s="1"/>
  <c r="AG155" i="21"/>
  <c r="AI155" i="21" s="1"/>
  <c r="AJ155" i="21"/>
  <c r="AL155" i="21" s="1"/>
  <c r="AA155" i="21"/>
  <c r="AC155" i="21" s="1"/>
  <c r="AD155" i="21"/>
  <c r="AF155" i="21" s="1"/>
  <c r="AN158" i="21"/>
  <c r="AA158" i="21"/>
  <c r="AC158" i="21" s="1"/>
  <c r="AG158" i="21"/>
  <c r="AI158" i="21" s="1"/>
  <c r="AD158" i="21"/>
  <c r="AF158" i="21" s="1"/>
  <c r="AJ158" i="21"/>
  <c r="AL158" i="21" s="1"/>
  <c r="AN161" i="21"/>
  <c r="AD161" i="21"/>
  <c r="AF161" i="21" s="1"/>
  <c r="AA161" i="21"/>
  <c r="AC161" i="21" s="1"/>
  <c r="AJ161" i="21"/>
  <c r="AL161" i="21" s="1"/>
  <c r="AG161" i="21"/>
  <c r="AI161" i="21" s="1"/>
  <c r="AN259" i="21"/>
  <c r="AA259" i="21"/>
  <c r="AC259" i="21" s="1"/>
  <c r="AG259" i="21"/>
  <c r="AI259" i="21" s="1"/>
  <c r="AJ259" i="21"/>
  <c r="AL259" i="21" s="1"/>
  <c r="AD259" i="21"/>
  <c r="AF259" i="21" s="1"/>
  <c r="AD250" i="21"/>
  <c r="AF250" i="21" s="1"/>
  <c r="AJ250" i="21"/>
  <c r="AL250" i="21" s="1"/>
  <c r="AA250" i="21"/>
  <c r="AC250" i="21" s="1"/>
  <c r="AG250" i="21"/>
  <c r="AI250" i="21" s="1"/>
  <c r="AJ380" i="21"/>
  <c r="AL380" i="21" s="1"/>
  <c r="AD380" i="21"/>
  <c r="AF380" i="21" s="1"/>
  <c r="AA380" i="21"/>
  <c r="AC380" i="21" s="1"/>
  <c r="AG380" i="21"/>
  <c r="AI380" i="21" s="1"/>
  <c r="AN154" i="21"/>
  <c r="AJ154" i="21"/>
  <c r="AL154" i="21" s="1"/>
  <c r="AA154" i="21"/>
  <c r="AC154" i="21" s="1"/>
  <c r="AD154" i="21"/>
  <c r="AF154" i="21" s="1"/>
  <c r="AG154" i="21"/>
  <c r="AI154" i="21" s="1"/>
  <c r="AN129" i="21"/>
  <c r="AG129" i="21"/>
  <c r="AI129" i="21" s="1"/>
  <c r="AD129" i="21"/>
  <c r="AF129" i="21" s="1"/>
  <c r="AA129" i="21"/>
  <c r="AC129" i="21" s="1"/>
  <c r="AJ129" i="21"/>
  <c r="AL129" i="21" s="1"/>
  <c r="AN159" i="21"/>
  <c r="AA159" i="21"/>
  <c r="AC159" i="21" s="1"/>
  <c r="AJ159" i="21"/>
  <c r="AL159" i="21" s="1"/>
  <c r="AD159" i="21"/>
  <c r="AF159" i="21" s="1"/>
  <c r="AG159" i="21"/>
  <c r="AI159" i="21" s="1"/>
  <c r="AA309" i="21"/>
  <c r="AJ309" i="21"/>
  <c r="AD309" i="21"/>
  <c r="AG309" i="21"/>
  <c r="AN357" i="21"/>
  <c r="AJ357" i="21"/>
  <c r="AL357" i="21" s="1"/>
  <c r="AG357" i="21"/>
  <c r="AI357" i="21" s="1"/>
  <c r="AD357" i="21"/>
  <c r="AF357" i="21" s="1"/>
  <c r="AA357" i="21"/>
  <c r="AC357" i="21" s="1"/>
  <c r="O358" i="21"/>
  <c r="R358" i="21" s="1"/>
  <c r="AD115" i="21"/>
  <c r="AF115" i="21" s="1"/>
  <c r="AA115" i="21"/>
  <c r="AC115" i="21" s="1"/>
  <c r="AJ115" i="21"/>
  <c r="AL115" i="21" s="1"/>
  <c r="AG115" i="21"/>
  <c r="AI115" i="21" s="1"/>
  <c r="AD114" i="21"/>
  <c r="AF114" i="21" s="1"/>
  <c r="AJ114" i="21"/>
  <c r="AL114" i="21" s="1"/>
  <c r="AG114" i="21"/>
  <c r="AI114" i="21" s="1"/>
  <c r="AA114" i="21"/>
  <c r="AC114" i="21" s="1"/>
  <c r="AJ190" i="21"/>
  <c r="AL190" i="21" s="1"/>
  <c r="AA190" i="21"/>
  <c r="AC190" i="21" s="1"/>
  <c r="AG190" i="21"/>
  <c r="AI190" i="21" s="1"/>
  <c r="AD190" i="21"/>
  <c r="AF190" i="21" s="1"/>
  <c r="AA260" i="21"/>
  <c r="AC260" i="21" s="1"/>
  <c r="AD260" i="21"/>
  <c r="AF260" i="21" s="1"/>
  <c r="AJ260" i="21"/>
  <c r="AL260" i="21" s="1"/>
  <c r="AG260" i="21"/>
  <c r="AI260" i="21" s="1"/>
  <c r="AA258" i="21"/>
  <c r="AC258" i="21" s="1"/>
  <c r="AJ258" i="21"/>
  <c r="AL258" i="21" s="1"/>
  <c r="AG258" i="21"/>
  <c r="AI258" i="21" s="1"/>
  <c r="AD258" i="21"/>
  <c r="AF258" i="21" s="1"/>
  <c r="AD290" i="21"/>
  <c r="AF290" i="21" s="1"/>
  <c r="AJ290" i="21"/>
  <c r="AL290" i="21" s="1"/>
  <c r="AA290" i="21"/>
  <c r="AC290" i="21" s="1"/>
  <c r="AG290" i="21"/>
  <c r="AI290" i="21" s="1"/>
  <c r="AN318" i="21"/>
  <c r="AJ318" i="21"/>
  <c r="AL318" i="21" s="1"/>
  <c r="AA318" i="21"/>
  <c r="AC318" i="21" s="1"/>
  <c r="AD318" i="21"/>
  <c r="AF318" i="21" s="1"/>
  <c r="AG318" i="21"/>
  <c r="AI318" i="21" s="1"/>
  <c r="AG314" i="21"/>
  <c r="AI314" i="21" s="1"/>
  <c r="AA314" i="21"/>
  <c r="AC314" i="21" s="1"/>
  <c r="AJ314" i="21"/>
  <c r="AL314" i="21" s="1"/>
  <c r="AD314" i="21"/>
  <c r="AF314" i="21" s="1"/>
  <c r="AA346" i="21"/>
  <c r="AC346" i="21" s="1"/>
  <c r="AD346" i="21"/>
  <c r="AF346" i="21" s="1"/>
  <c r="AG346" i="21"/>
  <c r="AI346" i="21" s="1"/>
  <c r="AJ346" i="21"/>
  <c r="AL346" i="21" s="1"/>
  <c r="AJ342" i="21"/>
  <c r="AA342" i="21"/>
  <c r="AD342" i="21"/>
  <c r="AG342" i="21"/>
  <c r="AN384" i="21"/>
  <c r="AJ384" i="21"/>
  <c r="AL384" i="21" s="1"/>
  <c r="AD384" i="21"/>
  <c r="AF384" i="21" s="1"/>
  <c r="AG384" i="21"/>
  <c r="AI384" i="21" s="1"/>
  <c r="AA384" i="21"/>
  <c r="AC384" i="21" s="1"/>
  <c r="AN153" i="21"/>
  <c r="AD153" i="21"/>
  <c r="AF153" i="21" s="1"/>
  <c r="AA153" i="21"/>
  <c r="AC153" i="21" s="1"/>
  <c r="AG153" i="21"/>
  <c r="AI153" i="21" s="1"/>
  <c r="AJ153" i="21"/>
  <c r="AL153" i="21" s="1"/>
  <c r="V358" i="21"/>
  <c r="AN120" i="21"/>
  <c r="AJ120" i="21"/>
  <c r="AL120" i="21" s="1"/>
  <c r="AA120" i="21"/>
  <c r="AC120" i="21" s="1"/>
  <c r="AD120" i="21"/>
  <c r="AF120" i="21" s="1"/>
  <c r="AG120" i="21"/>
  <c r="AI120" i="21" s="1"/>
  <c r="AN125" i="21"/>
  <c r="AJ125" i="21"/>
  <c r="AL125" i="21" s="1"/>
  <c r="AG125" i="21"/>
  <c r="AI125" i="21" s="1"/>
  <c r="AA125" i="21"/>
  <c r="AC125" i="21" s="1"/>
  <c r="AD125" i="21"/>
  <c r="AF125" i="21" s="1"/>
  <c r="O154" i="21"/>
  <c r="P154" i="21" s="1"/>
  <c r="AJ179" i="21"/>
  <c r="AL179" i="21" s="1"/>
  <c r="AG179" i="21"/>
  <c r="AI179" i="21" s="1"/>
  <c r="AD179" i="21"/>
  <c r="AF179" i="21" s="1"/>
  <c r="AA179" i="21"/>
  <c r="AC179" i="21" s="1"/>
  <c r="AN195" i="21"/>
  <c r="AJ195" i="21"/>
  <c r="AL195" i="21" s="1"/>
  <c r="AA195" i="21"/>
  <c r="AC195" i="21" s="1"/>
  <c r="AG195" i="21"/>
  <c r="AI195" i="21" s="1"/>
  <c r="AD195" i="21"/>
  <c r="AF195" i="21" s="1"/>
  <c r="AN251" i="21"/>
  <c r="AA251" i="21"/>
  <c r="AC251" i="21" s="1"/>
  <c r="AD251" i="21"/>
  <c r="AF251" i="21" s="1"/>
  <c r="AG251" i="21"/>
  <c r="AI251" i="21" s="1"/>
  <c r="AJ251" i="21"/>
  <c r="AL251" i="21" s="1"/>
  <c r="K253" i="21"/>
  <c r="L284" i="21"/>
  <c r="AN315" i="21"/>
  <c r="AA315" i="21"/>
  <c r="AC315" i="21" s="1"/>
  <c r="AD315" i="21"/>
  <c r="AF315" i="21" s="1"/>
  <c r="AG315" i="21"/>
  <c r="AI315" i="21" s="1"/>
  <c r="AJ315" i="21"/>
  <c r="AL315" i="21" s="1"/>
  <c r="O377" i="21"/>
  <c r="P377" i="21" s="1"/>
  <c r="Q377" i="21" s="1"/>
  <c r="L253" i="21"/>
  <c r="AN123" i="21"/>
  <c r="AA123" i="21"/>
  <c r="AC123" i="21" s="1"/>
  <c r="AJ123" i="21"/>
  <c r="AL123" i="21" s="1"/>
  <c r="AG123" i="21"/>
  <c r="AI123" i="21" s="1"/>
  <c r="AD123" i="21"/>
  <c r="AF123" i="21" s="1"/>
  <c r="AJ111" i="21"/>
  <c r="AD111" i="21"/>
  <c r="AA111" i="21"/>
  <c r="AG111" i="21"/>
  <c r="AG192" i="21"/>
  <c r="AI192" i="21" s="1"/>
  <c r="AJ192" i="21"/>
  <c r="AL192" i="21" s="1"/>
  <c r="AD192" i="21"/>
  <c r="AF192" i="21" s="1"/>
  <c r="AA192" i="21"/>
  <c r="AC192" i="21" s="1"/>
  <c r="AG245" i="21"/>
  <c r="AI245" i="21" s="1"/>
  <c r="AD245" i="21"/>
  <c r="AF245" i="21" s="1"/>
  <c r="AA245" i="21"/>
  <c r="AC245" i="21" s="1"/>
  <c r="AJ245" i="21"/>
  <c r="AL245" i="21" s="1"/>
  <c r="AN249" i="21"/>
  <c r="AD249" i="21"/>
  <c r="AF249" i="21" s="1"/>
  <c r="AA249" i="21"/>
  <c r="AC249" i="21" s="1"/>
  <c r="AG249" i="21"/>
  <c r="AI249" i="21" s="1"/>
  <c r="AJ249" i="21"/>
  <c r="AL249" i="21" s="1"/>
  <c r="AD283" i="21"/>
  <c r="AF283" i="21" s="1"/>
  <c r="AJ283" i="21"/>
  <c r="AL283" i="21" s="1"/>
  <c r="AA283" i="21"/>
  <c r="AC283" i="21" s="1"/>
  <c r="AG283" i="21"/>
  <c r="AI283" i="21" s="1"/>
  <c r="AN326" i="21"/>
  <c r="AA326" i="21"/>
  <c r="AC326" i="21" s="1"/>
  <c r="AG326" i="21"/>
  <c r="AI326" i="21" s="1"/>
  <c r="AD326" i="21"/>
  <c r="AF326" i="21" s="1"/>
  <c r="AJ326" i="21"/>
  <c r="AL326" i="21" s="1"/>
  <c r="AN322" i="21"/>
  <c r="AJ322" i="21"/>
  <c r="AL322" i="21" s="1"/>
  <c r="AG322" i="21"/>
  <c r="AI322" i="21" s="1"/>
  <c r="AD322" i="21"/>
  <c r="AF322" i="21" s="1"/>
  <c r="AA322" i="21"/>
  <c r="AC322" i="21" s="1"/>
  <c r="AA350" i="21"/>
  <c r="AC350" i="21" s="1"/>
  <c r="AG350" i="21"/>
  <c r="AI350" i="21" s="1"/>
  <c r="AD350" i="21"/>
  <c r="AF350" i="21" s="1"/>
  <c r="AJ350" i="21"/>
  <c r="AL350" i="21" s="1"/>
  <c r="AD354" i="21"/>
  <c r="AF354" i="21" s="1"/>
  <c r="AG354" i="21"/>
  <c r="AI354" i="21" s="1"/>
  <c r="AA354" i="21"/>
  <c r="AC354" i="21" s="1"/>
  <c r="AJ354" i="21"/>
  <c r="AL354" i="21" s="1"/>
  <c r="AN392" i="21"/>
  <c r="AJ392" i="21"/>
  <c r="AL392" i="21" s="1"/>
  <c r="AA392" i="21"/>
  <c r="AC392" i="21" s="1"/>
  <c r="AG392" i="21"/>
  <c r="AI392" i="21" s="1"/>
  <c r="AD392" i="21"/>
  <c r="AF392" i="21" s="1"/>
  <c r="V116" i="21"/>
  <c r="V252" i="21"/>
  <c r="V352" i="21"/>
  <c r="O114" i="21"/>
  <c r="P114" i="21" s="1"/>
  <c r="O190" i="21"/>
  <c r="P190" i="21" s="1"/>
  <c r="Q190" i="21" s="1"/>
  <c r="AN190" i="21"/>
  <c r="L260" i="21"/>
  <c r="AN260" i="21"/>
  <c r="AN258" i="21"/>
  <c r="O290" i="21"/>
  <c r="P290" i="21" s="1"/>
  <c r="Q290" i="21" s="1"/>
  <c r="AN290" i="21"/>
  <c r="O346" i="21"/>
  <c r="P346" i="21" s="1"/>
  <c r="O342" i="21"/>
  <c r="P342" i="21" s="1"/>
  <c r="Q342" i="21" s="1"/>
  <c r="V187" i="21"/>
  <c r="V380" i="21"/>
  <c r="Y389" i="21"/>
  <c r="V347" i="21"/>
  <c r="AN92" i="21"/>
  <c r="AN192" i="21"/>
  <c r="O245" i="21"/>
  <c r="P245" i="21" s="1"/>
  <c r="Q245" i="21" s="1"/>
  <c r="AN283" i="21"/>
  <c r="L350" i="21"/>
  <c r="AN350" i="21"/>
  <c r="AN354" i="21"/>
  <c r="Y342" i="21"/>
  <c r="W361" i="21"/>
  <c r="V387" i="21"/>
  <c r="O116" i="21"/>
  <c r="P116" i="21" s="1"/>
  <c r="O253" i="21"/>
  <c r="R253" i="21" s="1"/>
  <c r="AN253" i="21"/>
  <c r="AN250" i="21"/>
  <c r="M284" i="21"/>
  <c r="AN284" i="21"/>
  <c r="O311" i="21"/>
  <c r="P311" i="21" s="1"/>
  <c r="Q311" i="21" s="1"/>
  <c r="O380" i="21"/>
  <c r="P380" i="21" s="1"/>
  <c r="Q380" i="21" s="1"/>
  <c r="Y56" i="21"/>
  <c r="V59" i="21"/>
  <c r="Y60" i="21"/>
  <c r="V52" i="21"/>
  <c r="Y80" i="21"/>
  <c r="Y129" i="21"/>
  <c r="V286" i="21"/>
  <c r="V115" i="21"/>
  <c r="V345" i="21"/>
  <c r="AN88" i="21"/>
  <c r="J91" i="21"/>
  <c r="AN91" i="21"/>
  <c r="AN124" i="21"/>
  <c r="O188" i="21"/>
  <c r="R188" i="21" s="1"/>
  <c r="AN188" i="21"/>
  <c r="O280" i="21"/>
  <c r="P280" i="21" s="1"/>
  <c r="Q280" i="21" s="1"/>
  <c r="J319" i="21"/>
  <c r="AN319" i="21"/>
  <c r="O347" i="21"/>
  <c r="P347" i="21" s="1"/>
  <c r="O343" i="21"/>
  <c r="P343" i="21" s="1"/>
  <c r="O388" i="21"/>
  <c r="R388" i="21" s="1"/>
  <c r="AN388" i="21"/>
  <c r="AN385" i="21"/>
  <c r="V314" i="21"/>
  <c r="Y277" i="21"/>
  <c r="Y293" i="21"/>
  <c r="V189" i="21"/>
  <c r="V160" i="21"/>
  <c r="V122" i="21"/>
  <c r="V56" i="21"/>
  <c r="Y145" i="21"/>
  <c r="Y96" i="21"/>
  <c r="Y324" i="21"/>
  <c r="V183" i="21"/>
  <c r="V186" i="21"/>
  <c r="V92" i="21"/>
  <c r="Y325" i="21"/>
  <c r="Y288" i="21"/>
  <c r="Y259" i="21"/>
  <c r="Y192" i="21"/>
  <c r="Y125" i="21"/>
  <c r="V60" i="21"/>
  <c r="V53" i="21"/>
  <c r="V326" i="21"/>
  <c r="Y252" i="21"/>
  <c r="V185" i="21"/>
  <c r="V83" i="21"/>
  <c r="V253" i="21"/>
  <c r="Y380" i="21"/>
  <c r="V389" i="21"/>
  <c r="V382" i="21"/>
  <c r="T361" i="21"/>
  <c r="V342" i="21"/>
  <c r="V346" i="21"/>
  <c r="Y378" i="21"/>
  <c r="V384" i="21"/>
  <c r="V393" i="21"/>
  <c r="Y356" i="21"/>
  <c r="V357" i="21"/>
  <c r="Y358" i="21"/>
  <c r="K96" i="21"/>
  <c r="AN96" i="21"/>
  <c r="AN85" i="21"/>
  <c r="O119" i="21"/>
  <c r="P119" i="21" s="1"/>
  <c r="AN119" i="21"/>
  <c r="O186" i="21"/>
  <c r="P186" i="21" s="1"/>
  <c r="Q186" i="21" s="1"/>
  <c r="AN186" i="21"/>
  <c r="O246" i="21"/>
  <c r="P246" i="21" s="1"/>
  <c r="Q246" i="21" s="1"/>
  <c r="O276" i="21"/>
  <c r="P276" i="21" s="1"/>
  <c r="Q276" i="21" s="1"/>
  <c r="O277" i="21"/>
  <c r="P277" i="21" s="1"/>
  <c r="Q277" i="21" s="1"/>
  <c r="J355" i="21"/>
  <c r="AN355" i="21"/>
  <c r="L351" i="21"/>
  <c r="AN351" i="21"/>
  <c r="J389" i="21"/>
  <c r="AN389" i="21"/>
  <c r="K87" i="21"/>
  <c r="AN87" i="21"/>
  <c r="L86" i="21"/>
  <c r="AN86" i="21"/>
  <c r="O181" i="21"/>
  <c r="P181" i="21" s="1"/>
  <c r="Q181" i="21" s="1"/>
  <c r="M194" i="21"/>
  <c r="AN194" i="21"/>
  <c r="O254" i="21"/>
  <c r="P254" i="21" s="1"/>
  <c r="Q254" i="21" s="1"/>
  <c r="AN254" i="21"/>
  <c r="O285" i="21"/>
  <c r="R285" i="21" s="1"/>
  <c r="AN285" i="21"/>
  <c r="K348" i="21"/>
  <c r="AN348" i="21"/>
  <c r="AN359" i="21"/>
  <c r="M382" i="21"/>
  <c r="AN382" i="21"/>
  <c r="V322" i="21"/>
  <c r="V285" i="21"/>
  <c r="V181" i="21"/>
  <c r="Y152" i="21"/>
  <c r="Y114" i="21"/>
  <c r="V145" i="21"/>
  <c r="Y278" i="21"/>
  <c r="Y249" i="21"/>
  <c r="Y153" i="21"/>
  <c r="Y124" i="21"/>
  <c r="V325" i="21"/>
  <c r="V288" i="21"/>
  <c r="V259" i="21"/>
  <c r="V192" i="21"/>
  <c r="Y318" i="21"/>
  <c r="V281" i="21"/>
  <c r="Y244" i="21"/>
  <c r="Y193" i="21"/>
  <c r="Y119" i="21"/>
  <c r="Y388" i="21"/>
  <c r="Y381" i="21"/>
  <c r="Y344" i="21"/>
  <c r="Y360" i="21"/>
  <c r="Y390" i="21"/>
  <c r="Y353" i="21"/>
  <c r="Y354" i="21"/>
  <c r="V376" i="21"/>
  <c r="V392" i="21"/>
  <c r="Y355" i="21"/>
  <c r="Y348" i="21"/>
  <c r="Y386" i="21"/>
  <c r="Y379" i="21"/>
  <c r="Y350" i="21"/>
  <c r="W394" i="21"/>
  <c r="Y375" i="21"/>
  <c r="AN89" i="21"/>
  <c r="K95" i="21"/>
  <c r="AN95" i="21"/>
  <c r="AN189" i="21"/>
  <c r="O247" i="21"/>
  <c r="P247" i="21" s="1"/>
  <c r="Q247" i="21" s="1"/>
  <c r="L289" i="21"/>
  <c r="AN289" i="21"/>
  <c r="J293" i="21"/>
  <c r="AN293" i="21"/>
  <c r="O312" i="21"/>
  <c r="P312" i="21" s="1"/>
  <c r="O356" i="21"/>
  <c r="P356" i="21" s="1"/>
  <c r="AN356" i="21"/>
  <c r="AN352" i="21"/>
  <c r="K390" i="21"/>
  <c r="AN390" i="21"/>
  <c r="V48" i="21"/>
  <c r="Y53" i="21"/>
  <c r="V61" i="21"/>
  <c r="Y58" i="21"/>
  <c r="Y391" i="21"/>
  <c r="T394" i="21"/>
  <c r="V375" i="21"/>
  <c r="O78" i="21"/>
  <c r="O79" i="21"/>
  <c r="M121" i="21"/>
  <c r="AN121" i="21"/>
  <c r="AN256" i="21"/>
  <c r="M286" i="21"/>
  <c r="AN286" i="21"/>
  <c r="O310" i="21"/>
  <c r="P310" i="21" s="1"/>
  <c r="K321" i="21"/>
  <c r="AN321" i="21"/>
  <c r="O344" i="21"/>
  <c r="P344" i="21" s="1"/>
  <c r="O345" i="21"/>
  <c r="P345" i="21" s="1"/>
  <c r="O376" i="21"/>
  <c r="P376" i="21" s="1"/>
  <c r="Q376" i="21" s="1"/>
  <c r="Y322" i="21"/>
  <c r="Y181" i="21"/>
  <c r="V114" i="21"/>
  <c r="Y87" i="21"/>
  <c r="Y257" i="21"/>
  <c r="V315" i="21"/>
  <c r="V278" i="21"/>
  <c r="V153" i="21"/>
  <c r="V191" i="21"/>
  <c r="Y154" i="21"/>
  <c r="AN162" i="21"/>
  <c r="Y280" i="21"/>
  <c r="Y251" i="21"/>
  <c r="Y184" i="21"/>
  <c r="Y147" i="21"/>
  <c r="AN155" i="21"/>
  <c r="Y82" i="21"/>
  <c r="V127" i="21"/>
  <c r="V318" i="21"/>
  <c r="Y281" i="21"/>
  <c r="V260" i="21"/>
  <c r="V193" i="21"/>
  <c r="V126" i="21"/>
  <c r="V91" i="21"/>
  <c r="Y149" i="21"/>
  <c r="V119" i="21"/>
  <c r="Y62" i="21"/>
  <c r="V319" i="21"/>
  <c r="V178" i="21"/>
  <c r="V58" i="21"/>
  <c r="Y320" i="21"/>
  <c r="V388" i="21"/>
  <c r="V351" i="21"/>
  <c r="V390" i="21"/>
  <c r="V353" i="21"/>
  <c r="Y349" i="21"/>
  <c r="V354" i="21"/>
  <c r="V386" i="21"/>
  <c r="V350" i="21"/>
  <c r="J87" i="21"/>
  <c r="L88" i="21"/>
  <c r="J124" i="21"/>
  <c r="L162" i="21"/>
  <c r="O256" i="21"/>
  <c r="P256" i="21" s="1"/>
  <c r="Q256" i="21" s="1"/>
  <c r="M385" i="21"/>
  <c r="V57" i="21"/>
  <c r="Y59" i="21"/>
  <c r="T163" i="21"/>
  <c r="V144" i="21"/>
  <c r="O51" i="21"/>
  <c r="AG51" i="21"/>
  <c r="AI51" i="21" s="1"/>
  <c r="AA51" i="21"/>
  <c r="AC51" i="21" s="1"/>
  <c r="AJ51" i="21"/>
  <c r="AL51" i="21" s="1"/>
  <c r="AD51" i="21"/>
  <c r="AF51" i="21" s="1"/>
  <c r="Y52" i="21"/>
  <c r="Y61" i="21"/>
  <c r="T262" i="21"/>
  <c r="V243" i="21"/>
  <c r="O46" i="21"/>
  <c r="P46" i="21" s="1"/>
  <c r="Q46" i="21" s="1"/>
  <c r="AJ46" i="21"/>
  <c r="AL46" i="21" s="1"/>
  <c r="AG46" i="21"/>
  <c r="AI46" i="21" s="1"/>
  <c r="AD46" i="21"/>
  <c r="AF46" i="21" s="1"/>
  <c r="AA46" i="21"/>
  <c r="AC46" i="21" s="1"/>
  <c r="Y63" i="21"/>
  <c r="T64" i="21"/>
  <c r="V47" i="21"/>
  <c r="O53" i="21"/>
  <c r="AA53" i="21"/>
  <c r="AC53" i="21" s="1"/>
  <c r="AG53" i="21"/>
  <c r="AI53" i="21" s="1"/>
  <c r="AD53" i="21"/>
  <c r="AF53" i="21" s="1"/>
  <c r="AJ53" i="21"/>
  <c r="AL53" i="21" s="1"/>
  <c r="M91" i="21"/>
  <c r="K124" i="21"/>
  <c r="M162" i="21"/>
  <c r="L188" i="21"/>
  <c r="J256" i="21"/>
  <c r="M321" i="21"/>
  <c r="Y256" i="21"/>
  <c r="V95" i="21"/>
  <c r="Y123" i="21"/>
  <c r="V323" i="21"/>
  <c r="V294" i="21"/>
  <c r="V182" i="21"/>
  <c r="V287" i="21"/>
  <c r="Y250" i="21"/>
  <c r="Y183" i="21"/>
  <c r="V146" i="21"/>
  <c r="V81" i="21"/>
  <c r="Y186" i="21"/>
  <c r="Y92" i="21"/>
  <c r="Y90" i="21"/>
  <c r="V290" i="21"/>
  <c r="Y289" i="21"/>
  <c r="V148" i="21"/>
  <c r="V118" i="21"/>
  <c r="Y83" i="21"/>
  <c r="O61" i="21"/>
  <c r="AG61" i="21"/>
  <c r="AI61" i="21" s="1"/>
  <c r="AA61" i="21"/>
  <c r="AC61" i="21" s="1"/>
  <c r="AD61" i="21"/>
  <c r="AF61" i="21" s="1"/>
  <c r="AJ61" i="21"/>
  <c r="AL61" i="21" s="1"/>
  <c r="V84" i="21"/>
  <c r="V311" i="21"/>
  <c r="V327" i="21"/>
  <c r="Y253" i="21"/>
  <c r="Y157" i="21"/>
  <c r="O58" i="21"/>
  <c r="AJ58" i="21"/>
  <c r="AL58" i="21" s="1"/>
  <c r="AD58" i="21"/>
  <c r="AF58" i="21" s="1"/>
  <c r="AA58" i="21"/>
  <c r="AC58" i="21" s="1"/>
  <c r="AG58" i="21"/>
  <c r="AI58" i="21" s="1"/>
  <c r="Y283" i="21"/>
  <c r="V246" i="21"/>
  <c r="V150" i="21"/>
  <c r="Y112" i="21"/>
  <c r="Y128" i="21"/>
  <c r="Y93" i="21"/>
  <c r="Y321" i="21"/>
  <c r="Y292" i="21"/>
  <c r="Y255" i="21"/>
  <c r="V188" i="21"/>
  <c r="V151" i="21"/>
  <c r="O47" i="21"/>
  <c r="AJ47" i="21"/>
  <c r="AL47" i="21" s="1"/>
  <c r="AG47" i="21"/>
  <c r="AI47" i="21" s="1"/>
  <c r="AD47" i="21"/>
  <c r="AF47" i="21" s="1"/>
  <c r="AA47" i="21"/>
  <c r="AC47" i="21" s="1"/>
  <c r="O57" i="21"/>
  <c r="AA57" i="21"/>
  <c r="AC57" i="21" s="1"/>
  <c r="AJ57" i="21"/>
  <c r="AL57" i="21" s="1"/>
  <c r="AG57" i="21"/>
  <c r="AI57" i="21" s="1"/>
  <c r="AD57" i="21"/>
  <c r="AF57" i="21" s="1"/>
  <c r="T328" i="21"/>
  <c r="V310" i="21"/>
  <c r="O63" i="21"/>
  <c r="AA63" i="21"/>
  <c r="AC63" i="21" s="1"/>
  <c r="AG63" i="21"/>
  <c r="AI63" i="21" s="1"/>
  <c r="AJ63" i="21"/>
  <c r="AL63" i="21" s="1"/>
  <c r="AD63" i="21"/>
  <c r="AF63" i="21" s="1"/>
  <c r="K121" i="21"/>
  <c r="L150" i="21"/>
  <c r="K155" i="21"/>
  <c r="J150" i="21"/>
  <c r="O162" i="21"/>
  <c r="P162" i="21" s="1"/>
  <c r="K188" i="21"/>
  <c r="M188" i="21"/>
  <c r="Y248" i="21"/>
  <c r="V87" i="21"/>
  <c r="Y88" i="21"/>
  <c r="V96" i="21"/>
  <c r="Y287" i="21"/>
  <c r="V250" i="21"/>
  <c r="Y146" i="21"/>
  <c r="Y162" i="21"/>
  <c r="V89" i="21"/>
  <c r="Y50" i="21"/>
  <c r="Y155" i="21"/>
  <c r="V90" i="21"/>
  <c r="Y194" i="21"/>
  <c r="Y118" i="21"/>
  <c r="Y261" i="21"/>
  <c r="V62" i="21"/>
  <c r="V157" i="21"/>
  <c r="Y312" i="21"/>
  <c r="V291" i="21"/>
  <c r="V158" i="21"/>
  <c r="V93" i="21"/>
  <c r="V80" i="21"/>
  <c r="V321" i="21"/>
  <c r="V292" i="21"/>
  <c r="V255" i="21"/>
  <c r="Y188" i="21"/>
  <c r="Y151" i="21"/>
  <c r="Y113" i="21"/>
  <c r="V94" i="21"/>
  <c r="M124" i="21"/>
  <c r="L155" i="21"/>
  <c r="M155" i="21"/>
  <c r="O155" i="21"/>
  <c r="P155" i="21" s="1"/>
  <c r="Y48" i="21"/>
  <c r="O56" i="21"/>
  <c r="AD56" i="21"/>
  <c r="AF56" i="21" s="1"/>
  <c r="AG56" i="21"/>
  <c r="AI56" i="21" s="1"/>
  <c r="AA56" i="21"/>
  <c r="AC56" i="21" s="1"/>
  <c r="AJ56" i="21"/>
  <c r="AL56" i="21" s="1"/>
  <c r="Y276" i="21"/>
  <c r="W295" i="21"/>
  <c r="V50" i="21"/>
  <c r="O59" i="21"/>
  <c r="AG59" i="21"/>
  <c r="AI59" i="21" s="1"/>
  <c r="AJ59" i="21"/>
  <c r="AL59" i="21" s="1"/>
  <c r="AD59" i="21"/>
  <c r="AF59" i="21" s="1"/>
  <c r="AA59" i="21"/>
  <c r="AC59" i="21" s="1"/>
  <c r="Y51" i="21"/>
  <c r="O52" i="21"/>
  <c r="AD52" i="21"/>
  <c r="AF52" i="21" s="1"/>
  <c r="AG52" i="21"/>
  <c r="AI52" i="21" s="1"/>
  <c r="AJ52" i="21"/>
  <c r="AL52" i="21" s="1"/>
  <c r="AA52" i="21"/>
  <c r="AC52" i="21" s="1"/>
  <c r="Y309" i="21"/>
  <c r="W328" i="21"/>
  <c r="V46" i="21"/>
  <c r="Y54" i="21"/>
  <c r="Y55" i="21"/>
  <c r="Y49" i="21"/>
  <c r="O124" i="21"/>
  <c r="P124" i="21" s="1"/>
  <c r="O149" i="21"/>
  <c r="P149" i="21" s="1"/>
  <c r="O375" i="21"/>
  <c r="P375" i="21" s="1"/>
  <c r="Y285" i="21"/>
  <c r="V248" i="21"/>
  <c r="V152" i="21"/>
  <c r="Y315" i="21"/>
  <c r="V249" i="21"/>
  <c r="Y316" i="21"/>
  <c r="V279" i="21"/>
  <c r="V258" i="21"/>
  <c r="Y191" i="21"/>
  <c r="V162" i="21"/>
  <c r="V124" i="21"/>
  <c r="Y89" i="21"/>
  <c r="V317" i="21"/>
  <c r="V155" i="21"/>
  <c r="Y117" i="21"/>
  <c r="O60" i="21"/>
  <c r="AD60" i="21"/>
  <c r="AF60" i="21" s="1"/>
  <c r="AG60" i="21"/>
  <c r="AI60" i="21" s="1"/>
  <c r="AA60" i="21"/>
  <c r="AC60" i="21" s="1"/>
  <c r="AJ60" i="21"/>
  <c r="AL60" i="21" s="1"/>
  <c r="V244" i="21"/>
  <c r="Y126" i="21"/>
  <c r="Y91" i="21"/>
  <c r="Y319" i="21"/>
  <c r="Y282" i="21"/>
  <c r="Y178" i="21"/>
  <c r="V312" i="21"/>
  <c r="Y291" i="21"/>
  <c r="Y179" i="21"/>
  <c r="Y195" i="21"/>
  <c r="Y158" i="21"/>
  <c r="Y120" i="21"/>
  <c r="O54" i="21"/>
  <c r="AD54" i="21"/>
  <c r="AF54" i="21" s="1"/>
  <c r="AG54" i="21"/>
  <c r="AI54" i="21" s="1"/>
  <c r="AJ54" i="21"/>
  <c r="AL54" i="21" s="1"/>
  <c r="AA54" i="21"/>
  <c r="AC54" i="21" s="1"/>
  <c r="Y284" i="21"/>
  <c r="Y180" i="21"/>
  <c r="Y159" i="21"/>
  <c r="Y121" i="21"/>
  <c r="V55" i="21"/>
  <c r="Y190" i="21"/>
  <c r="V49" i="21"/>
  <c r="T295" i="21"/>
  <c r="V276" i="21"/>
  <c r="O55" i="21"/>
  <c r="AD55" i="21"/>
  <c r="AF55" i="21" s="1"/>
  <c r="AA55" i="21"/>
  <c r="AC55" i="21" s="1"/>
  <c r="AG55" i="21"/>
  <c r="AI55" i="21" s="1"/>
  <c r="AJ55" i="21"/>
  <c r="AL55" i="21" s="1"/>
  <c r="K162" i="21"/>
  <c r="O150" i="21"/>
  <c r="P150" i="21" s="1"/>
  <c r="M388" i="21"/>
  <c r="K385" i="21"/>
  <c r="L385" i="21"/>
  <c r="V277" i="21"/>
  <c r="V293" i="21"/>
  <c r="V256" i="21"/>
  <c r="O48" i="21"/>
  <c r="P48" i="21" s="1"/>
  <c r="Q48" i="21" s="1"/>
  <c r="AA48" i="21"/>
  <c r="AC48" i="21" s="1"/>
  <c r="AD48" i="21"/>
  <c r="AF48" i="21" s="1"/>
  <c r="AG48" i="21"/>
  <c r="AI48" i="21" s="1"/>
  <c r="AJ48" i="21"/>
  <c r="AL48" i="21" s="1"/>
  <c r="V257" i="21"/>
  <c r="V123" i="21"/>
  <c r="Y57" i="21"/>
  <c r="V316" i="21"/>
  <c r="Y279" i="21"/>
  <c r="Y258" i="21"/>
  <c r="Y116" i="21"/>
  <c r="V78" i="21"/>
  <c r="O50" i="21"/>
  <c r="AD50" i="21"/>
  <c r="AF50" i="21" s="1"/>
  <c r="AA50" i="21"/>
  <c r="AC50" i="21" s="1"/>
  <c r="AG50" i="21"/>
  <c r="AI50" i="21" s="1"/>
  <c r="AJ50" i="21"/>
  <c r="AL50" i="21" s="1"/>
  <c r="Y245" i="21"/>
  <c r="V111" i="21"/>
  <c r="Y317" i="21"/>
  <c r="V184" i="21"/>
  <c r="Y144" i="21"/>
  <c r="W163" i="21"/>
  <c r="V117" i="21"/>
  <c r="Y290" i="21"/>
  <c r="V289" i="21"/>
  <c r="Y156" i="21"/>
  <c r="O62" i="21"/>
  <c r="AD62" i="21"/>
  <c r="AF62" i="21" s="1"/>
  <c r="AJ62" i="21"/>
  <c r="AL62" i="21" s="1"/>
  <c r="AG62" i="21"/>
  <c r="AI62" i="21" s="1"/>
  <c r="AA62" i="21"/>
  <c r="AC62" i="21" s="1"/>
  <c r="V282" i="21"/>
  <c r="Y246" i="21"/>
  <c r="Y243" i="21"/>
  <c r="W262" i="21"/>
  <c r="Y187" i="21"/>
  <c r="Y150" i="21"/>
  <c r="Y46" i="21"/>
  <c r="W64" i="21"/>
  <c r="V284" i="21"/>
  <c r="V159" i="21"/>
  <c r="V121" i="21"/>
  <c r="Y47" i="21"/>
  <c r="O49" i="21"/>
  <c r="P49" i="21" s="1"/>
  <c r="Q49" i="21" s="1"/>
  <c r="AD49" i="21"/>
  <c r="AF49" i="21" s="1"/>
  <c r="AG49" i="21"/>
  <c r="AI49" i="21" s="1"/>
  <c r="AA49" i="21"/>
  <c r="AC49" i="21" s="1"/>
  <c r="AJ49" i="21"/>
  <c r="AL49" i="21" s="1"/>
  <c r="K389" i="21"/>
  <c r="M390" i="21"/>
  <c r="J388" i="21"/>
  <c r="O385" i="21"/>
  <c r="R385" i="21" s="1"/>
  <c r="O389" i="21"/>
  <c r="R389" i="21" s="1"/>
  <c r="K386" i="21"/>
  <c r="L388" i="21"/>
  <c r="L389" i="21"/>
  <c r="O382" i="21"/>
  <c r="P382" i="21" s="1"/>
  <c r="Q382" i="21" s="1"/>
  <c r="L386" i="21"/>
  <c r="K382" i="21"/>
  <c r="M386" i="21"/>
  <c r="L382" i="21"/>
  <c r="O386" i="21"/>
  <c r="P386" i="21" s="1"/>
  <c r="Q386" i="21" s="1"/>
  <c r="J386" i="21"/>
  <c r="J382" i="21"/>
  <c r="M389" i="21"/>
  <c r="K359" i="21"/>
  <c r="K354" i="21"/>
  <c r="J350" i="21"/>
  <c r="L359" i="21"/>
  <c r="J354" i="21"/>
  <c r="O354" i="21"/>
  <c r="L354" i="21"/>
  <c r="K350" i="21"/>
  <c r="O350" i="21"/>
  <c r="P350" i="21" s="1"/>
  <c r="M354" i="21"/>
  <c r="M350" i="21"/>
  <c r="L348" i="21"/>
  <c r="J348" i="21"/>
  <c r="O348" i="21"/>
  <c r="P348" i="21" s="1"/>
  <c r="J359" i="21"/>
  <c r="M352" i="21"/>
  <c r="K356" i="21"/>
  <c r="O352" i="21"/>
  <c r="P352" i="21" s="1"/>
  <c r="L356" i="21"/>
  <c r="M356" i="21"/>
  <c r="J356" i="21"/>
  <c r="J351" i="21"/>
  <c r="K352" i="21"/>
  <c r="L352" i="21"/>
  <c r="J352" i="21"/>
  <c r="L323" i="21"/>
  <c r="M319" i="21"/>
  <c r="J323" i="21"/>
  <c r="O323" i="21"/>
  <c r="P323" i="21" s="1"/>
  <c r="L319" i="21"/>
  <c r="O319" i="21"/>
  <c r="P319" i="21" s="1"/>
  <c r="K319" i="21"/>
  <c r="K323" i="21"/>
  <c r="K326" i="21"/>
  <c r="J322" i="21"/>
  <c r="J321" i="21"/>
  <c r="L326" i="21"/>
  <c r="M323" i="21"/>
  <c r="K322" i="21"/>
  <c r="M322" i="21"/>
  <c r="O313" i="21"/>
  <c r="P313" i="21" s="1"/>
  <c r="J326" i="21"/>
  <c r="O321" i="21"/>
  <c r="P321" i="21" s="1"/>
  <c r="J290" i="21"/>
  <c r="L290" i="21"/>
  <c r="O284" i="21"/>
  <c r="R284" i="21" s="1"/>
  <c r="K290" i="21"/>
  <c r="M290" i="21"/>
  <c r="J284" i="21"/>
  <c r="O283" i="21"/>
  <c r="R283" i="21" s="1"/>
  <c r="K283" i="21"/>
  <c r="K285" i="21"/>
  <c r="K286" i="21"/>
  <c r="O278" i="21"/>
  <c r="P278" i="21" s="1"/>
  <c r="Q278" i="21" s="1"/>
  <c r="O286" i="21"/>
  <c r="P286" i="21" s="1"/>
  <c r="Q286" i="21" s="1"/>
  <c r="L285" i="21"/>
  <c r="M285" i="21"/>
  <c r="J283" i="21"/>
  <c r="M283" i="21"/>
  <c r="L286" i="21"/>
  <c r="J286" i="21"/>
  <c r="L283" i="21"/>
  <c r="J285" i="21"/>
  <c r="O258" i="21"/>
  <c r="R258" i="21" s="1"/>
  <c r="K249" i="21"/>
  <c r="O249" i="21"/>
  <c r="P249" i="21" s="1"/>
  <c r="Q249" i="21" s="1"/>
  <c r="L249" i="21"/>
  <c r="J250" i="21"/>
  <c r="M249" i="21"/>
  <c r="J254" i="21"/>
  <c r="L254" i="21"/>
  <c r="M254" i="21"/>
  <c r="M250" i="21"/>
  <c r="K252" i="21"/>
  <c r="K258" i="21"/>
  <c r="L250" i="21"/>
  <c r="L258" i="21"/>
  <c r="K250" i="21"/>
  <c r="J252" i="21"/>
  <c r="M253" i="21"/>
  <c r="L252" i="21"/>
  <c r="M260" i="21"/>
  <c r="O248" i="21"/>
  <c r="P248" i="21" s="1"/>
  <c r="O252" i="21"/>
  <c r="R252" i="21" s="1"/>
  <c r="M258" i="21"/>
  <c r="M252" i="21"/>
  <c r="M186" i="21"/>
  <c r="J192" i="21"/>
  <c r="M190" i="21"/>
  <c r="J190" i="21"/>
  <c r="O194" i="21"/>
  <c r="P194" i="21" s="1"/>
  <c r="Q194" i="21" s="1"/>
  <c r="J194" i="21"/>
  <c r="L194" i="21"/>
  <c r="K190" i="21"/>
  <c r="L189" i="21"/>
  <c r="T196" i="21"/>
  <c r="K189" i="21"/>
  <c r="O189" i="21"/>
  <c r="P189" i="21" s="1"/>
  <c r="Q189" i="21" s="1"/>
  <c r="O192" i="21"/>
  <c r="P192" i="21" s="1"/>
  <c r="Y177" i="21"/>
  <c r="W196" i="21"/>
  <c r="M192" i="21"/>
  <c r="J189" i="21"/>
  <c r="M189" i="21"/>
  <c r="J119" i="21"/>
  <c r="K119" i="21"/>
  <c r="L119" i="21"/>
  <c r="T130" i="21"/>
  <c r="O121" i="21"/>
  <c r="P121" i="21" s="1"/>
  <c r="W130" i="21"/>
  <c r="Y111" i="21"/>
  <c r="L121" i="21"/>
  <c r="J121" i="21"/>
  <c r="M95" i="21"/>
  <c r="J88" i="21"/>
  <c r="K88" i="21"/>
  <c r="K91" i="21"/>
  <c r="J95" i="21"/>
  <c r="L89" i="21"/>
  <c r="M88" i="21"/>
  <c r="L95" i="21"/>
  <c r="M89" i="21"/>
  <c r="L91" i="21"/>
  <c r="J96" i="21"/>
  <c r="K92" i="21"/>
  <c r="J92" i="21"/>
  <c r="M92" i="21"/>
  <c r="M87" i="21"/>
  <c r="L87" i="21"/>
  <c r="L96" i="21"/>
  <c r="M96" i="21"/>
  <c r="AD86" i="21"/>
  <c r="AF86" i="21" s="1"/>
  <c r="AA86" i="21"/>
  <c r="AC86" i="21" s="1"/>
  <c r="AJ86" i="21"/>
  <c r="AL86" i="21" s="1"/>
  <c r="O86" i="21"/>
  <c r="AG86" i="21"/>
  <c r="AI86" i="21" s="1"/>
  <c r="AA82" i="21"/>
  <c r="AC82" i="21" s="1"/>
  <c r="AJ82" i="21"/>
  <c r="AL82" i="21" s="1"/>
  <c r="O82" i="21"/>
  <c r="AG82" i="21"/>
  <c r="AI82" i="21" s="1"/>
  <c r="AD82" i="21"/>
  <c r="AF82" i="21" s="1"/>
  <c r="Y78" i="21"/>
  <c r="AJ83" i="21"/>
  <c r="AL83" i="21" s="1"/>
  <c r="AA83" i="21"/>
  <c r="AC83" i="21" s="1"/>
  <c r="AG83" i="21"/>
  <c r="AI83" i="21" s="1"/>
  <c r="O83" i="21"/>
  <c r="AD83" i="21"/>
  <c r="AF83" i="21" s="1"/>
  <c r="J85" i="21"/>
  <c r="W97" i="21"/>
  <c r="L85" i="21"/>
  <c r="AA94" i="21"/>
  <c r="AC94" i="21" s="1"/>
  <c r="AJ94" i="21"/>
  <c r="AL94" i="21" s="1"/>
  <c r="O94" i="21"/>
  <c r="AG94" i="21"/>
  <c r="AI94" i="21" s="1"/>
  <c r="AD94" i="21"/>
  <c r="AF94" i="21" s="1"/>
  <c r="AG90" i="21"/>
  <c r="AI90" i="21" s="1"/>
  <c r="AD90" i="21"/>
  <c r="AF90" i="21" s="1"/>
  <c r="AA90" i="21"/>
  <c r="AC90" i="21" s="1"/>
  <c r="AJ90" i="21"/>
  <c r="AL90" i="21" s="1"/>
  <c r="O90" i="21"/>
  <c r="J89" i="21"/>
  <c r="AG96" i="21"/>
  <c r="AI96" i="21" s="1"/>
  <c r="AD96" i="21"/>
  <c r="AF96" i="21" s="1"/>
  <c r="AA96" i="21"/>
  <c r="AC96" i="21" s="1"/>
  <c r="O96" i="21"/>
  <c r="AJ96" i="21"/>
  <c r="AL96" i="21" s="1"/>
  <c r="AG85" i="21"/>
  <c r="AI85" i="21" s="1"/>
  <c r="O85" i="21"/>
  <c r="AD85" i="21"/>
  <c r="AF85" i="21" s="1"/>
  <c r="AJ85" i="21"/>
  <c r="AL85" i="21" s="1"/>
  <c r="AA85" i="21"/>
  <c r="AC85" i="21" s="1"/>
  <c r="M86" i="21"/>
  <c r="AD93" i="21"/>
  <c r="AF93" i="21" s="1"/>
  <c r="O93" i="21"/>
  <c r="AJ93" i="21"/>
  <c r="AL93" i="21" s="1"/>
  <c r="AA93" i="21"/>
  <c r="AC93" i="21" s="1"/>
  <c r="AG93" i="21"/>
  <c r="AI93" i="21" s="1"/>
  <c r="K85" i="21"/>
  <c r="AD87" i="21"/>
  <c r="AF87" i="21" s="1"/>
  <c r="AJ87" i="21"/>
  <c r="AL87" i="21" s="1"/>
  <c r="AA87" i="21"/>
  <c r="AC87" i="21" s="1"/>
  <c r="O87" i="21"/>
  <c r="AG87" i="21"/>
  <c r="AI87" i="21" s="1"/>
  <c r="AD92" i="21"/>
  <c r="AF92" i="21" s="1"/>
  <c r="AA92" i="21"/>
  <c r="AC92" i="21" s="1"/>
  <c r="AJ92" i="21"/>
  <c r="AL92" i="21" s="1"/>
  <c r="O92" i="21"/>
  <c r="AG92" i="21"/>
  <c r="AI92" i="21" s="1"/>
  <c r="AG95" i="21"/>
  <c r="AI95" i="21" s="1"/>
  <c r="AD95" i="21"/>
  <c r="AF95" i="21" s="1"/>
  <c r="AJ95" i="21"/>
  <c r="AL95" i="21" s="1"/>
  <c r="AA95" i="21"/>
  <c r="AC95" i="21" s="1"/>
  <c r="O95" i="21"/>
  <c r="AJ84" i="21"/>
  <c r="AL84" i="21" s="1"/>
  <c r="O84" i="21"/>
  <c r="AG84" i="21"/>
  <c r="AI84" i="21" s="1"/>
  <c r="AD84" i="21"/>
  <c r="AF84" i="21" s="1"/>
  <c r="AA84" i="21"/>
  <c r="AC84" i="21" s="1"/>
  <c r="AD81" i="21"/>
  <c r="AF81" i="21" s="1"/>
  <c r="AJ81" i="21"/>
  <c r="AL81" i="21" s="1"/>
  <c r="AA81" i="21"/>
  <c r="AC81" i="21" s="1"/>
  <c r="O81" i="21"/>
  <c r="AG81" i="21"/>
  <c r="AI81" i="21" s="1"/>
  <c r="M85" i="21"/>
  <c r="AJ89" i="21"/>
  <c r="AL89" i="21" s="1"/>
  <c r="AA89" i="21"/>
  <c r="AC89" i="21" s="1"/>
  <c r="O89" i="21"/>
  <c r="AG89" i="21"/>
  <c r="AI89" i="21" s="1"/>
  <c r="AD89" i="21"/>
  <c r="AF89" i="21" s="1"/>
  <c r="K89" i="21"/>
  <c r="AD80" i="21"/>
  <c r="AF80" i="21" s="1"/>
  <c r="AA80" i="21"/>
  <c r="AC80" i="21" s="1"/>
  <c r="AJ80" i="21"/>
  <c r="AL80" i="21" s="1"/>
  <c r="O80" i="21"/>
  <c r="AG80" i="21"/>
  <c r="AI80" i="21" s="1"/>
  <c r="AA88" i="21"/>
  <c r="AC88" i="21" s="1"/>
  <c r="AJ88" i="21"/>
  <c r="AL88" i="21" s="1"/>
  <c r="O88" i="21"/>
  <c r="AG88" i="21"/>
  <c r="AI88" i="21" s="1"/>
  <c r="AD88" i="21"/>
  <c r="AF88" i="21" s="1"/>
  <c r="T97" i="21"/>
  <c r="AG91" i="21"/>
  <c r="AI91" i="21" s="1"/>
  <c r="AD91" i="21"/>
  <c r="AF91" i="21" s="1"/>
  <c r="AJ91" i="21"/>
  <c r="AL91" i="21" s="1"/>
  <c r="AA91" i="21"/>
  <c r="AC91" i="21" s="1"/>
  <c r="O91" i="21"/>
  <c r="AG79" i="21"/>
  <c r="AI79" i="21" s="1"/>
  <c r="AD79" i="21"/>
  <c r="AF79" i="21" s="1"/>
  <c r="AJ79" i="21"/>
  <c r="AL79" i="21" s="1"/>
  <c r="AA79" i="21"/>
  <c r="AC79" i="21" s="1"/>
  <c r="M195" i="21"/>
  <c r="F13" i="21"/>
  <c r="U13" i="21"/>
  <c r="X13" i="21"/>
  <c r="W13" i="21"/>
  <c r="T13" i="21"/>
  <c r="F29" i="21"/>
  <c r="U29" i="21"/>
  <c r="T29" i="21"/>
  <c r="X29" i="21"/>
  <c r="W29" i="21"/>
  <c r="F19" i="21"/>
  <c r="AG19" i="21" s="1"/>
  <c r="W19" i="21"/>
  <c r="T19" i="21"/>
  <c r="X19" i="21"/>
  <c r="U19" i="21"/>
  <c r="F18" i="21"/>
  <c r="T18" i="21"/>
  <c r="X18" i="21"/>
  <c r="W18" i="21"/>
  <c r="U18" i="21"/>
  <c r="F28" i="21"/>
  <c r="U28" i="21"/>
  <c r="W28" i="21"/>
  <c r="T28" i="21"/>
  <c r="X28" i="21"/>
  <c r="F17" i="21"/>
  <c r="X17" i="21"/>
  <c r="U17" i="21"/>
  <c r="W17" i="21"/>
  <c r="T17" i="21"/>
  <c r="F26" i="21"/>
  <c r="T26" i="21"/>
  <c r="U26" i="21"/>
  <c r="W26" i="21"/>
  <c r="X26" i="21"/>
  <c r="F20" i="21"/>
  <c r="AG20" i="21" s="1"/>
  <c r="U20" i="21"/>
  <c r="W20" i="21"/>
  <c r="T20" i="21"/>
  <c r="X20" i="21"/>
  <c r="F25" i="21"/>
  <c r="W25" i="21"/>
  <c r="T25" i="21"/>
  <c r="X25" i="21"/>
  <c r="U25" i="21"/>
  <c r="F27" i="21"/>
  <c r="W27" i="21"/>
  <c r="T27" i="21"/>
  <c r="U27" i="21"/>
  <c r="X27" i="21"/>
  <c r="F16" i="21"/>
  <c r="X16" i="21"/>
  <c r="U16" i="21"/>
  <c r="W16" i="21"/>
  <c r="T16" i="21"/>
  <c r="F15" i="21"/>
  <c r="X15" i="21"/>
  <c r="U15" i="21"/>
  <c r="W15" i="21"/>
  <c r="T15" i="21"/>
  <c r="F30" i="21"/>
  <c r="W30" i="21"/>
  <c r="X30" i="21"/>
  <c r="U30" i="21"/>
  <c r="T30" i="21"/>
  <c r="F24" i="21"/>
  <c r="X24" i="21"/>
  <c r="T24" i="21"/>
  <c r="U24" i="21"/>
  <c r="W24" i="21"/>
  <c r="F22" i="21"/>
  <c r="U22" i="21"/>
  <c r="W22" i="21"/>
  <c r="T22" i="21"/>
  <c r="X22" i="21"/>
  <c r="F14" i="21"/>
  <c r="W14" i="21"/>
  <c r="X14" i="21"/>
  <c r="U14" i="21"/>
  <c r="T14" i="21"/>
  <c r="F21" i="21"/>
  <c r="AG21" i="21" s="1"/>
  <c r="U21" i="21"/>
  <c r="T21" i="21"/>
  <c r="W21" i="21"/>
  <c r="X21" i="21"/>
  <c r="F23" i="21"/>
  <c r="X23" i="21"/>
  <c r="U23" i="21"/>
  <c r="W23" i="21"/>
  <c r="T23" i="21"/>
  <c r="K195" i="21"/>
  <c r="O195" i="21"/>
  <c r="P195" i="21" s="1"/>
  <c r="Q195" i="21" s="1"/>
  <c r="O360" i="21"/>
  <c r="P360" i="21" s="1"/>
  <c r="Q148" i="21"/>
  <c r="M360" i="21"/>
  <c r="J360" i="21"/>
  <c r="M184" i="21"/>
  <c r="M287" i="21"/>
  <c r="L294" i="21"/>
  <c r="J294" i="21"/>
  <c r="K294" i="21"/>
  <c r="L291" i="21"/>
  <c r="L125" i="21"/>
  <c r="O291" i="21"/>
  <c r="R291" i="21" s="1"/>
  <c r="K287" i="21"/>
  <c r="D417" i="21"/>
  <c r="C27" i="37" s="1"/>
  <c r="O294" i="21"/>
  <c r="P294" i="21" s="1"/>
  <c r="Q294" i="21" s="1"/>
  <c r="K360" i="21"/>
  <c r="L360" i="21"/>
  <c r="M387" i="21"/>
  <c r="L387" i="21"/>
  <c r="K387" i="21"/>
  <c r="J387" i="21"/>
  <c r="O387" i="21"/>
  <c r="O381" i="21"/>
  <c r="M381" i="21"/>
  <c r="K381" i="21"/>
  <c r="J381" i="21"/>
  <c r="L381" i="21"/>
  <c r="R390" i="21"/>
  <c r="O379" i="21"/>
  <c r="M383" i="21"/>
  <c r="K383" i="21"/>
  <c r="J383" i="21"/>
  <c r="O383" i="21"/>
  <c r="L383" i="21"/>
  <c r="M391" i="21"/>
  <c r="L391" i="21"/>
  <c r="K391" i="21"/>
  <c r="J391" i="21"/>
  <c r="O391" i="21"/>
  <c r="F394" i="21"/>
  <c r="O317" i="21"/>
  <c r="P317" i="21" s="1"/>
  <c r="O320" i="21"/>
  <c r="P320" i="21" s="1"/>
  <c r="O316" i="21"/>
  <c r="P316" i="21" s="1"/>
  <c r="O325" i="21"/>
  <c r="P325" i="21" s="1"/>
  <c r="O315" i="21"/>
  <c r="P315" i="21" s="1"/>
  <c r="O324" i="21"/>
  <c r="P324" i="21" s="1"/>
  <c r="F361" i="21"/>
  <c r="O353" i="21"/>
  <c r="P353" i="21" s="1"/>
  <c r="M353" i="21"/>
  <c r="L353" i="21"/>
  <c r="K353" i="21"/>
  <c r="J353" i="21"/>
  <c r="M349" i="21"/>
  <c r="K349" i="21"/>
  <c r="J349" i="21"/>
  <c r="L349" i="21"/>
  <c r="O349" i="21"/>
  <c r="P349" i="21" s="1"/>
  <c r="O357" i="21"/>
  <c r="P357" i="21" s="1"/>
  <c r="M357" i="21"/>
  <c r="L357" i="21"/>
  <c r="K357" i="21"/>
  <c r="J357" i="21"/>
  <c r="K324" i="21"/>
  <c r="Q318" i="21"/>
  <c r="J324" i="21"/>
  <c r="L324" i="21"/>
  <c r="M324" i="21"/>
  <c r="O309" i="21"/>
  <c r="K317" i="21"/>
  <c r="J317" i="21"/>
  <c r="M317" i="21"/>
  <c r="L317" i="21"/>
  <c r="M315" i="21"/>
  <c r="K315" i="21"/>
  <c r="J315" i="21"/>
  <c r="L315" i="21"/>
  <c r="Q314" i="21"/>
  <c r="K316" i="21"/>
  <c r="J316" i="21"/>
  <c r="L316" i="21"/>
  <c r="M316" i="21"/>
  <c r="K320" i="21"/>
  <c r="M320" i="21"/>
  <c r="L320" i="21"/>
  <c r="J320" i="21"/>
  <c r="F328" i="21"/>
  <c r="K325" i="21"/>
  <c r="J325" i="21"/>
  <c r="M325" i="21"/>
  <c r="L325" i="21"/>
  <c r="M291" i="21"/>
  <c r="J291" i="21"/>
  <c r="K291" i="21"/>
  <c r="F295" i="21"/>
  <c r="L287" i="21"/>
  <c r="M294" i="21"/>
  <c r="O287" i="21"/>
  <c r="J287" i="21"/>
  <c r="O279" i="21"/>
  <c r="M282" i="21"/>
  <c r="K282" i="21"/>
  <c r="O282" i="21"/>
  <c r="L282" i="21"/>
  <c r="J282" i="21"/>
  <c r="R289" i="21"/>
  <c r="P289" i="21"/>
  <c r="Q289" i="21" s="1"/>
  <c r="L292" i="21"/>
  <c r="K292" i="21"/>
  <c r="J292" i="21"/>
  <c r="O292" i="21"/>
  <c r="M292" i="21"/>
  <c r="K288" i="21"/>
  <c r="J288" i="21"/>
  <c r="L288" i="21"/>
  <c r="M288" i="21"/>
  <c r="O288" i="21"/>
  <c r="O243" i="21"/>
  <c r="P250" i="21"/>
  <c r="Q250" i="21" s="1"/>
  <c r="F262" i="21"/>
  <c r="O257" i="21"/>
  <c r="M257" i="21"/>
  <c r="K257" i="21"/>
  <c r="L257" i="21"/>
  <c r="J257" i="21"/>
  <c r="O261" i="21"/>
  <c r="M261" i="21"/>
  <c r="K261" i="21"/>
  <c r="L261" i="21"/>
  <c r="J261" i="21"/>
  <c r="J255" i="21"/>
  <c r="M255" i="21"/>
  <c r="O255" i="21"/>
  <c r="L255" i="21"/>
  <c r="K255" i="21"/>
  <c r="J251" i="21"/>
  <c r="K251" i="21"/>
  <c r="O251" i="21"/>
  <c r="M251" i="21"/>
  <c r="L251" i="21"/>
  <c r="J259" i="21"/>
  <c r="O259" i="21"/>
  <c r="M259" i="21"/>
  <c r="L259" i="21"/>
  <c r="K259" i="21"/>
  <c r="Q215" i="21"/>
  <c r="Q213" i="21"/>
  <c r="O218" i="21"/>
  <c r="P218" i="21" s="1"/>
  <c r="O226" i="21"/>
  <c r="P226" i="21" s="1"/>
  <c r="O212" i="21"/>
  <c r="P212" i="21" s="1"/>
  <c r="O222" i="21"/>
  <c r="P222" i="21" s="1"/>
  <c r="Q217" i="21"/>
  <c r="O216" i="21"/>
  <c r="P216" i="21" s="1"/>
  <c r="P210" i="21"/>
  <c r="Q210" i="21" s="1"/>
  <c r="R224" i="21"/>
  <c r="Q224" i="21"/>
  <c r="R223" i="21"/>
  <c r="Q223" i="21"/>
  <c r="Q211" i="21"/>
  <c r="M222" i="21"/>
  <c r="L222" i="21"/>
  <c r="K222" i="21"/>
  <c r="J222" i="21"/>
  <c r="M226" i="21"/>
  <c r="L226" i="21"/>
  <c r="K226" i="21"/>
  <c r="J226" i="21"/>
  <c r="M218" i="21"/>
  <c r="K218" i="21"/>
  <c r="J218" i="21"/>
  <c r="L218" i="21"/>
  <c r="R228" i="21"/>
  <c r="Q228" i="21"/>
  <c r="R227" i="21"/>
  <c r="Q227" i="21"/>
  <c r="R220" i="21"/>
  <c r="Q220" i="21"/>
  <c r="R219" i="21"/>
  <c r="Q219" i="21"/>
  <c r="Q221" i="21"/>
  <c r="R221" i="21"/>
  <c r="R225" i="21"/>
  <c r="Q225" i="21"/>
  <c r="F229" i="21"/>
  <c r="O193" i="21"/>
  <c r="P193" i="21" s="1"/>
  <c r="Q193" i="21" s="1"/>
  <c r="M193" i="21"/>
  <c r="O184" i="21"/>
  <c r="L184" i="21"/>
  <c r="J184" i="21"/>
  <c r="K184" i="21"/>
  <c r="L195" i="21"/>
  <c r="J195" i="21"/>
  <c r="L193" i="21"/>
  <c r="K193" i="21"/>
  <c r="J193" i="21"/>
  <c r="O179" i="21"/>
  <c r="M183" i="21"/>
  <c r="L183" i="21"/>
  <c r="K183" i="21"/>
  <c r="J183" i="21"/>
  <c r="O183" i="21"/>
  <c r="M187" i="21"/>
  <c r="L187" i="21"/>
  <c r="K187" i="21"/>
  <c r="J187" i="21"/>
  <c r="O187" i="21"/>
  <c r="M191" i="21"/>
  <c r="L191" i="21"/>
  <c r="K191" i="21"/>
  <c r="J191" i="21"/>
  <c r="O191" i="21"/>
  <c r="F196" i="21"/>
  <c r="M127" i="21"/>
  <c r="O152" i="21"/>
  <c r="P152" i="21" s="1"/>
  <c r="O160" i="21"/>
  <c r="P160" i="21" s="1"/>
  <c r="O156" i="21"/>
  <c r="P156" i="21" s="1"/>
  <c r="O159" i="21"/>
  <c r="P159" i="21" s="1"/>
  <c r="J125" i="21"/>
  <c r="M129" i="21"/>
  <c r="K125" i="21"/>
  <c r="M125" i="21"/>
  <c r="M156" i="21"/>
  <c r="J156" i="21"/>
  <c r="L156" i="21"/>
  <c r="K156" i="21"/>
  <c r="M152" i="21"/>
  <c r="J152" i="21"/>
  <c r="K152" i="21"/>
  <c r="L152" i="21"/>
  <c r="R161" i="21"/>
  <c r="L159" i="21"/>
  <c r="K159" i="21"/>
  <c r="J159" i="21"/>
  <c r="M159" i="21"/>
  <c r="M160" i="21"/>
  <c r="K160" i="21"/>
  <c r="J160" i="21"/>
  <c r="L160" i="21"/>
  <c r="F163" i="21"/>
  <c r="O127" i="21"/>
  <c r="P127" i="21" s="1"/>
  <c r="L129" i="21"/>
  <c r="O122" i="21"/>
  <c r="P122" i="21" s="1"/>
  <c r="O112" i="21"/>
  <c r="P112" i="21" s="1"/>
  <c r="O125" i="21"/>
  <c r="P125" i="21" s="1"/>
  <c r="K128" i="21"/>
  <c r="O128" i="21"/>
  <c r="P128" i="21" s="1"/>
  <c r="J129" i="21"/>
  <c r="O129" i="21"/>
  <c r="P129" i="21" s="1"/>
  <c r="J127" i="21"/>
  <c r="O120" i="21"/>
  <c r="P120" i="21" s="1"/>
  <c r="O118" i="21"/>
  <c r="P118" i="21" s="1"/>
  <c r="O126" i="21"/>
  <c r="P126" i="21" s="1"/>
  <c r="L127" i="21"/>
  <c r="J128" i="21"/>
  <c r="M128" i="21"/>
  <c r="J120" i="21"/>
  <c r="K127" i="21"/>
  <c r="L120" i="21"/>
  <c r="M120" i="21"/>
  <c r="K120" i="21"/>
  <c r="K129" i="21"/>
  <c r="L128" i="21"/>
  <c r="M118" i="21"/>
  <c r="L118" i="21"/>
  <c r="K118" i="21"/>
  <c r="J118" i="21"/>
  <c r="F130" i="21"/>
  <c r="M126" i="21"/>
  <c r="L126" i="21"/>
  <c r="K126" i="21"/>
  <c r="J126" i="21"/>
  <c r="M122" i="21"/>
  <c r="L122" i="21"/>
  <c r="K122" i="21"/>
  <c r="J122" i="21"/>
  <c r="F97" i="21"/>
  <c r="M94" i="21"/>
  <c r="L94" i="21"/>
  <c r="K94" i="21"/>
  <c r="J94" i="21"/>
  <c r="M93" i="21"/>
  <c r="L93" i="21"/>
  <c r="K93" i="21"/>
  <c r="J93" i="21"/>
  <c r="M84" i="21"/>
  <c r="K84" i="21"/>
  <c r="L84" i="21"/>
  <c r="J84" i="21"/>
  <c r="M90" i="21"/>
  <c r="K90" i="21"/>
  <c r="J90" i="21"/>
  <c r="L90" i="21"/>
  <c r="F64" i="21"/>
  <c r="AL12" i="21"/>
  <c r="AF12" i="21"/>
  <c r="E51" i="37" l="1"/>
  <c r="R157" i="21"/>
  <c r="E53" i="37"/>
  <c r="E58" i="37"/>
  <c r="E54" i="37"/>
  <c r="E52" i="37"/>
  <c r="E59" i="37"/>
  <c r="E57" i="37"/>
  <c r="E60" i="37"/>
  <c r="E61" i="37"/>
  <c r="E55" i="37"/>
  <c r="R326" i="21"/>
  <c r="Q147" i="21"/>
  <c r="Q161" i="21"/>
  <c r="Q326" i="21"/>
  <c r="P388" i="21"/>
  <c r="Q388" i="21" s="1"/>
  <c r="N56" i="29"/>
  <c r="U56" i="29" s="1"/>
  <c r="F27" i="37"/>
  <c r="R260" i="21"/>
  <c r="Q117" i="21"/>
  <c r="R117" i="21"/>
  <c r="Q281" i="21"/>
  <c r="Q180" i="21"/>
  <c r="F37" i="36"/>
  <c r="E37" i="36"/>
  <c r="D37" i="36"/>
  <c r="C37" i="36"/>
  <c r="B38" i="36"/>
  <c r="R351" i="21"/>
  <c r="Q113" i="21"/>
  <c r="Q115" i="21"/>
  <c r="Q146" i="21"/>
  <c r="Q351" i="21"/>
  <c r="R359" i="21"/>
  <c r="Q153" i="21"/>
  <c r="R153" i="21"/>
  <c r="Q151" i="21"/>
  <c r="O28" i="21"/>
  <c r="P28" i="21" s="1"/>
  <c r="Q28" i="21" s="1"/>
  <c r="P392" i="21"/>
  <c r="Q392" i="21" s="1"/>
  <c r="Q312" i="21"/>
  <c r="Q344" i="21"/>
  <c r="R355" i="21"/>
  <c r="P293" i="21"/>
  <c r="Q293" i="21" s="1"/>
  <c r="R318" i="21"/>
  <c r="Q356" i="21"/>
  <c r="R190" i="21"/>
  <c r="R158" i="21"/>
  <c r="R155" i="21"/>
  <c r="Q346" i="21"/>
  <c r="R124" i="21"/>
  <c r="R151" i="21"/>
  <c r="R322" i="21"/>
  <c r="Q322" i="21"/>
  <c r="Q157" i="21"/>
  <c r="P393" i="21"/>
  <c r="Q393" i="21" s="1"/>
  <c r="Q359" i="21"/>
  <c r="Q123" i="21"/>
  <c r="R123" i="21"/>
  <c r="Q158" i="21"/>
  <c r="R194" i="21"/>
  <c r="Q162" i="21"/>
  <c r="R162" i="21"/>
  <c r="R352" i="21"/>
  <c r="R189" i="21"/>
  <c r="Q155" i="21"/>
  <c r="Q124" i="21"/>
  <c r="P188" i="21"/>
  <c r="Q188" i="21" s="1"/>
  <c r="Q352" i="21"/>
  <c r="R254" i="21"/>
  <c r="R386" i="21"/>
  <c r="P253" i="21"/>
  <c r="Q253" i="21" s="1"/>
  <c r="R185" i="21"/>
  <c r="R348" i="21"/>
  <c r="Q348" i="21"/>
  <c r="R249" i="21"/>
  <c r="R350" i="21"/>
  <c r="Q350" i="21"/>
  <c r="R356" i="21"/>
  <c r="AO31" i="21"/>
  <c r="Q149" i="21"/>
  <c r="Q321" i="21"/>
  <c r="AP31" i="21"/>
  <c r="R186" i="21"/>
  <c r="P384" i="21"/>
  <c r="Q384" i="21" s="1"/>
  <c r="R321" i="21"/>
  <c r="R327" i="21"/>
  <c r="R256" i="21"/>
  <c r="Q327" i="21"/>
  <c r="P283" i="21"/>
  <c r="Q283" i="21" s="1"/>
  <c r="Q375" i="21"/>
  <c r="R319" i="21"/>
  <c r="R290" i="21"/>
  <c r="Q114" i="21"/>
  <c r="Y64" i="21"/>
  <c r="R286" i="21"/>
  <c r="Q119" i="21"/>
  <c r="Q150" i="21"/>
  <c r="R119" i="21"/>
  <c r="P284" i="21"/>
  <c r="Q284" i="21" s="1"/>
  <c r="Q343" i="21"/>
  <c r="R150" i="21"/>
  <c r="Q310" i="21"/>
  <c r="Q345" i="21"/>
  <c r="AD361" i="21"/>
  <c r="AF342" i="21"/>
  <c r="AF361" i="21" s="1"/>
  <c r="P252" i="21"/>
  <c r="Q252" i="21" s="1"/>
  <c r="AC342" i="21"/>
  <c r="AC361" i="21" s="1"/>
  <c r="AA361" i="21"/>
  <c r="AC309" i="21"/>
  <c r="AC328" i="21" s="1"/>
  <c r="AA328" i="21"/>
  <c r="AL375" i="21"/>
  <c r="AL394" i="21" s="1"/>
  <c r="AJ394" i="21"/>
  <c r="AF276" i="21"/>
  <c r="AF295" i="21" s="1"/>
  <c r="AD295" i="21"/>
  <c r="AL177" i="21"/>
  <c r="AL196" i="21" s="1"/>
  <c r="AJ196" i="21"/>
  <c r="AF375" i="21"/>
  <c r="AF394" i="21" s="1"/>
  <c r="AD394" i="21"/>
  <c r="AL342" i="21"/>
  <c r="AL361" i="21" s="1"/>
  <c r="AJ361" i="21"/>
  <c r="AG394" i="21"/>
  <c r="AI375" i="21"/>
  <c r="AI394" i="21" s="1"/>
  <c r="AG295" i="21"/>
  <c r="AI276" i="21"/>
  <c r="AI295" i="21" s="1"/>
  <c r="AI177" i="21"/>
  <c r="AI196" i="21" s="1"/>
  <c r="AG196" i="21"/>
  <c r="AL309" i="21"/>
  <c r="AL328" i="21" s="1"/>
  <c r="AJ328" i="21"/>
  <c r="AC276" i="21"/>
  <c r="AC295" i="21" s="1"/>
  <c r="AA295" i="21"/>
  <c r="AD196" i="21"/>
  <c r="AF177" i="21"/>
  <c r="AF196" i="21" s="1"/>
  <c r="Q192" i="21"/>
  <c r="P385" i="21"/>
  <c r="Q385" i="21" s="1"/>
  <c r="AC375" i="21"/>
  <c r="AC394" i="21" s="1"/>
  <c r="AA394" i="21"/>
  <c r="AF243" i="21"/>
  <c r="AF262" i="21" s="1"/>
  <c r="AD262" i="21"/>
  <c r="AL144" i="21"/>
  <c r="AL163" i="21" s="1"/>
  <c r="AJ163" i="21"/>
  <c r="AL243" i="21"/>
  <c r="AL262" i="21" s="1"/>
  <c r="AJ262" i="21"/>
  <c r="P285" i="21"/>
  <c r="Q285" i="21" s="1"/>
  <c r="Q323" i="21"/>
  <c r="AD163" i="21"/>
  <c r="AF144" i="21"/>
  <c r="AF163" i="21" s="1"/>
  <c r="AI243" i="21"/>
  <c r="AI262" i="21" s="1"/>
  <c r="AG262" i="21"/>
  <c r="R323" i="21"/>
  <c r="R154" i="21"/>
  <c r="AI309" i="21"/>
  <c r="AI328" i="21" s="1"/>
  <c r="AG328" i="21"/>
  <c r="AA163" i="21"/>
  <c r="AC144" i="21"/>
  <c r="AC163" i="21" s="1"/>
  <c r="AC243" i="21"/>
  <c r="AC262" i="21" s="1"/>
  <c r="AA262" i="21"/>
  <c r="Q154" i="21"/>
  <c r="P358" i="21"/>
  <c r="Q358" i="21" s="1"/>
  <c r="Q116" i="21"/>
  <c r="Q347" i="21"/>
  <c r="AI342" i="21"/>
  <c r="AI361" i="21" s="1"/>
  <c r="AG361" i="21"/>
  <c r="AD328" i="21"/>
  <c r="AF309" i="21"/>
  <c r="AF328" i="21" s="1"/>
  <c r="AJ295" i="21"/>
  <c r="AL276" i="21"/>
  <c r="AL295" i="21" s="1"/>
  <c r="AC177" i="21"/>
  <c r="AC196" i="21" s="1"/>
  <c r="AA196" i="21"/>
  <c r="AI144" i="21"/>
  <c r="AI163" i="21" s="1"/>
  <c r="AG163" i="21"/>
  <c r="AN22" i="21"/>
  <c r="AN26" i="21"/>
  <c r="V361" i="21"/>
  <c r="Y361" i="21"/>
  <c r="AN23" i="21"/>
  <c r="AN27" i="21"/>
  <c r="AN29" i="21"/>
  <c r="Y163" i="21"/>
  <c r="V328" i="21"/>
  <c r="Y394" i="21"/>
  <c r="AN30" i="21"/>
  <c r="AN28" i="21"/>
  <c r="Y262" i="21"/>
  <c r="V394" i="21"/>
  <c r="O14" i="21"/>
  <c r="P14" i="21" s="1"/>
  <c r="Q14" i="21" s="1"/>
  <c r="AN20" i="21"/>
  <c r="O16" i="21"/>
  <c r="P16" i="21" s="1"/>
  <c r="Q16" i="21" s="1"/>
  <c r="AN19" i="21"/>
  <c r="AN24" i="21"/>
  <c r="O17" i="21"/>
  <c r="P17" i="21" s="1"/>
  <c r="Q17" i="21" s="1"/>
  <c r="AN21" i="21"/>
  <c r="AN25" i="21"/>
  <c r="AG64" i="21"/>
  <c r="AI45" i="21"/>
  <c r="AI64" i="21" s="1"/>
  <c r="R55" i="21"/>
  <c r="P55" i="21"/>
  <c r="Q55" i="21" s="1"/>
  <c r="P57" i="21"/>
  <c r="Q57" i="21" s="1"/>
  <c r="R57" i="21"/>
  <c r="R62" i="21"/>
  <c r="P62" i="21"/>
  <c r="Q62" i="21" s="1"/>
  <c r="AC45" i="21"/>
  <c r="AC64" i="21" s="1"/>
  <c r="AA64" i="21"/>
  <c r="R52" i="21"/>
  <c r="P52" i="21"/>
  <c r="Q52" i="21" s="1"/>
  <c r="R56" i="21"/>
  <c r="P56" i="21"/>
  <c r="Q56" i="21" s="1"/>
  <c r="P47" i="21"/>
  <c r="Q47" i="21" s="1"/>
  <c r="R61" i="21"/>
  <c r="P61" i="21"/>
  <c r="Q61" i="21" s="1"/>
  <c r="AD64" i="21"/>
  <c r="AF45" i="21"/>
  <c r="AF64" i="21" s="1"/>
  <c r="R54" i="21"/>
  <c r="P54" i="21"/>
  <c r="Q54" i="21" s="1"/>
  <c r="R59" i="21"/>
  <c r="P59" i="21"/>
  <c r="Q59" i="21" s="1"/>
  <c r="V262" i="21"/>
  <c r="R51" i="21"/>
  <c r="P51" i="21"/>
  <c r="Q51" i="21" s="1"/>
  <c r="P50" i="21"/>
  <c r="Q50" i="21" s="1"/>
  <c r="R53" i="21"/>
  <c r="P53" i="21"/>
  <c r="Q53" i="21" s="1"/>
  <c r="V295" i="21"/>
  <c r="Y295" i="21"/>
  <c r="P58" i="21"/>
  <c r="Q58" i="21" s="1"/>
  <c r="R58" i="21"/>
  <c r="V64" i="21"/>
  <c r="P63" i="21"/>
  <c r="Q63" i="21" s="1"/>
  <c r="R63" i="21"/>
  <c r="P60" i="21"/>
  <c r="Q60" i="21" s="1"/>
  <c r="R60" i="21"/>
  <c r="V163" i="21"/>
  <c r="AL45" i="21"/>
  <c r="AL64" i="21" s="1"/>
  <c r="AJ64" i="21"/>
  <c r="Y328" i="21"/>
  <c r="P389" i="21"/>
  <c r="Q389" i="21" s="1"/>
  <c r="R382" i="21"/>
  <c r="P354" i="21"/>
  <c r="Q354" i="21" s="1"/>
  <c r="R354" i="21"/>
  <c r="Q313" i="21"/>
  <c r="Q319" i="21"/>
  <c r="P258" i="21"/>
  <c r="Q258" i="21" s="1"/>
  <c r="Q248" i="21"/>
  <c r="Y196" i="21"/>
  <c r="R192" i="21"/>
  <c r="V196" i="21"/>
  <c r="Q121" i="21"/>
  <c r="R121" i="21"/>
  <c r="AD130" i="21"/>
  <c r="AF111" i="21"/>
  <c r="AF130" i="21" s="1"/>
  <c r="AG130" i="21"/>
  <c r="AI111" i="21"/>
  <c r="AI130" i="21" s="1"/>
  <c r="V130" i="21"/>
  <c r="AL111" i="21"/>
  <c r="AL130" i="21" s="1"/>
  <c r="AJ130" i="21"/>
  <c r="Y130" i="21"/>
  <c r="AC111" i="21"/>
  <c r="AC130" i="21" s="1"/>
  <c r="AA130" i="21"/>
  <c r="O64" i="21"/>
  <c r="P45" i="21"/>
  <c r="Q45" i="21" s="1"/>
  <c r="P93" i="21"/>
  <c r="Q93" i="21" s="1"/>
  <c r="R93" i="21"/>
  <c r="P89" i="21"/>
  <c r="Q89" i="21" s="1"/>
  <c r="R89" i="21"/>
  <c r="P85" i="21"/>
  <c r="Q85" i="21" s="1"/>
  <c r="R85" i="21"/>
  <c r="AC78" i="21"/>
  <c r="AC97" i="21" s="1"/>
  <c r="AA97" i="21"/>
  <c r="R88" i="21"/>
  <c r="P88" i="21"/>
  <c r="Q88" i="21" s="1"/>
  <c r="AD97" i="21"/>
  <c r="AF78" i="21"/>
  <c r="AF97" i="21" s="1"/>
  <c r="Y97" i="21"/>
  <c r="R86" i="21"/>
  <c r="P86" i="21"/>
  <c r="Q86" i="21" s="1"/>
  <c r="P95" i="21"/>
  <c r="Q95" i="21" s="1"/>
  <c r="R95" i="21"/>
  <c r="P87" i="21"/>
  <c r="Q87" i="21" s="1"/>
  <c r="R87" i="21"/>
  <c r="R84" i="21"/>
  <c r="P84" i="21"/>
  <c r="Q84" i="21" s="1"/>
  <c r="AG97" i="21"/>
  <c r="AI78" i="21"/>
  <c r="AI97" i="21" s="1"/>
  <c r="P91" i="21"/>
  <c r="Q91" i="21" s="1"/>
  <c r="R91" i="21"/>
  <c r="V97" i="21"/>
  <c r="O97" i="21"/>
  <c r="P78" i="21"/>
  <c r="Q78" i="21" s="1"/>
  <c r="R92" i="21"/>
  <c r="P92" i="21"/>
  <c r="Q92" i="21" s="1"/>
  <c r="AL78" i="21"/>
  <c r="AL97" i="21" s="1"/>
  <c r="AJ97" i="21"/>
  <c r="P83" i="21"/>
  <c r="Q83" i="21" s="1"/>
  <c r="P82" i="21"/>
  <c r="Q82" i="21" s="1"/>
  <c r="P80" i="21"/>
  <c r="Q80" i="21" s="1"/>
  <c r="R94" i="21"/>
  <c r="P94" i="21"/>
  <c r="Q94" i="21" s="1"/>
  <c r="P79" i="21"/>
  <c r="Q79" i="21" s="1"/>
  <c r="P81" i="21"/>
  <c r="Q81" i="21" s="1"/>
  <c r="R96" i="21"/>
  <c r="P96" i="21"/>
  <c r="Q96" i="21" s="1"/>
  <c r="R90" i="21"/>
  <c r="P90" i="21"/>
  <c r="Q90" i="21" s="1"/>
  <c r="O24" i="21"/>
  <c r="P24" i="21" s="1"/>
  <c r="V21" i="21"/>
  <c r="Y18" i="21"/>
  <c r="O27" i="21"/>
  <c r="P27" i="21" s="1"/>
  <c r="Q27" i="21" s="1"/>
  <c r="O23" i="21"/>
  <c r="P23" i="21" s="1"/>
  <c r="Q23" i="21" s="1"/>
  <c r="Y27" i="21"/>
  <c r="V15" i="21"/>
  <c r="Y22" i="21"/>
  <c r="V18" i="21"/>
  <c r="V28" i="21"/>
  <c r="V14" i="21"/>
  <c r="V29" i="21"/>
  <c r="V16" i="21"/>
  <c r="V20" i="21"/>
  <c r="Y16" i="21"/>
  <c r="V17" i="21"/>
  <c r="O13" i="21"/>
  <c r="P13" i="21" s="1"/>
  <c r="Q13" i="21" s="1"/>
  <c r="O22" i="21"/>
  <c r="P22" i="21" s="1"/>
  <c r="Q22" i="21" s="1"/>
  <c r="AG22" i="21"/>
  <c r="AI22" i="21" s="1"/>
  <c r="AJ22" i="21"/>
  <c r="AL22" i="21" s="1"/>
  <c r="AD22" i="21"/>
  <c r="AF22" i="21" s="1"/>
  <c r="AA22" i="21"/>
  <c r="AC22" i="21" s="1"/>
  <c r="AA26" i="21"/>
  <c r="AC26" i="21" s="1"/>
  <c r="AG26" i="21"/>
  <c r="AI26" i="21" s="1"/>
  <c r="AD26" i="21"/>
  <c r="AF26" i="21" s="1"/>
  <c r="AJ26" i="21"/>
  <c r="AL26" i="21" s="1"/>
  <c r="Y28" i="21"/>
  <c r="O21" i="21"/>
  <c r="P21" i="21" s="1"/>
  <c r="AJ21" i="21"/>
  <c r="AL21" i="21" s="1"/>
  <c r="AI21" i="21"/>
  <c r="AD21" i="21"/>
  <c r="AF21" i="21" s="1"/>
  <c r="AA21" i="21"/>
  <c r="AC21" i="21" s="1"/>
  <c r="AD15" i="21"/>
  <c r="AF15" i="21" s="1"/>
  <c r="AA15" i="21"/>
  <c r="AC15" i="21" s="1"/>
  <c r="AG15" i="21"/>
  <c r="AI15" i="21" s="1"/>
  <c r="AJ15" i="21"/>
  <c r="AL15" i="21" s="1"/>
  <c r="O18" i="21"/>
  <c r="P18" i="21" s="1"/>
  <c r="Q18" i="21" s="1"/>
  <c r="AJ18" i="21"/>
  <c r="AL18" i="21" s="1"/>
  <c r="AG18" i="21"/>
  <c r="AI18" i="21" s="1"/>
  <c r="AA18" i="21"/>
  <c r="AC18" i="21" s="1"/>
  <c r="AD18" i="21"/>
  <c r="AF18" i="21" s="1"/>
  <c r="AA23" i="21"/>
  <c r="AC23" i="21" s="1"/>
  <c r="AD23" i="21"/>
  <c r="AF23" i="21" s="1"/>
  <c r="AG23" i="21"/>
  <c r="AI23" i="21" s="1"/>
  <c r="AJ23" i="21"/>
  <c r="AL23" i="21" s="1"/>
  <c r="Y24" i="21"/>
  <c r="AJ27" i="21"/>
  <c r="AL27" i="21" s="1"/>
  <c r="AG27" i="21"/>
  <c r="AI27" i="21" s="1"/>
  <c r="AA27" i="21"/>
  <c r="AC27" i="21" s="1"/>
  <c r="AD27" i="21"/>
  <c r="AF27" i="21" s="1"/>
  <c r="O29" i="21"/>
  <c r="P29" i="21" s="1"/>
  <c r="Q29" i="21" s="1"/>
  <c r="AA29" i="21"/>
  <c r="AC29" i="21" s="1"/>
  <c r="AD29" i="21"/>
  <c r="AF29" i="21" s="1"/>
  <c r="AJ29" i="21"/>
  <c r="AL29" i="21" s="1"/>
  <c r="AG29" i="21"/>
  <c r="AI29" i="21" s="1"/>
  <c r="O25" i="21"/>
  <c r="AA25" i="21"/>
  <c r="AC25" i="21" s="1"/>
  <c r="AG25" i="21"/>
  <c r="AI25" i="21" s="1"/>
  <c r="AJ25" i="21"/>
  <c r="AL25" i="21" s="1"/>
  <c r="AD25" i="21"/>
  <c r="AF25" i="21" s="1"/>
  <c r="V26" i="21"/>
  <c r="Y14" i="21"/>
  <c r="O30" i="21"/>
  <c r="P30" i="21" s="1"/>
  <c r="Q30" i="21" s="1"/>
  <c r="AG30" i="21"/>
  <c r="AI30" i="21" s="1"/>
  <c r="AJ30" i="21"/>
  <c r="AL30" i="21" s="1"/>
  <c r="AD30" i="21"/>
  <c r="AF30" i="21" s="1"/>
  <c r="AA30" i="21"/>
  <c r="AC30" i="21" s="1"/>
  <c r="Y17" i="21"/>
  <c r="AJ28" i="21"/>
  <c r="AL28" i="21" s="1"/>
  <c r="AG28" i="21"/>
  <c r="AI28" i="21" s="1"/>
  <c r="AA28" i="21"/>
  <c r="AC28" i="21" s="1"/>
  <c r="AD28" i="21"/>
  <c r="AF28" i="21" s="1"/>
  <c r="AG14" i="21"/>
  <c r="AI14" i="21" s="1"/>
  <c r="AJ14" i="21"/>
  <c r="AL14" i="21" s="1"/>
  <c r="AA14" i="21"/>
  <c r="AC14" i="21" s="1"/>
  <c r="AD14" i="21"/>
  <c r="AF14" i="21" s="1"/>
  <c r="O20" i="21"/>
  <c r="P20" i="21" s="1"/>
  <c r="Q20" i="21" s="1"/>
  <c r="AA20" i="21"/>
  <c r="AC20" i="21" s="1"/>
  <c r="AD20" i="21"/>
  <c r="AF20" i="21" s="1"/>
  <c r="AI20" i="21"/>
  <c r="AJ20" i="21"/>
  <c r="AL20" i="21" s="1"/>
  <c r="Y13" i="21"/>
  <c r="V27" i="21"/>
  <c r="AG16" i="21"/>
  <c r="AI16" i="21" s="1"/>
  <c r="AD16" i="21"/>
  <c r="AF16" i="21" s="1"/>
  <c r="AJ16" i="21"/>
  <c r="AL16" i="21" s="1"/>
  <c r="AA16" i="21"/>
  <c r="AC16" i="21" s="1"/>
  <c r="O19" i="21"/>
  <c r="P19" i="21" s="1"/>
  <c r="Q19" i="21" s="1"/>
  <c r="AJ19" i="21"/>
  <c r="AL19" i="21" s="1"/>
  <c r="AD19" i="21"/>
  <c r="AF19" i="21" s="1"/>
  <c r="AA19" i="21"/>
  <c r="AC19" i="21" s="1"/>
  <c r="AI19" i="21"/>
  <c r="AG13" i="21"/>
  <c r="AI13" i="21" s="1"/>
  <c r="AD13" i="21"/>
  <c r="AF13" i="21" s="1"/>
  <c r="AA13" i="21"/>
  <c r="AC13" i="21" s="1"/>
  <c r="AJ13" i="21"/>
  <c r="AL13" i="21" s="1"/>
  <c r="AD24" i="21"/>
  <c r="AF24" i="21" s="1"/>
  <c r="AA24" i="21"/>
  <c r="AC24" i="21" s="1"/>
  <c r="AJ24" i="21"/>
  <c r="AL24" i="21" s="1"/>
  <c r="AG24" i="21"/>
  <c r="AI24" i="21" s="1"/>
  <c r="Y26" i="21"/>
  <c r="AJ17" i="21"/>
  <c r="AL17" i="21" s="1"/>
  <c r="AG17" i="21"/>
  <c r="AI17" i="21" s="1"/>
  <c r="AD17" i="21"/>
  <c r="AF17" i="21" s="1"/>
  <c r="AA17" i="21"/>
  <c r="AC17" i="21" s="1"/>
  <c r="Y30" i="21"/>
  <c r="Y20" i="21"/>
  <c r="O26" i="21"/>
  <c r="P26" i="21" s="1"/>
  <c r="Q26" i="21" s="1"/>
  <c r="V19" i="21"/>
  <c r="V13" i="21"/>
  <c r="T31" i="21"/>
  <c r="Y21" i="21"/>
  <c r="V24" i="21"/>
  <c r="Y19" i="21"/>
  <c r="Y15" i="21"/>
  <c r="V25" i="21"/>
  <c r="O15" i="21"/>
  <c r="P15" i="21" s="1"/>
  <c r="Q15" i="21" s="1"/>
  <c r="V23" i="21"/>
  <c r="V22" i="21"/>
  <c r="Y25" i="21"/>
  <c r="Y29" i="21"/>
  <c r="Y23" i="21"/>
  <c r="V30" i="21"/>
  <c r="F31" i="21"/>
  <c r="Q12" i="21"/>
  <c r="R360" i="21"/>
  <c r="R195" i="21"/>
  <c r="Q360" i="21"/>
  <c r="R193" i="21"/>
  <c r="P291" i="21"/>
  <c r="Q291" i="21" s="1"/>
  <c r="R294" i="21"/>
  <c r="O394" i="21"/>
  <c r="R381" i="21"/>
  <c r="P381" i="21"/>
  <c r="Q381" i="21" s="1"/>
  <c r="R387" i="21"/>
  <c r="P387" i="21"/>
  <c r="Q387" i="21" s="1"/>
  <c r="R391" i="21"/>
  <c r="P391" i="21"/>
  <c r="Q391" i="21" s="1"/>
  <c r="P379" i="21"/>
  <c r="Q379" i="21" s="1"/>
  <c r="R383" i="21"/>
  <c r="P383" i="21"/>
  <c r="Q383" i="21" s="1"/>
  <c r="O361" i="21"/>
  <c r="R353" i="21"/>
  <c r="Q353" i="21"/>
  <c r="R357" i="21"/>
  <c r="Q357" i="21"/>
  <c r="R349" i="21"/>
  <c r="Q349" i="21"/>
  <c r="P309" i="21"/>
  <c r="Q309" i="21" s="1"/>
  <c r="R324" i="21"/>
  <c r="Q324" i="21"/>
  <c r="R317" i="21"/>
  <c r="Q317" i="21"/>
  <c r="R315" i="21"/>
  <c r="Q315" i="21"/>
  <c r="O328" i="21"/>
  <c r="R325" i="21"/>
  <c r="Q325" i="21"/>
  <c r="R320" i="21"/>
  <c r="Q320" i="21"/>
  <c r="R316" i="21"/>
  <c r="Q316" i="21"/>
  <c r="R287" i="21"/>
  <c r="P287" i="21"/>
  <c r="Q287" i="21" s="1"/>
  <c r="R288" i="21"/>
  <c r="P288" i="21"/>
  <c r="Q288" i="21" s="1"/>
  <c r="R292" i="21"/>
  <c r="P292" i="21"/>
  <c r="Q292" i="21" s="1"/>
  <c r="P279" i="21"/>
  <c r="Q279" i="21" s="1"/>
  <c r="R282" i="21"/>
  <c r="P282" i="21"/>
  <c r="Q282" i="21" s="1"/>
  <c r="O295" i="21"/>
  <c r="R251" i="21"/>
  <c r="P251" i="21"/>
  <c r="Q251" i="21" s="1"/>
  <c r="R257" i="21"/>
  <c r="P257" i="21"/>
  <c r="Q257" i="21" s="1"/>
  <c r="R255" i="21"/>
  <c r="P255" i="21"/>
  <c r="Q255" i="21" s="1"/>
  <c r="R261" i="21"/>
  <c r="P261" i="21"/>
  <c r="Q261" i="21" s="1"/>
  <c r="O262" i="21"/>
  <c r="P243" i="21"/>
  <c r="Q243" i="21" s="1"/>
  <c r="R259" i="21"/>
  <c r="P259" i="21"/>
  <c r="Q259" i="21" s="1"/>
  <c r="Q212" i="21"/>
  <c r="R222" i="21"/>
  <c r="Q222" i="21"/>
  <c r="Q216" i="21"/>
  <c r="R226" i="21"/>
  <c r="Q226" i="21"/>
  <c r="O229" i="21"/>
  <c r="R218" i="21"/>
  <c r="Q218" i="21"/>
  <c r="R184" i="21"/>
  <c r="P184" i="21"/>
  <c r="Q184" i="21" s="1"/>
  <c r="P187" i="21"/>
  <c r="Q187" i="21" s="1"/>
  <c r="R187" i="21"/>
  <c r="O196" i="21"/>
  <c r="P177" i="21"/>
  <c r="Q177" i="21" s="1"/>
  <c r="P183" i="21"/>
  <c r="Q183" i="21" s="1"/>
  <c r="R183" i="21"/>
  <c r="P179" i="21"/>
  <c r="Q179" i="21" s="1"/>
  <c r="P191" i="21"/>
  <c r="Q191" i="21" s="1"/>
  <c r="R191" i="21"/>
  <c r="R129" i="21"/>
  <c r="R152" i="21"/>
  <c r="Q152" i="21"/>
  <c r="O163" i="21"/>
  <c r="Q159" i="21"/>
  <c r="R159" i="21"/>
  <c r="R160" i="21"/>
  <c r="Q160" i="21"/>
  <c r="R156" i="21"/>
  <c r="Q156" i="21"/>
  <c r="Q128" i="21"/>
  <c r="R128" i="21"/>
  <c r="Q125" i="21"/>
  <c r="R120" i="21"/>
  <c r="R125" i="21"/>
  <c r="Q129" i="21"/>
  <c r="Q120" i="21"/>
  <c r="Q127" i="21"/>
  <c r="R127" i="21"/>
  <c r="Q122" i="21"/>
  <c r="R122" i="21"/>
  <c r="Q118" i="21"/>
  <c r="R118" i="21"/>
  <c r="Q126" i="21"/>
  <c r="R126" i="21"/>
  <c r="Q112" i="21"/>
  <c r="O130" i="21"/>
  <c r="E23" i="1"/>
  <c r="C23" i="1" s="1"/>
  <c r="C52" i="32" s="1"/>
  <c r="B39" i="36" l="1"/>
  <c r="F38" i="36"/>
  <c r="E38" i="36"/>
  <c r="D38" i="36"/>
  <c r="C38" i="36"/>
  <c r="Q64" i="21"/>
  <c r="S65" i="21" s="1"/>
  <c r="Q97" i="21"/>
  <c r="S98" i="21" s="1"/>
  <c r="S100" i="21" s="1"/>
  <c r="Q24" i="21"/>
  <c r="Q21" i="21"/>
  <c r="P25" i="21"/>
  <c r="Q25" i="21" s="1"/>
  <c r="V31" i="21"/>
  <c r="Q394" i="21"/>
  <c r="S395" i="21" s="1"/>
  <c r="S397" i="21" s="1"/>
  <c r="Q361" i="21"/>
  <c r="S362" i="21" s="1"/>
  <c r="S364" i="21" s="1"/>
  <c r="Q328" i="21"/>
  <c r="S329" i="21" s="1"/>
  <c r="S331" i="21" s="1"/>
  <c r="Q295" i="21"/>
  <c r="S296" i="21" s="1"/>
  <c r="S298" i="21" s="1"/>
  <c r="Q262" i="21"/>
  <c r="S263" i="21" s="1"/>
  <c r="S265" i="21" s="1"/>
  <c r="Q229" i="21"/>
  <c r="S230" i="21" s="1"/>
  <c r="S232" i="21" s="1"/>
  <c r="Q196" i="21"/>
  <c r="S197" i="21" s="1"/>
  <c r="S199" i="21" s="1"/>
  <c r="Q163" i="21"/>
  <c r="S164" i="21" s="1"/>
  <c r="S166" i="21" s="1"/>
  <c r="Q130" i="21"/>
  <c r="S131" i="21" s="1"/>
  <c r="S133" i="21" s="1"/>
  <c r="S67" i="21" l="1"/>
  <c r="S68" i="21" s="1"/>
  <c r="D39" i="36"/>
  <c r="C39" i="36"/>
  <c r="E39" i="36"/>
  <c r="B40" i="36"/>
  <c r="F39" i="36"/>
  <c r="Q31" i="21"/>
  <c r="S32" i="21" s="1"/>
  <c r="S200" i="21"/>
  <c r="S233" i="21"/>
  <c r="S398" i="21"/>
  <c r="S332" i="21"/>
  <c r="S365" i="21"/>
  <c r="S101" i="21"/>
  <c r="S134" i="21"/>
  <c r="S167" i="21"/>
  <c r="S51" i="21" l="1"/>
  <c r="S62" i="21"/>
  <c r="S61" i="21"/>
  <c r="S53" i="21"/>
  <c r="S60" i="21"/>
  <c r="S47" i="21"/>
  <c r="S59" i="21"/>
  <c r="S56" i="21"/>
  <c r="S46" i="21"/>
  <c r="S49" i="21"/>
  <c r="S54" i="21"/>
  <c r="S57" i="21"/>
  <c r="S52" i="21"/>
  <c r="S50" i="21"/>
  <c r="S55" i="21"/>
  <c r="S58" i="21"/>
  <c r="S63" i="21"/>
  <c r="S45" i="21"/>
  <c r="R45" i="21" s="1"/>
  <c r="S48" i="21"/>
  <c r="S382" i="21"/>
  <c r="S390" i="21"/>
  <c r="S383" i="21"/>
  <c r="S391" i="21"/>
  <c r="S376" i="21"/>
  <c r="S384" i="21"/>
  <c r="S392" i="21"/>
  <c r="S377" i="21"/>
  <c r="S385" i="21"/>
  <c r="S393" i="21"/>
  <c r="S386" i="21"/>
  <c r="S379" i="21"/>
  <c r="S387" i="21"/>
  <c r="S389" i="21"/>
  <c r="S380" i="21"/>
  <c r="S388" i="21"/>
  <c r="S381" i="21"/>
  <c r="S378" i="21"/>
  <c r="S375" i="21"/>
  <c r="S343" i="21"/>
  <c r="S351" i="21"/>
  <c r="S359" i="21"/>
  <c r="S357" i="21"/>
  <c r="S344" i="21"/>
  <c r="S352" i="21"/>
  <c r="S360" i="21"/>
  <c r="S358" i="21"/>
  <c r="S353" i="21"/>
  <c r="S350" i="21"/>
  <c r="S346" i="21"/>
  <c r="S354" i="21"/>
  <c r="S347" i="21"/>
  <c r="S355" i="21"/>
  <c r="S348" i="21"/>
  <c r="S356" i="21"/>
  <c r="S349" i="21"/>
  <c r="S345" i="21"/>
  <c r="S342" i="21"/>
  <c r="S320" i="21"/>
  <c r="S313" i="21"/>
  <c r="S321" i="21"/>
  <c r="S314" i="21"/>
  <c r="S322" i="21"/>
  <c r="S315" i="21"/>
  <c r="S323" i="21"/>
  <c r="S317" i="21"/>
  <c r="S325" i="21"/>
  <c r="S310" i="21"/>
  <c r="S318" i="21"/>
  <c r="S326" i="21"/>
  <c r="S311" i="21"/>
  <c r="S319" i="21"/>
  <c r="S327" i="21"/>
  <c r="S316" i="21"/>
  <c r="S324" i="21"/>
  <c r="S312" i="21"/>
  <c r="S309" i="21"/>
  <c r="S212" i="21"/>
  <c r="S220" i="21"/>
  <c r="S228" i="21"/>
  <c r="S223" i="21"/>
  <c r="S224" i="21"/>
  <c r="S211" i="21"/>
  <c r="S221" i="21"/>
  <c r="S216" i="21"/>
  <c r="S214" i="21"/>
  <c r="S222" i="21"/>
  <c r="S215" i="21"/>
  <c r="S225" i="21"/>
  <c r="S218" i="21"/>
  <c r="S219" i="21"/>
  <c r="S217" i="21"/>
  <c r="S226" i="21"/>
  <c r="S227" i="21"/>
  <c r="S213" i="21"/>
  <c r="S210" i="21"/>
  <c r="S188" i="21"/>
  <c r="S181" i="21"/>
  <c r="R181" i="21" s="1"/>
  <c r="S189" i="21"/>
  <c r="S182" i="21"/>
  <c r="S190" i="21"/>
  <c r="S183" i="21"/>
  <c r="S191" i="21"/>
  <c r="S185" i="21"/>
  <c r="S193" i="21"/>
  <c r="S178" i="21"/>
  <c r="S186" i="21"/>
  <c r="S194" i="21"/>
  <c r="S179" i="21"/>
  <c r="S187" i="21"/>
  <c r="S195" i="21"/>
  <c r="S184" i="21"/>
  <c r="S192" i="21"/>
  <c r="S180" i="21"/>
  <c r="S177" i="21"/>
  <c r="S162" i="21"/>
  <c r="S155" i="21"/>
  <c r="S157" i="21"/>
  <c r="S148" i="21"/>
  <c r="S156" i="21"/>
  <c r="S149" i="21"/>
  <c r="S160" i="21"/>
  <c r="S161" i="21"/>
  <c r="S150" i="21"/>
  <c r="S158" i="21"/>
  <c r="S151" i="21"/>
  <c r="S159" i="21"/>
  <c r="S152" i="21"/>
  <c r="S145" i="21"/>
  <c r="S153" i="21"/>
  <c r="S146" i="21"/>
  <c r="S154" i="21"/>
  <c r="S147" i="21"/>
  <c r="S144" i="21"/>
  <c r="S122" i="21"/>
  <c r="S115" i="21"/>
  <c r="S123" i="21"/>
  <c r="S116" i="21"/>
  <c r="S124" i="21"/>
  <c r="S117" i="21"/>
  <c r="S125" i="21"/>
  <c r="S119" i="21"/>
  <c r="S127" i="21"/>
  <c r="S112" i="21"/>
  <c r="R112" i="21" s="1"/>
  <c r="S120" i="21"/>
  <c r="S128" i="21"/>
  <c r="S113" i="21"/>
  <c r="S121" i="21"/>
  <c r="S129" i="21"/>
  <c r="S118" i="21"/>
  <c r="S126" i="21"/>
  <c r="S111" i="21"/>
  <c r="S114" i="21"/>
  <c r="R114" i="21" s="1"/>
  <c r="S80" i="21"/>
  <c r="R80" i="21" s="1"/>
  <c r="S89" i="21"/>
  <c r="S84" i="21"/>
  <c r="S93" i="21"/>
  <c r="S94" i="21"/>
  <c r="S79" i="21"/>
  <c r="S82" i="21"/>
  <c r="S90" i="21"/>
  <c r="S83" i="21"/>
  <c r="R83" i="21" s="1"/>
  <c r="S92" i="21"/>
  <c r="S86" i="21"/>
  <c r="S95" i="21"/>
  <c r="S88" i="21"/>
  <c r="S91" i="21"/>
  <c r="S85" i="21"/>
  <c r="S87" i="21"/>
  <c r="S96" i="21"/>
  <c r="S81" i="21"/>
  <c r="R81" i="21" s="1"/>
  <c r="S78" i="21"/>
  <c r="B41" i="36"/>
  <c r="F40" i="36"/>
  <c r="E40" i="36"/>
  <c r="D40" i="36"/>
  <c r="C40" i="36"/>
  <c r="R78" i="21"/>
  <c r="S299" i="21"/>
  <c r="R179" i="21"/>
  <c r="R178" i="21"/>
  <c r="R213" i="21"/>
  <c r="R215" i="21"/>
  <c r="R212" i="21"/>
  <c r="R214" i="21"/>
  <c r="S266" i="21"/>
  <c r="R79" i="21"/>
  <c r="R375" i="21"/>
  <c r="R311" i="21"/>
  <c r="R82" i="21"/>
  <c r="R147" i="21"/>
  <c r="B8" i="13"/>
  <c r="B9" i="32"/>
  <c r="B13" i="13"/>
  <c r="B11" i="13"/>
  <c r="B29" i="32"/>
  <c r="B27" i="32"/>
  <c r="B26" i="32"/>
  <c r="B22" i="32"/>
  <c r="B21" i="32"/>
  <c r="B6" i="32"/>
  <c r="S394" i="21" l="1"/>
  <c r="C61" i="37" s="1"/>
  <c r="S277" i="21"/>
  <c r="S278" i="21"/>
  <c r="S286" i="21"/>
  <c r="S294" i="21"/>
  <c r="S287" i="21"/>
  <c r="S280" i="21"/>
  <c r="S288" i="21"/>
  <c r="S284" i="21"/>
  <c r="S293" i="21"/>
  <c r="S281" i="21"/>
  <c r="S289" i="21"/>
  <c r="S291" i="21"/>
  <c r="S285" i="21"/>
  <c r="S282" i="21"/>
  <c r="S290" i="21"/>
  <c r="S283" i="21"/>
  <c r="S292" i="21"/>
  <c r="S279" i="21"/>
  <c r="S276" i="21"/>
  <c r="S254" i="21"/>
  <c r="S247" i="21"/>
  <c r="S255" i="21"/>
  <c r="S248" i="21"/>
  <c r="S256" i="21"/>
  <c r="S249" i="21"/>
  <c r="S257" i="21"/>
  <c r="S251" i="21"/>
  <c r="S259" i="21"/>
  <c r="S244" i="21"/>
  <c r="S252" i="21"/>
  <c r="S260" i="21"/>
  <c r="S245" i="21"/>
  <c r="S253" i="21"/>
  <c r="S261" i="21"/>
  <c r="S250" i="21"/>
  <c r="S258" i="21"/>
  <c r="S243" i="21"/>
  <c r="S246" i="21"/>
  <c r="B42" i="36"/>
  <c r="C41" i="36"/>
  <c r="F41" i="36"/>
  <c r="E41" i="36"/>
  <c r="D41" i="36"/>
  <c r="M217" i="21"/>
  <c r="R217" i="21"/>
  <c r="M216" i="21"/>
  <c r="R216" i="21"/>
  <c r="R211" i="21"/>
  <c r="R182" i="21"/>
  <c r="R378" i="21"/>
  <c r="R210" i="21"/>
  <c r="R180" i="21"/>
  <c r="R115" i="21"/>
  <c r="R312" i="21"/>
  <c r="S196" i="21"/>
  <c r="C55" i="37" s="1"/>
  <c r="R111" i="21"/>
  <c r="R309" i="21"/>
  <c r="R313" i="21"/>
  <c r="R177" i="21"/>
  <c r="R113" i="21"/>
  <c r="S229" i="21"/>
  <c r="C56" i="37" s="1"/>
  <c r="R376" i="21"/>
  <c r="R379" i="21"/>
  <c r="R377" i="21"/>
  <c r="R380" i="21"/>
  <c r="S328" i="21"/>
  <c r="C59" i="37" s="1"/>
  <c r="R314" i="21"/>
  <c r="R310" i="21"/>
  <c r="R346" i="21"/>
  <c r="R344" i="21"/>
  <c r="R345" i="21"/>
  <c r="S361" i="21"/>
  <c r="C60" i="37" s="1"/>
  <c r="R342" i="21"/>
  <c r="R347" i="21"/>
  <c r="R343" i="21"/>
  <c r="S130" i="21"/>
  <c r="C53" i="37" s="1"/>
  <c r="R116" i="21"/>
  <c r="R144" i="21"/>
  <c r="S163" i="21"/>
  <c r="C54" i="37" s="1"/>
  <c r="R149" i="21"/>
  <c r="R145" i="21"/>
  <c r="R148" i="21"/>
  <c r="R146" i="21"/>
  <c r="E20" i="32"/>
  <c r="F20" i="32"/>
  <c r="G20" i="32"/>
  <c r="H20" i="32"/>
  <c r="I20" i="32"/>
  <c r="J20" i="32"/>
  <c r="K20" i="32"/>
  <c r="L20" i="32"/>
  <c r="C106" i="3"/>
  <c r="C19" i="9" s="1"/>
  <c r="D32" i="32" s="1"/>
  <c r="E43" i="25"/>
  <c r="F43" i="25"/>
  <c r="G43" i="25"/>
  <c r="I43" i="25"/>
  <c r="J43" i="25"/>
  <c r="K43" i="25"/>
  <c r="L43" i="25"/>
  <c r="C41" i="25"/>
  <c r="D4" i="32"/>
  <c r="D3" i="38" s="1"/>
  <c r="B33" i="14"/>
  <c r="G18" i="11"/>
  <c r="H18" i="11" s="1"/>
  <c r="I18" i="11" s="1"/>
  <c r="J18" i="11" s="1"/>
  <c r="E20" i="11"/>
  <c r="B35" i="14" s="1"/>
  <c r="E19" i="11"/>
  <c r="B34" i="14" s="1"/>
  <c r="K18" i="11" l="1"/>
  <c r="L18" i="11" s="1"/>
  <c r="M18" i="11" s="1"/>
  <c r="N18" i="11" s="1"/>
  <c r="O18" i="11" s="1"/>
  <c r="P18" i="11" s="1"/>
  <c r="G41" i="11"/>
  <c r="H41" i="11" s="1"/>
  <c r="I41" i="11" s="1"/>
  <c r="J41" i="11" s="1"/>
  <c r="K41" i="11" s="1"/>
  <c r="L41" i="11" s="1"/>
  <c r="M41" i="11" s="1"/>
  <c r="AM71" i="1"/>
  <c r="G19" i="9"/>
  <c r="E42" i="36"/>
  <c r="D42" i="36"/>
  <c r="C42" i="36"/>
  <c r="F42" i="36"/>
  <c r="B43" i="36"/>
  <c r="B7" i="34"/>
  <c r="B8" i="32"/>
  <c r="L217" i="21"/>
  <c r="K217" i="21"/>
  <c r="L216" i="21"/>
  <c r="K216" i="21"/>
  <c r="E4" i="32"/>
  <c r="E3" i="38" s="1"/>
  <c r="D3" i="34"/>
  <c r="R276" i="21"/>
  <c r="R280" i="21"/>
  <c r="R281" i="21"/>
  <c r="R278" i="21"/>
  <c r="R277" i="21"/>
  <c r="R279" i="21"/>
  <c r="S295" i="21"/>
  <c r="C58" i="37" s="1"/>
  <c r="R246" i="21"/>
  <c r="R248" i="21"/>
  <c r="R247" i="21"/>
  <c r="S262" i="21"/>
  <c r="C57" i="37" s="1"/>
  <c r="R243" i="21"/>
  <c r="R244" i="21"/>
  <c r="R245" i="21"/>
  <c r="D29" i="15"/>
  <c r="B44" i="25"/>
  <c r="D41" i="25"/>
  <c r="E41" i="25" s="1"/>
  <c r="F41" i="25" s="1"/>
  <c r="G41" i="25" s="1"/>
  <c r="H41" i="25" s="1"/>
  <c r="I41" i="25" s="1"/>
  <c r="J41" i="25" s="1"/>
  <c r="K41" i="25" s="1"/>
  <c r="L41" i="25" s="1"/>
  <c r="B30" i="25"/>
  <c r="B25" i="25"/>
  <c r="B16" i="14" s="1"/>
  <c r="B26" i="25"/>
  <c r="B17" i="14" s="1"/>
  <c r="B27" i="25"/>
  <c r="B18" i="14" s="1"/>
  <c r="B28" i="25"/>
  <c r="B19" i="14" s="1"/>
  <c r="B29" i="25"/>
  <c r="B20" i="14" s="1"/>
  <c r="B36" i="25"/>
  <c r="B33" i="25"/>
  <c r="B22" i="14" s="1"/>
  <c r="B34" i="25"/>
  <c r="B23" i="14" s="1"/>
  <c r="B35" i="25"/>
  <c r="B24" i="14" s="1"/>
  <c r="B10" i="14"/>
  <c r="B9" i="14"/>
  <c r="B7" i="14"/>
  <c r="B6" i="14"/>
  <c r="B8" i="14"/>
  <c r="B5" i="14"/>
  <c r="B44" i="36" l="1"/>
  <c r="F43" i="36"/>
  <c r="E43" i="36"/>
  <c r="D43" i="36"/>
  <c r="C43" i="36"/>
  <c r="J216" i="21"/>
  <c r="J217" i="21"/>
  <c r="F4" i="32"/>
  <c r="E3" i="34"/>
  <c r="C23" i="9" l="1"/>
  <c r="AW59" i="1" s="1"/>
  <c r="F3" i="38"/>
  <c r="C44" i="36"/>
  <c r="B45" i="36"/>
  <c r="D44" i="36"/>
  <c r="F44" i="36"/>
  <c r="E44" i="36"/>
  <c r="G4" i="32"/>
  <c r="G3" i="38" s="1"/>
  <c r="F3" i="34"/>
  <c r="F45" i="36" l="1"/>
  <c r="E45" i="36"/>
  <c r="D45" i="36"/>
  <c r="C45" i="36"/>
  <c r="B46" i="36"/>
  <c r="H4" i="32"/>
  <c r="H3" i="38" s="1"/>
  <c r="G3" i="34"/>
  <c r="B47" i="36" l="1"/>
  <c r="F46" i="36"/>
  <c r="E46" i="36"/>
  <c r="D46" i="36"/>
  <c r="C46" i="36"/>
  <c r="I4" i="32"/>
  <c r="I3" i="38" s="1"/>
  <c r="H3" i="34"/>
  <c r="E38" i="30"/>
  <c r="E35" i="30"/>
  <c r="E29" i="30"/>
  <c r="E6" i="30"/>
  <c r="D47" i="36" l="1"/>
  <c r="C47" i="36"/>
  <c r="E47" i="36"/>
  <c r="B48" i="36"/>
  <c r="F47" i="36"/>
  <c r="J4" i="32"/>
  <c r="J3" i="38" s="1"/>
  <c r="I3" i="34"/>
  <c r="E34" i="30"/>
  <c r="E16" i="30"/>
  <c r="E30" i="30"/>
  <c r="E32" i="30"/>
  <c r="E31" i="30"/>
  <c r="E28" i="30"/>
  <c r="E33" i="30"/>
  <c r="S9" i="29"/>
  <c r="S10" i="29"/>
  <c r="S11" i="29"/>
  <c r="T12" i="29"/>
  <c r="S12" i="29"/>
  <c r="T13" i="29"/>
  <c r="S13" i="29"/>
  <c r="T14" i="29"/>
  <c r="S14" i="29"/>
  <c r="T15" i="29"/>
  <c r="S15" i="29"/>
  <c r="T16" i="29"/>
  <c r="S16" i="29"/>
  <c r="T17" i="29"/>
  <c r="S17" i="29"/>
  <c r="T18" i="29"/>
  <c r="S18" i="29"/>
  <c r="T19" i="29"/>
  <c r="S19" i="29"/>
  <c r="R20" i="29"/>
  <c r="T20" i="29" s="1"/>
  <c r="S20" i="29"/>
  <c r="R21" i="29"/>
  <c r="T21" i="29" s="1"/>
  <c r="S21" i="29"/>
  <c r="R22" i="29"/>
  <c r="T22" i="29" s="1"/>
  <c r="S22" i="29"/>
  <c r="R23" i="29"/>
  <c r="T23" i="29" s="1"/>
  <c r="S23" i="29"/>
  <c r="R24" i="29"/>
  <c r="T24" i="29" s="1"/>
  <c r="S24" i="29"/>
  <c r="R25" i="29"/>
  <c r="T25" i="29" s="1"/>
  <c r="S25" i="29"/>
  <c r="R26" i="29"/>
  <c r="T26" i="29" s="1"/>
  <c r="S26" i="29"/>
  <c r="M27" i="29"/>
  <c r="S27" i="29"/>
  <c r="M28" i="29"/>
  <c r="S28" i="29"/>
  <c r="M29" i="29"/>
  <c r="S29" i="29"/>
  <c r="S30" i="29"/>
  <c r="S31" i="29"/>
  <c r="S32" i="29"/>
  <c r="S33" i="29"/>
  <c r="M34" i="29"/>
  <c r="S34" i="29"/>
  <c r="M35" i="29"/>
  <c r="S35" i="29"/>
  <c r="M36" i="29"/>
  <c r="S36" i="29"/>
  <c r="M37" i="29"/>
  <c r="S37" i="29"/>
  <c r="S38" i="29"/>
  <c r="S39" i="29"/>
  <c r="S40" i="29"/>
  <c r="S41" i="29"/>
  <c r="M42" i="29"/>
  <c r="S42" i="29"/>
  <c r="M43" i="29"/>
  <c r="S43" i="29"/>
  <c r="M44" i="29"/>
  <c r="S44" i="29"/>
  <c r="M45" i="29"/>
  <c r="S45" i="29"/>
  <c r="S46" i="29"/>
  <c r="S47" i="29"/>
  <c r="S48" i="29"/>
  <c r="S49" i="29"/>
  <c r="M50" i="29"/>
  <c r="S50" i="29"/>
  <c r="M51" i="29"/>
  <c r="S51" i="29"/>
  <c r="M52" i="29"/>
  <c r="S52" i="29"/>
  <c r="M53" i="29"/>
  <c r="S53" i="29"/>
  <c r="S54" i="29"/>
  <c r="S55" i="29"/>
  <c r="S56" i="29"/>
  <c r="S57" i="29"/>
  <c r="M58" i="29"/>
  <c r="S58" i="29"/>
  <c r="M59" i="29"/>
  <c r="S59" i="29"/>
  <c r="M60" i="29"/>
  <c r="S60" i="29"/>
  <c r="M61" i="29"/>
  <c r="S61" i="29"/>
  <c r="S62" i="29"/>
  <c r="S63" i="29"/>
  <c r="S64" i="29"/>
  <c r="S65" i="29"/>
  <c r="M66" i="29"/>
  <c r="S66" i="29"/>
  <c r="M67" i="29"/>
  <c r="S67" i="29"/>
  <c r="M68" i="29"/>
  <c r="S68" i="29"/>
  <c r="M69" i="29"/>
  <c r="S69" i="29"/>
  <c r="S70" i="29"/>
  <c r="S71" i="29"/>
  <c r="S72" i="29"/>
  <c r="S73" i="29"/>
  <c r="M74" i="29"/>
  <c r="S74" i="29"/>
  <c r="M75" i="29"/>
  <c r="S75" i="29"/>
  <c r="M76" i="29"/>
  <c r="S76" i="29"/>
  <c r="M77" i="29"/>
  <c r="S77" i="29"/>
  <c r="S78" i="29"/>
  <c r="S79" i="29"/>
  <c r="S80" i="29"/>
  <c r="S81" i="29"/>
  <c r="M82" i="29"/>
  <c r="S82" i="29"/>
  <c r="M83" i="29"/>
  <c r="S83" i="29"/>
  <c r="M84" i="29"/>
  <c r="S84" i="29"/>
  <c r="M85" i="29"/>
  <c r="S85" i="29"/>
  <c r="S86" i="29"/>
  <c r="S87" i="29"/>
  <c r="S88" i="29"/>
  <c r="S89" i="29"/>
  <c r="M90" i="29"/>
  <c r="S90" i="29"/>
  <c r="M91" i="29"/>
  <c r="S91" i="29"/>
  <c r="M92" i="29"/>
  <c r="S92" i="29"/>
  <c r="M93" i="29"/>
  <c r="S93" i="29"/>
  <c r="S94" i="29"/>
  <c r="S95" i="29"/>
  <c r="S96" i="29"/>
  <c r="S97" i="29"/>
  <c r="M98" i="29"/>
  <c r="S98" i="29"/>
  <c r="M99" i="29"/>
  <c r="S99" i="29"/>
  <c r="M100" i="29"/>
  <c r="S100" i="29"/>
  <c r="M101" i="29"/>
  <c r="S101" i="29"/>
  <c r="S102" i="29"/>
  <c r="S103" i="29"/>
  <c r="S104" i="29"/>
  <c r="S105" i="29"/>
  <c r="M106" i="29"/>
  <c r="S106" i="29"/>
  <c r="M107" i="29"/>
  <c r="S107" i="29"/>
  <c r="M108" i="29"/>
  <c r="S108" i="29"/>
  <c r="M109" i="29"/>
  <c r="S109" i="29"/>
  <c r="S110" i="29"/>
  <c r="S111" i="29"/>
  <c r="S112" i="29"/>
  <c r="S113" i="29"/>
  <c r="M114" i="29"/>
  <c r="S114" i="29"/>
  <c r="M115" i="29"/>
  <c r="S115" i="29"/>
  <c r="M116" i="29"/>
  <c r="S116" i="29"/>
  <c r="M117" i="29"/>
  <c r="S117" i="29"/>
  <c r="S118" i="29"/>
  <c r="S119" i="29"/>
  <c r="S120" i="29"/>
  <c r="S121" i="29"/>
  <c r="M122" i="29"/>
  <c r="S122" i="29"/>
  <c r="M123" i="29"/>
  <c r="S123" i="29"/>
  <c r="M124" i="29"/>
  <c r="S124" i="29"/>
  <c r="M125" i="29"/>
  <c r="S125" i="29"/>
  <c r="S126" i="29"/>
  <c r="S127" i="29"/>
  <c r="S128" i="29"/>
  <c r="S129" i="29"/>
  <c r="M130" i="29"/>
  <c r="S130" i="29"/>
  <c r="M131" i="29"/>
  <c r="S131" i="29"/>
  <c r="M132" i="29"/>
  <c r="S132" i="29"/>
  <c r="M133" i="29"/>
  <c r="S133" i="29"/>
  <c r="S134" i="29"/>
  <c r="S135" i="29"/>
  <c r="S136" i="29"/>
  <c r="S137" i="29"/>
  <c r="M138" i="29"/>
  <c r="S138" i="29"/>
  <c r="M139" i="29"/>
  <c r="S139" i="29"/>
  <c r="M140" i="29"/>
  <c r="S140" i="29"/>
  <c r="M141" i="29"/>
  <c r="S141" i="29"/>
  <c r="S142" i="29"/>
  <c r="S143" i="29"/>
  <c r="S144" i="29"/>
  <c r="S145" i="29"/>
  <c r="M146" i="29"/>
  <c r="S146" i="29"/>
  <c r="M147" i="29"/>
  <c r="S147" i="29"/>
  <c r="M148" i="29"/>
  <c r="S148" i="29"/>
  <c r="M149" i="29"/>
  <c r="S149" i="29"/>
  <c r="S150" i="29"/>
  <c r="S151" i="29"/>
  <c r="L8" i="29"/>
  <c r="S8" i="29" s="1"/>
  <c r="D602" i="21"/>
  <c r="N36" i="37" s="1"/>
  <c r="D603" i="21"/>
  <c r="N37" i="37" s="1"/>
  <c r="D601" i="21"/>
  <c r="D586" i="21"/>
  <c r="D587" i="21"/>
  <c r="D585" i="21"/>
  <c r="D570" i="21"/>
  <c r="D571" i="21"/>
  <c r="D569" i="21"/>
  <c r="D554" i="21"/>
  <c r="K36" i="37" s="1"/>
  <c r="D555" i="21"/>
  <c r="K37" i="37" s="1"/>
  <c r="D553" i="21"/>
  <c r="K35" i="37" s="1"/>
  <c r="D537" i="21"/>
  <c r="D522" i="21"/>
  <c r="D523" i="21"/>
  <c r="D521" i="21"/>
  <c r="D506" i="21"/>
  <c r="D507" i="21"/>
  <c r="D505" i="21"/>
  <c r="D490" i="21"/>
  <c r="G36" i="37" s="1"/>
  <c r="D491" i="21"/>
  <c r="D489" i="21"/>
  <c r="D474" i="21"/>
  <c r="D475" i="21"/>
  <c r="D476" i="21"/>
  <c r="D593" i="21"/>
  <c r="N27" i="37" s="1"/>
  <c r="D594" i="21"/>
  <c r="D595" i="21"/>
  <c r="D596" i="21"/>
  <c r="D597" i="21"/>
  <c r="D598" i="21"/>
  <c r="D599" i="21"/>
  <c r="D600" i="21"/>
  <c r="D578" i="21"/>
  <c r="D579" i="21"/>
  <c r="M29" i="37" s="1"/>
  <c r="D580" i="21"/>
  <c r="M30" i="37" s="1"/>
  <c r="D581" i="21"/>
  <c r="M31" i="37" s="1"/>
  <c r="D582" i="21"/>
  <c r="M32" i="37" s="1"/>
  <c r="D583" i="21"/>
  <c r="M33" i="37" s="1"/>
  <c r="D584" i="21"/>
  <c r="D577" i="21"/>
  <c r="D562" i="21"/>
  <c r="D563" i="21"/>
  <c r="D564" i="21"/>
  <c r="D565" i="21"/>
  <c r="L31" i="37" s="1"/>
  <c r="D566" i="21"/>
  <c r="D567" i="21"/>
  <c r="L33" i="37" s="1"/>
  <c r="D568" i="21"/>
  <c r="D561" i="21"/>
  <c r="D546" i="21"/>
  <c r="D547" i="21"/>
  <c r="D548" i="21"/>
  <c r="D549" i="21"/>
  <c r="D550" i="21"/>
  <c r="D551" i="21"/>
  <c r="D552" i="21"/>
  <c r="D545" i="21"/>
  <c r="D530" i="21"/>
  <c r="D531" i="21"/>
  <c r="D532" i="21"/>
  <c r="D533" i="21"/>
  <c r="D534" i="21"/>
  <c r="D535" i="21"/>
  <c r="D536" i="21"/>
  <c r="D529" i="21"/>
  <c r="D514" i="21"/>
  <c r="D515" i="21"/>
  <c r="D516" i="21"/>
  <c r="D517" i="21"/>
  <c r="D518" i="21"/>
  <c r="D519" i="21"/>
  <c r="D520" i="21"/>
  <c r="D498" i="21"/>
  <c r="D499" i="21"/>
  <c r="D500" i="21"/>
  <c r="D501" i="21"/>
  <c r="D502" i="21"/>
  <c r="D503" i="21"/>
  <c r="D504" i="21"/>
  <c r="D497" i="21"/>
  <c r="D483" i="21"/>
  <c r="D484" i="21"/>
  <c r="D485" i="21"/>
  <c r="D486" i="21"/>
  <c r="D487" i="21"/>
  <c r="D488" i="21"/>
  <c r="D482" i="21"/>
  <c r="D481" i="21"/>
  <c r="D466" i="21"/>
  <c r="D467" i="21"/>
  <c r="D468" i="21"/>
  <c r="D469" i="21"/>
  <c r="D470" i="21"/>
  <c r="D471" i="21"/>
  <c r="D472" i="21"/>
  <c r="D458" i="21"/>
  <c r="D459" i="21"/>
  <c r="D457" i="21"/>
  <c r="N62" i="29" l="1"/>
  <c r="U62" i="29" s="1"/>
  <c r="F33" i="37"/>
  <c r="N79" i="29"/>
  <c r="U79" i="29" s="1"/>
  <c r="G34" i="37"/>
  <c r="N109" i="29"/>
  <c r="U109" i="29" s="1"/>
  <c r="I32" i="37"/>
  <c r="N125" i="29"/>
  <c r="U125" i="29" s="1"/>
  <c r="J32" i="37"/>
  <c r="N157" i="29"/>
  <c r="U157" i="29" s="1"/>
  <c r="L32" i="37"/>
  <c r="N188" i="29"/>
  <c r="U188" i="29" s="1"/>
  <c r="N31" i="37"/>
  <c r="N60" i="29"/>
  <c r="U60" i="29" s="1"/>
  <c r="F31" i="37"/>
  <c r="N139" i="29"/>
  <c r="U139" i="29" s="1"/>
  <c r="K30" i="37"/>
  <c r="N141" i="29"/>
  <c r="U141" i="29" s="1"/>
  <c r="K32" i="37"/>
  <c r="N77" i="29"/>
  <c r="U77" i="29" s="1"/>
  <c r="G32" i="37"/>
  <c r="N92" i="29"/>
  <c r="U92" i="29" s="1"/>
  <c r="H31" i="37"/>
  <c r="N107" i="29"/>
  <c r="U107" i="29" s="1"/>
  <c r="I30" i="37"/>
  <c r="N123" i="29"/>
  <c r="U123" i="29" s="1"/>
  <c r="J30" i="37"/>
  <c r="N155" i="29"/>
  <c r="U155" i="29" s="1"/>
  <c r="L30" i="37"/>
  <c r="N186" i="29"/>
  <c r="U186" i="29" s="1"/>
  <c r="N29" i="37"/>
  <c r="N177" i="29"/>
  <c r="U177" i="29" s="1"/>
  <c r="M36" i="37"/>
  <c r="N59" i="29"/>
  <c r="U59" i="29" s="1"/>
  <c r="F30" i="37"/>
  <c r="N76" i="29"/>
  <c r="U76" i="29" s="1"/>
  <c r="G31" i="37"/>
  <c r="N91" i="29"/>
  <c r="U91" i="29" s="1"/>
  <c r="H30" i="37"/>
  <c r="N106" i="29"/>
  <c r="U106" i="29" s="1"/>
  <c r="I29" i="37"/>
  <c r="N122" i="29"/>
  <c r="U122" i="29" s="1"/>
  <c r="J29" i="37"/>
  <c r="N138" i="29"/>
  <c r="U138" i="29" s="1"/>
  <c r="K29" i="37"/>
  <c r="N154" i="29"/>
  <c r="U154" i="29" s="1"/>
  <c r="L29" i="37"/>
  <c r="N185" i="29"/>
  <c r="U185" i="29" s="1"/>
  <c r="N28" i="37"/>
  <c r="N96" i="29"/>
  <c r="U96" i="29" s="1"/>
  <c r="H35" i="37"/>
  <c r="N192" i="29"/>
  <c r="U192" i="29" s="1"/>
  <c r="N35" i="37"/>
  <c r="N48" i="29"/>
  <c r="U48" i="29" s="1"/>
  <c r="E35" i="37"/>
  <c r="N137" i="29"/>
  <c r="U137" i="29" s="1"/>
  <c r="K28" i="37"/>
  <c r="N105" i="29"/>
  <c r="U105" i="29" s="1"/>
  <c r="I28" i="37"/>
  <c r="N50" i="29"/>
  <c r="U50" i="29" s="1"/>
  <c r="E37" i="37"/>
  <c r="N57" i="29"/>
  <c r="U57" i="29" s="1"/>
  <c r="F28" i="37"/>
  <c r="N74" i="29"/>
  <c r="U74" i="29" s="1"/>
  <c r="G29" i="37"/>
  <c r="N89" i="29"/>
  <c r="U89" i="29" s="1"/>
  <c r="H28" i="37"/>
  <c r="N120" i="29"/>
  <c r="U120" i="29" s="1"/>
  <c r="J27" i="37"/>
  <c r="N136" i="29"/>
  <c r="U136" i="29" s="1"/>
  <c r="K27" i="37"/>
  <c r="N152" i="29"/>
  <c r="U152" i="29" s="1"/>
  <c r="L27" i="37"/>
  <c r="N168" i="29"/>
  <c r="U168" i="29" s="1"/>
  <c r="M27" i="37"/>
  <c r="N191" i="29"/>
  <c r="U191" i="29" s="1"/>
  <c r="N34" i="37"/>
  <c r="N67" i="29"/>
  <c r="U67" i="29" s="1"/>
  <c r="F38" i="37"/>
  <c r="N97" i="29"/>
  <c r="U97" i="29" s="1"/>
  <c r="H36" i="37"/>
  <c r="N58" i="29"/>
  <c r="U58" i="29" s="1"/>
  <c r="F29" i="37"/>
  <c r="N75" i="29"/>
  <c r="U75" i="29" s="1"/>
  <c r="G30" i="37"/>
  <c r="N90" i="29"/>
  <c r="U90" i="29" s="1"/>
  <c r="H29" i="37"/>
  <c r="N121" i="29"/>
  <c r="U121" i="29" s="1"/>
  <c r="J28" i="37"/>
  <c r="N153" i="29"/>
  <c r="U153" i="29" s="1"/>
  <c r="L28" i="37"/>
  <c r="N169" i="29"/>
  <c r="U169" i="29" s="1"/>
  <c r="M28" i="37"/>
  <c r="N98" i="29"/>
  <c r="U98" i="29" s="1"/>
  <c r="H37" i="37"/>
  <c r="N72" i="29"/>
  <c r="U72" i="29" s="1"/>
  <c r="G27" i="37"/>
  <c r="N88" i="29"/>
  <c r="U88" i="29" s="1"/>
  <c r="H27" i="37"/>
  <c r="N127" i="29"/>
  <c r="U127" i="29" s="1"/>
  <c r="J34" i="37"/>
  <c r="N143" i="29"/>
  <c r="U143" i="29" s="1"/>
  <c r="K34" i="37"/>
  <c r="N159" i="29"/>
  <c r="U159" i="29" s="1"/>
  <c r="L34" i="37"/>
  <c r="N175" i="29"/>
  <c r="U175" i="29" s="1"/>
  <c r="M34" i="37"/>
  <c r="N190" i="29"/>
  <c r="U190" i="29" s="1"/>
  <c r="N33" i="37"/>
  <c r="N66" i="29"/>
  <c r="U66" i="29" s="1"/>
  <c r="F37" i="37"/>
  <c r="N112" i="29"/>
  <c r="U112" i="29" s="1"/>
  <c r="I35" i="37"/>
  <c r="N49" i="29"/>
  <c r="U49" i="29" s="1"/>
  <c r="E36" i="37"/>
  <c r="N111" i="29"/>
  <c r="U111" i="29" s="1"/>
  <c r="I34" i="37"/>
  <c r="N63" i="29"/>
  <c r="U63" i="29" s="1"/>
  <c r="F34" i="37"/>
  <c r="N73" i="29"/>
  <c r="U73" i="29" s="1"/>
  <c r="G28" i="37"/>
  <c r="N95" i="29"/>
  <c r="U95" i="29" s="1"/>
  <c r="H34" i="37"/>
  <c r="N110" i="29"/>
  <c r="U110" i="29" s="1"/>
  <c r="I33" i="37"/>
  <c r="N126" i="29"/>
  <c r="U126" i="29" s="1"/>
  <c r="J33" i="37"/>
  <c r="N142" i="29"/>
  <c r="U142" i="29" s="1"/>
  <c r="K33" i="37"/>
  <c r="N189" i="29"/>
  <c r="U189" i="29" s="1"/>
  <c r="N32" i="37"/>
  <c r="N65" i="29"/>
  <c r="U65" i="29" s="1"/>
  <c r="F36" i="37"/>
  <c r="N114" i="29"/>
  <c r="U114" i="29" s="1"/>
  <c r="I37" i="37"/>
  <c r="N94" i="29"/>
  <c r="U94" i="29" s="1"/>
  <c r="H33" i="37"/>
  <c r="N80" i="29"/>
  <c r="U80" i="29" s="1"/>
  <c r="G35" i="37"/>
  <c r="N113" i="29"/>
  <c r="U113" i="29" s="1"/>
  <c r="I36" i="37"/>
  <c r="N176" i="29"/>
  <c r="U176" i="29" s="1"/>
  <c r="M35" i="37"/>
  <c r="N61" i="29"/>
  <c r="U61" i="29" s="1"/>
  <c r="F32" i="37"/>
  <c r="N78" i="29"/>
  <c r="U78" i="29" s="1"/>
  <c r="G33" i="37"/>
  <c r="N93" i="29"/>
  <c r="U93" i="29" s="1"/>
  <c r="H32" i="37"/>
  <c r="N108" i="29"/>
  <c r="U108" i="29" s="1"/>
  <c r="I31" i="37"/>
  <c r="N124" i="29"/>
  <c r="U124" i="29" s="1"/>
  <c r="J31" i="37"/>
  <c r="N140" i="29"/>
  <c r="U140" i="29" s="1"/>
  <c r="K31" i="37"/>
  <c r="N187" i="29"/>
  <c r="U187" i="29" s="1"/>
  <c r="N30" i="37"/>
  <c r="N82" i="29"/>
  <c r="U82" i="29" s="1"/>
  <c r="G37" i="37"/>
  <c r="N128" i="29"/>
  <c r="U128" i="29" s="1"/>
  <c r="J35" i="37"/>
  <c r="N178" i="29"/>
  <c r="U178" i="29" s="1"/>
  <c r="M37" i="37"/>
  <c r="N160" i="29"/>
  <c r="U160" i="29" s="1"/>
  <c r="L35" i="37"/>
  <c r="N162" i="29"/>
  <c r="U162" i="29" s="1"/>
  <c r="L37" i="37"/>
  <c r="N161" i="29"/>
  <c r="U161" i="29" s="1"/>
  <c r="L36" i="37"/>
  <c r="B49" i="36"/>
  <c r="F48" i="36"/>
  <c r="E48" i="36"/>
  <c r="D48" i="36"/>
  <c r="C48" i="36"/>
  <c r="N173" i="29"/>
  <c r="U173" i="29" s="1"/>
  <c r="N156" i="29"/>
  <c r="U156" i="29" s="1"/>
  <c r="N172" i="29"/>
  <c r="U172" i="29" s="1"/>
  <c r="N193" i="29"/>
  <c r="U193" i="29" s="1"/>
  <c r="N171" i="29"/>
  <c r="U171" i="29" s="1"/>
  <c r="N81" i="29"/>
  <c r="N170" i="29"/>
  <c r="U170" i="29" s="1"/>
  <c r="N144" i="29"/>
  <c r="N184" i="29"/>
  <c r="U184" i="29" s="1"/>
  <c r="N194" i="29"/>
  <c r="U194" i="29" s="1"/>
  <c r="N146" i="29"/>
  <c r="N145" i="29"/>
  <c r="N158" i="29"/>
  <c r="U158" i="29" s="1"/>
  <c r="N174" i="29"/>
  <c r="U174" i="29" s="1"/>
  <c r="K4" i="32"/>
  <c r="K3" i="38" s="1"/>
  <c r="J3" i="34"/>
  <c r="R93" i="29"/>
  <c r="T93" i="29" s="1"/>
  <c r="R29" i="29"/>
  <c r="T29" i="29" s="1"/>
  <c r="R92" i="29"/>
  <c r="T92" i="29" s="1"/>
  <c r="R28" i="29"/>
  <c r="T28" i="29" s="1"/>
  <c r="R141" i="29"/>
  <c r="T141" i="29" s="1"/>
  <c r="R77" i="29"/>
  <c r="T77" i="29" s="1"/>
  <c r="R140" i="29"/>
  <c r="T140" i="29" s="1"/>
  <c r="R76" i="29"/>
  <c r="T76" i="29" s="1"/>
  <c r="R125" i="29"/>
  <c r="T125" i="29" s="1"/>
  <c r="R61" i="29"/>
  <c r="T61" i="29" s="1"/>
  <c r="R124" i="29"/>
  <c r="T124" i="29" s="1"/>
  <c r="R60" i="29"/>
  <c r="T60" i="29" s="1"/>
  <c r="R109" i="29"/>
  <c r="T109" i="29" s="1"/>
  <c r="R45" i="29"/>
  <c r="T45" i="29" s="1"/>
  <c r="R108" i="29"/>
  <c r="T108" i="29" s="1"/>
  <c r="R44" i="29"/>
  <c r="T44" i="29" s="1"/>
  <c r="M143" i="29"/>
  <c r="R143" i="29"/>
  <c r="T143" i="29" s="1"/>
  <c r="M95" i="29"/>
  <c r="R95" i="29"/>
  <c r="T95" i="29" s="1"/>
  <c r="M150" i="29"/>
  <c r="R150" i="29"/>
  <c r="T150" i="29" s="1"/>
  <c r="M142" i="29"/>
  <c r="R142" i="29"/>
  <c r="T142" i="29" s="1"/>
  <c r="M134" i="29"/>
  <c r="R134" i="29"/>
  <c r="T134" i="29" s="1"/>
  <c r="M126" i="29"/>
  <c r="R126" i="29"/>
  <c r="T126" i="29" s="1"/>
  <c r="M118" i="29"/>
  <c r="R118" i="29"/>
  <c r="T118" i="29" s="1"/>
  <c r="M110" i="29"/>
  <c r="R110" i="29"/>
  <c r="T110" i="29" s="1"/>
  <c r="M102" i="29"/>
  <c r="R102" i="29"/>
  <c r="T102" i="29" s="1"/>
  <c r="M94" i="29"/>
  <c r="R94" i="29"/>
  <c r="T94" i="29" s="1"/>
  <c r="M86" i="29"/>
  <c r="R86" i="29"/>
  <c r="T86" i="29" s="1"/>
  <c r="M78" i="29"/>
  <c r="R78" i="29"/>
  <c r="T78" i="29" s="1"/>
  <c r="M70" i="29"/>
  <c r="R70" i="29"/>
  <c r="T70" i="29" s="1"/>
  <c r="M62" i="29"/>
  <c r="R62" i="29"/>
  <c r="T62" i="29" s="1"/>
  <c r="M54" i="29"/>
  <c r="R54" i="29"/>
  <c r="T54" i="29" s="1"/>
  <c r="M46" i="29"/>
  <c r="R46" i="29"/>
  <c r="T46" i="29" s="1"/>
  <c r="M38" i="29"/>
  <c r="R38" i="29"/>
  <c r="T38" i="29" s="1"/>
  <c r="M30" i="29"/>
  <c r="R30" i="29"/>
  <c r="T30" i="29" s="1"/>
  <c r="R139" i="29"/>
  <c r="T139" i="29" s="1"/>
  <c r="R123" i="29"/>
  <c r="T123" i="29" s="1"/>
  <c r="R107" i="29"/>
  <c r="T107" i="29" s="1"/>
  <c r="R91" i="29"/>
  <c r="T91" i="29" s="1"/>
  <c r="R75" i="29"/>
  <c r="T75" i="29" s="1"/>
  <c r="R59" i="29"/>
  <c r="T59" i="29" s="1"/>
  <c r="R43" i="29"/>
  <c r="T43" i="29" s="1"/>
  <c r="R27" i="29"/>
  <c r="T27" i="29" s="1"/>
  <c r="M135" i="29"/>
  <c r="R135" i="29"/>
  <c r="T135" i="29" s="1"/>
  <c r="M127" i="29"/>
  <c r="R127" i="29"/>
  <c r="T127" i="29" s="1"/>
  <c r="M119" i="29"/>
  <c r="R119" i="29"/>
  <c r="T119" i="29" s="1"/>
  <c r="M79" i="29"/>
  <c r="R79" i="29"/>
  <c r="T79" i="29" s="1"/>
  <c r="M71" i="29"/>
  <c r="R71" i="29"/>
  <c r="T71" i="29" s="1"/>
  <c r="R138" i="29"/>
  <c r="T138" i="29" s="1"/>
  <c r="R122" i="29"/>
  <c r="T122" i="29" s="1"/>
  <c r="R106" i="29"/>
  <c r="T106" i="29" s="1"/>
  <c r="R90" i="29"/>
  <c r="T90" i="29" s="1"/>
  <c r="R74" i="29"/>
  <c r="T74" i="29" s="1"/>
  <c r="R58" i="29"/>
  <c r="T58" i="29" s="1"/>
  <c r="R42" i="29"/>
  <c r="T42" i="29" s="1"/>
  <c r="M63" i="29"/>
  <c r="R63" i="29"/>
  <c r="T63" i="29" s="1"/>
  <c r="M55" i="29"/>
  <c r="R55" i="29"/>
  <c r="T55" i="29" s="1"/>
  <c r="M97" i="29"/>
  <c r="R97" i="29"/>
  <c r="T97" i="29" s="1"/>
  <c r="M57" i="29"/>
  <c r="R57" i="29"/>
  <c r="T57" i="29" s="1"/>
  <c r="M33" i="29"/>
  <c r="R33" i="29"/>
  <c r="T33" i="29" s="1"/>
  <c r="R117" i="29"/>
  <c r="T117" i="29" s="1"/>
  <c r="R69" i="29"/>
  <c r="T69" i="29" s="1"/>
  <c r="R37" i="29"/>
  <c r="T37" i="29" s="1"/>
  <c r="R148" i="29"/>
  <c r="T148" i="29" s="1"/>
  <c r="R132" i="29"/>
  <c r="T132" i="29" s="1"/>
  <c r="R116" i="29"/>
  <c r="T116" i="29" s="1"/>
  <c r="R100" i="29"/>
  <c r="T100" i="29" s="1"/>
  <c r="R84" i="29"/>
  <c r="T84" i="29" s="1"/>
  <c r="R68" i="29"/>
  <c r="T68" i="29" s="1"/>
  <c r="R52" i="29"/>
  <c r="T52" i="29" s="1"/>
  <c r="R36" i="29"/>
  <c r="T36" i="29" s="1"/>
  <c r="M151" i="29"/>
  <c r="R151" i="29"/>
  <c r="T151" i="29" s="1"/>
  <c r="M87" i="29"/>
  <c r="R87" i="29"/>
  <c r="T87" i="29" s="1"/>
  <c r="M31" i="29"/>
  <c r="R31" i="29"/>
  <c r="T31" i="29" s="1"/>
  <c r="M145" i="29"/>
  <c r="R145" i="29"/>
  <c r="T145" i="29" s="1"/>
  <c r="M137" i="29"/>
  <c r="R137" i="29"/>
  <c r="T137" i="29" s="1"/>
  <c r="M121" i="29"/>
  <c r="R121" i="29"/>
  <c r="T121" i="29" s="1"/>
  <c r="M105" i="29"/>
  <c r="R105" i="29"/>
  <c r="T105" i="29" s="1"/>
  <c r="M73" i="29"/>
  <c r="R73" i="29"/>
  <c r="T73" i="29" s="1"/>
  <c r="M49" i="29"/>
  <c r="R49" i="29"/>
  <c r="T49" i="29" s="1"/>
  <c r="R149" i="29"/>
  <c r="T149" i="29" s="1"/>
  <c r="R85" i="29"/>
  <c r="T85" i="29" s="1"/>
  <c r="M144" i="29"/>
  <c r="R144" i="29"/>
  <c r="T144" i="29" s="1"/>
  <c r="M136" i="29"/>
  <c r="R136" i="29"/>
  <c r="T136" i="29" s="1"/>
  <c r="M128" i="29"/>
  <c r="R128" i="29"/>
  <c r="T128" i="29" s="1"/>
  <c r="M120" i="29"/>
  <c r="R120" i="29"/>
  <c r="T120" i="29" s="1"/>
  <c r="M112" i="29"/>
  <c r="R112" i="29"/>
  <c r="T112" i="29" s="1"/>
  <c r="M104" i="29"/>
  <c r="R104" i="29"/>
  <c r="T104" i="29" s="1"/>
  <c r="M96" i="29"/>
  <c r="R96" i="29"/>
  <c r="T96" i="29" s="1"/>
  <c r="M88" i="29"/>
  <c r="R88" i="29"/>
  <c r="T88" i="29" s="1"/>
  <c r="M80" i="29"/>
  <c r="R80" i="29"/>
  <c r="T80" i="29" s="1"/>
  <c r="M72" i="29"/>
  <c r="R72" i="29"/>
  <c r="T72" i="29" s="1"/>
  <c r="M64" i="29"/>
  <c r="R64" i="29"/>
  <c r="T64" i="29" s="1"/>
  <c r="M56" i="29"/>
  <c r="R56" i="29"/>
  <c r="T56" i="29" s="1"/>
  <c r="M48" i="29"/>
  <c r="R48" i="29"/>
  <c r="T48" i="29" s="1"/>
  <c r="M40" i="29"/>
  <c r="R40" i="29"/>
  <c r="T40" i="29" s="1"/>
  <c r="M32" i="29"/>
  <c r="R32" i="29"/>
  <c r="T32" i="29" s="1"/>
  <c r="R147" i="29"/>
  <c r="T147" i="29" s="1"/>
  <c r="R131" i="29"/>
  <c r="T131" i="29" s="1"/>
  <c r="R115" i="29"/>
  <c r="T115" i="29" s="1"/>
  <c r="R99" i="29"/>
  <c r="T99" i="29" s="1"/>
  <c r="R83" i="29"/>
  <c r="T83" i="29" s="1"/>
  <c r="R67" i="29"/>
  <c r="T67" i="29" s="1"/>
  <c r="R51" i="29"/>
  <c r="T51" i="29" s="1"/>
  <c r="R35" i="29"/>
  <c r="T35" i="29" s="1"/>
  <c r="M111" i="29"/>
  <c r="R111" i="29"/>
  <c r="T111" i="29" s="1"/>
  <c r="M103" i="29"/>
  <c r="R103" i="29"/>
  <c r="T103" i="29" s="1"/>
  <c r="M47" i="29"/>
  <c r="R47" i="29"/>
  <c r="T47" i="29" s="1"/>
  <c r="M39" i="29"/>
  <c r="R39" i="29"/>
  <c r="T39" i="29" s="1"/>
  <c r="M129" i="29"/>
  <c r="R129" i="29"/>
  <c r="T129" i="29" s="1"/>
  <c r="M113" i="29"/>
  <c r="R113" i="29"/>
  <c r="T113" i="29" s="1"/>
  <c r="M89" i="29"/>
  <c r="R89" i="29"/>
  <c r="T89" i="29" s="1"/>
  <c r="M81" i="29"/>
  <c r="R81" i="29"/>
  <c r="T81" i="29" s="1"/>
  <c r="M65" i="29"/>
  <c r="R65" i="29"/>
  <c r="T65" i="29" s="1"/>
  <c r="M41" i="29"/>
  <c r="R41" i="29"/>
  <c r="T41" i="29" s="1"/>
  <c r="R133" i="29"/>
  <c r="T133" i="29" s="1"/>
  <c r="R101" i="29"/>
  <c r="T101" i="29" s="1"/>
  <c r="R53" i="29"/>
  <c r="T53" i="29" s="1"/>
  <c r="R146" i="29"/>
  <c r="T146" i="29" s="1"/>
  <c r="R130" i="29"/>
  <c r="T130" i="29" s="1"/>
  <c r="R114" i="29"/>
  <c r="T114" i="29" s="1"/>
  <c r="R98" i="29"/>
  <c r="T98" i="29" s="1"/>
  <c r="R82" i="29"/>
  <c r="T82" i="29" s="1"/>
  <c r="R66" i="29"/>
  <c r="T66" i="29" s="1"/>
  <c r="R50" i="29"/>
  <c r="T50" i="29" s="1"/>
  <c r="R34" i="29"/>
  <c r="T34" i="29" s="1"/>
  <c r="D449" i="21"/>
  <c r="D450" i="21"/>
  <c r="D451" i="21"/>
  <c r="D452" i="21"/>
  <c r="D453" i="21"/>
  <c r="D454" i="21"/>
  <c r="D455" i="21"/>
  <c r="D456" i="21"/>
  <c r="D441" i="21"/>
  <c r="D434" i="21"/>
  <c r="D435" i="21"/>
  <c r="D436" i="21"/>
  <c r="D437" i="21"/>
  <c r="D438" i="21"/>
  <c r="D439" i="21"/>
  <c r="D440" i="21"/>
  <c r="D433" i="21"/>
  <c r="D426" i="21"/>
  <c r="D427" i="21"/>
  <c r="D418" i="21"/>
  <c r="C28" i="37" s="1"/>
  <c r="D419" i="21"/>
  <c r="D420" i="21"/>
  <c r="D421" i="21"/>
  <c r="D422" i="21"/>
  <c r="D423" i="21"/>
  <c r="D424" i="21"/>
  <c r="N8" i="29"/>
  <c r="U8" i="29" s="1"/>
  <c r="M15" i="29"/>
  <c r="M16" i="29"/>
  <c r="M17" i="29"/>
  <c r="M18" i="29"/>
  <c r="M19" i="29"/>
  <c r="M20" i="29"/>
  <c r="M21" i="29"/>
  <c r="M22" i="29"/>
  <c r="M23" i="29"/>
  <c r="M24" i="29"/>
  <c r="M25" i="29"/>
  <c r="M26" i="29"/>
  <c r="N27" i="29" l="1"/>
  <c r="U27" i="29" s="1"/>
  <c r="D30" i="37"/>
  <c r="N43" i="29"/>
  <c r="U43" i="29" s="1"/>
  <c r="E30" i="37"/>
  <c r="N29" i="29"/>
  <c r="U29" i="29" s="1"/>
  <c r="D32" i="37"/>
  <c r="N28" i="29"/>
  <c r="U28" i="29" s="1"/>
  <c r="D31" i="37"/>
  <c r="N18" i="29"/>
  <c r="U18" i="29" s="1"/>
  <c r="C37" i="37"/>
  <c r="N26" i="29"/>
  <c r="U26" i="29" s="1"/>
  <c r="D29" i="37"/>
  <c r="N42" i="29"/>
  <c r="U42" i="29" s="1"/>
  <c r="E29" i="37"/>
  <c r="N15" i="29"/>
  <c r="U15" i="29" s="1"/>
  <c r="C34" i="37"/>
  <c r="N17" i="29"/>
  <c r="U17" i="29" s="1"/>
  <c r="C36" i="37"/>
  <c r="N41" i="29"/>
  <c r="U41" i="29" s="1"/>
  <c r="E28" i="37"/>
  <c r="N24" i="29"/>
  <c r="U24" i="29" s="1"/>
  <c r="D27" i="37"/>
  <c r="N13" i="29"/>
  <c r="U13" i="29" s="1"/>
  <c r="C32" i="37"/>
  <c r="N31" i="29"/>
  <c r="U31" i="29" s="1"/>
  <c r="D34" i="37"/>
  <c r="N47" i="29"/>
  <c r="U47" i="29" s="1"/>
  <c r="E34" i="37"/>
  <c r="N11" i="29"/>
  <c r="U11" i="29" s="1"/>
  <c r="C30" i="37"/>
  <c r="N45" i="29"/>
  <c r="U45" i="29" s="1"/>
  <c r="E32" i="37"/>
  <c r="N25" i="29"/>
  <c r="U25" i="29" s="1"/>
  <c r="D28" i="37"/>
  <c r="N14" i="29"/>
  <c r="U14" i="29" s="1"/>
  <c r="C33" i="37"/>
  <c r="N32" i="29"/>
  <c r="U32" i="29" s="1"/>
  <c r="D35" i="37"/>
  <c r="N40" i="29"/>
  <c r="U40" i="29" s="1"/>
  <c r="E27" i="37"/>
  <c r="N12" i="29"/>
  <c r="U12" i="29" s="1"/>
  <c r="C31" i="37"/>
  <c r="N30" i="29"/>
  <c r="U30" i="29" s="1"/>
  <c r="D33" i="37"/>
  <c r="N46" i="29"/>
  <c r="U46" i="29" s="1"/>
  <c r="E33" i="37"/>
  <c r="N10" i="29"/>
  <c r="U10" i="29" s="1"/>
  <c r="C29" i="37"/>
  <c r="N44" i="29"/>
  <c r="U44" i="29" s="1"/>
  <c r="E31" i="37"/>
  <c r="B50" i="36"/>
  <c r="C49" i="36"/>
  <c r="F49" i="36"/>
  <c r="E49" i="36"/>
  <c r="D49" i="36"/>
  <c r="U145" i="29"/>
  <c r="U81" i="29"/>
  <c r="U144" i="29"/>
  <c r="U146" i="29"/>
  <c r="O31" i="30"/>
  <c r="M33" i="30"/>
  <c r="K30" i="30"/>
  <c r="P28" i="30"/>
  <c r="Q32" i="30"/>
  <c r="P29" i="30"/>
  <c r="O30" i="30"/>
  <c r="O33" i="30"/>
  <c r="N29" i="30"/>
  <c r="K25" i="24"/>
  <c r="K28" i="30"/>
  <c r="Q33" i="30"/>
  <c r="O28" i="30"/>
  <c r="M28" i="30"/>
  <c r="N9" i="29"/>
  <c r="U9" i="29" s="1"/>
  <c r="Q34" i="30"/>
  <c r="K29" i="30"/>
  <c r="K33" i="30"/>
  <c r="O29" i="30"/>
  <c r="Q29" i="30"/>
  <c r="M30" i="30"/>
  <c r="N32" i="30"/>
  <c r="Q30" i="30"/>
  <c r="Q31" i="30"/>
  <c r="M34" i="30"/>
  <c r="L34" i="30"/>
  <c r="N33" i="30"/>
  <c r="K31" i="30"/>
  <c r="L32" i="30"/>
  <c r="N28" i="30"/>
  <c r="L29" i="30"/>
  <c r="M32" i="30"/>
  <c r="K32" i="30"/>
  <c r="M35" i="30"/>
  <c r="K34" i="30"/>
  <c r="N30" i="30"/>
  <c r="L31" i="30"/>
  <c r="N35" i="30"/>
  <c r="K35" i="30"/>
  <c r="L30" i="30"/>
  <c r="M31" i="30"/>
  <c r="Q35" i="30"/>
  <c r="L33" i="30"/>
  <c r="N34" i="30"/>
  <c r="L35" i="30"/>
  <c r="L28" i="30"/>
  <c r="L4" i="32"/>
  <c r="L3" i="38" s="1"/>
  <c r="K3" i="34"/>
  <c r="N31" i="30"/>
  <c r="P35" i="30"/>
  <c r="O35" i="30"/>
  <c r="M14" i="29"/>
  <c r="M13" i="29"/>
  <c r="M12" i="29"/>
  <c r="T11" i="29"/>
  <c r="M11" i="29"/>
  <c r="T10" i="29"/>
  <c r="M10" i="29"/>
  <c r="T9" i="29"/>
  <c r="M9" i="29"/>
  <c r="O46" i="30" l="1"/>
  <c r="E50" i="36"/>
  <c r="D50" i="36"/>
  <c r="C50" i="36"/>
  <c r="B51" i="36"/>
  <c r="F50" i="36"/>
  <c r="G22" i="29"/>
  <c r="H22" i="29" s="1"/>
  <c r="P24" i="30"/>
  <c r="J25" i="24"/>
  <c r="I24" i="30"/>
  <c r="I25" i="24"/>
  <c r="M25" i="24"/>
  <c r="N25" i="24"/>
  <c r="P25" i="24"/>
  <c r="G35" i="30"/>
  <c r="P30" i="30"/>
  <c r="P31" i="30"/>
  <c r="O25" i="24"/>
  <c r="G28" i="30"/>
  <c r="F35" i="30"/>
  <c r="H25" i="24"/>
  <c r="Q28" i="30"/>
  <c r="Q36" i="30" s="1"/>
  <c r="P33" i="30"/>
  <c r="O24" i="30"/>
  <c r="P32" i="30"/>
  <c r="G34" i="30"/>
  <c r="G33" i="30"/>
  <c r="L25" i="24"/>
  <c r="O32" i="30"/>
  <c r="O34" i="30"/>
  <c r="P34" i="30"/>
  <c r="N46" i="30"/>
  <c r="N24" i="30"/>
  <c r="M46" i="30"/>
  <c r="M24" i="30"/>
  <c r="L46" i="30"/>
  <c r="L24" i="30"/>
  <c r="K24" i="30"/>
  <c r="J46" i="30"/>
  <c r="J24" i="30"/>
  <c r="G32" i="30"/>
  <c r="I34" i="30"/>
  <c r="I32" i="30"/>
  <c r="G30" i="30"/>
  <c r="G31" i="30"/>
  <c r="H35" i="30"/>
  <c r="I30" i="30"/>
  <c r="H34" i="30"/>
  <c r="G23" i="29"/>
  <c r="H23" i="29" s="1"/>
  <c r="G20" i="29"/>
  <c r="H20" i="29" s="1"/>
  <c r="F17" i="29"/>
  <c r="F15" i="29"/>
  <c r="F8" i="29"/>
  <c r="F19" i="29"/>
  <c r="I31" i="30"/>
  <c r="I33" i="30"/>
  <c r="I35" i="30"/>
  <c r="F14" i="29"/>
  <c r="M4" i="32"/>
  <c r="L3" i="34"/>
  <c r="F13" i="29"/>
  <c r="F9" i="29"/>
  <c r="N36" i="30"/>
  <c r="N14" i="30"/>
  <c r="F10" i="29"/>
  <c r="F11" i="29"/>
  <c r="F12" i="29"/>
  <c r="F18" i="29"/>
  <c r="F34" i="30"/>
  <c r="G14" i="29"/>
  <c r="G15" i="29"/>
  <c r="K36" i="30"/>
  <c r="F31" i="30"/>
  <c r="F32" i="30"/>
  <c r="F30" i="30"/>
  <c r="F33" i="30"/>
  <c r="I46" i="30"/>
  <c r="L36" i="30"/>
  <c r="K14" i="30"/>
  <c r="L14" i="30"/>
  <c r="K46" i="30"/>
  <c r="M29" i="30"/>
  <c r="M36" i="30" s="1"/>
  <c r="M14" i="30"/>
  <c r="P46" i="30" l="1"/>
  <c r="Q46" i="30"/>
  <c r="M3" i="34"/>
  <c r="M3" i="38"/>
  <c r="C23" i="30"/>
  <c r="C24" i="24"/>
  <c r="C22" i="30"/>
  <c r="C23" i="24"/>
  <c r="C20" i="30"/>
  <c r="C21" i="24"/>
  <c r="B52" i="36"/>
  <c r="F51" i="36"/>
  <c r="E51" i="36"/>
  <c r="D51" i="36"/>
  <c r="C51" i="36"/>
  <c r="Q25" i="24"/>
  <c r="O36" i="30"/>
  <c r="P36" i="30"/>
  <c r="Q14" i="30"/>
  <c r="P14" i="30"/>
  <c r="O14" i="30"/>
  <c r="G24" i="30"/>
  <c r="Q24" i="30"/>
  <c r="G25" i="24"/>
  <c r="H28" i="30"/>
  <c r="H29" i="30"/>
  <c r="H24" i="30"/>
  <c r="G12" i="29"/>
  <c r="H12" i="29" s="1"/>
  <c r="H32" i="30"/>
  <c r="G10" i="29"/>
  <c r="H10" i="29" s="1"/>
  <c r="H30" i="30"/>
  <c r="G11" i="29"/>
  <c r="H11" i="29" s="1"/>
  <c r="H31" i="30"/>
  <c r="G13" i="29"/>
  <c r="H13" i="29" s="1"/>
  <c r="H33" i="30"/>
  <c r="H15" i="29"/>
  <c r="H14" i="29"/>
  <c r="G18" i="29"/>
  <c r="H18" i="29" s="1"/>
  <c r="G19" i="29"/>
  <c r="H19" i="29" s="1"/>
  <c r="I29" i="30"/>
  <c r="G17" i="29"/>
  <c r="H17" i="29" s="1"/>
  <c r="G46" i="30" l="1"/>
  <c r="C19" i="30"/>
  <c r="C20" i="24"/>
  <c r="C9" i="30"/>
  <c r="C10" i="24"/>
  <c r="C18" i="30"/>
  <c r="C19" i="24"/>
  <c r="C8" i="30"/>
  <c r="C9" i="24"/>
  <c r="C12" i="30"/>
  <c r="C13" i="24"/>
  <c r="C10" i="30"/>
  <c r="C11" i="24"/>
  <c r="C17" i="30"/>
  <c r="C18" i="24"/>
  <c r="C13" i="30"/>
  <c r="C14" i="24"/>
  <c r="C11" i="30"/>
  <c r="C12" i="24"/>
  <c r="C52" i="36"/>
  <c r="B53" i="36"/>
  <c r="D52" i="36"/>
  <c r="F52" i="36"/>
  <c r="E52" i="36"/>
  <c r="H36" i="30"/>
  <c r="H14" i="30"/>
  <c r="I28" i="30"/>
  <c r="I36" i="30" s="1"/>
  <c r="I14" i="30"/>
  <c r="H46" i="30"/>
  <c r="F53" i="36" l="1"/>
  <c r="E53" i="36"/>
  <c r="D53" i="36"/>
  <c r="C53" i="36"/>
  <c r="B54" i="36"/>
  <c r="B25" i="14"/>
  <c r="B55" i="36" l="1"/>
  <c r="F54" i="36"/>
  <c r="E54" i="36"/>
  <c r="D54" i="36"/>
  <c r="C54" i="36"/>
  <c r="B6" i="34"/>
  <c r="B7" i="32"/>
  <c r="F54" i="7"/>
  <c r="F53" i="7"/>
  <c r="F52" i="7"/>
  <c r="F51" i="7"/>
  <c r="F50" i="7"/>
  <c r="F49" i="7"/>
  <c r="F48" i="7"/>
  <c r="F47" i="7"/>
  <c r="F44" i="7"/>
  <c r="F43" i="7"/>
  <c r="F42" i="7"/>
  <c r="F41" i="7"/>
  <c r="F40" i="7"/>
  <c r="F39" i="7"/>
  <c r="F38" i="7"/>
  <c r="F37" i="7"/>
  <c r="F45" i="7" s="1"/>
  <c r="C28" i="25" s="1"/>
  <c r="F34" i="7"/>
  <c r="F33" i="7"/>
  <c r="F32" i="7"/>
  <c r="F31" i="7"/>
  <c r="F30" i="7"/>
  <c r="F29" i="7"/>
  <c r="F28" i="7"/>
  <c r="F27" i="7"/>
  <c r="F35" i="7" s="1"/>
  <c r="F9" i="7"/>
  <c r="F10" i="7"/>
  <c r="F11" i="7"/>
  <c r="F12" i="7"/>
  <c r="F13" i="7"/>
  <c r="F8" i="7"/>
  <c r="F14" i="7" s="1"/>
  <c r="C25" i="25" s="1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7" i="8"/>
  <c r="F9" i="8"/>
  <c r="F10" i="8"/>
  <c r="F11" i="8"/>
  <c r="F12" i="8"/>
  <c r="F13" i="8"/>
  <c r="F14" i="8"/>
  <c r="F15" i="8"/>
  <c r="F16" i="8"/>
  <c r="F8" i="8"/>
  <c r="D53" i="8"/>
  <c r="D17" i="8"/>
  <c r="D55" i="7"/>
  <c r="D45" i="7"/>
  <c r="D35" i="7"/>
  <c r="D14" i="7"/>
  <c r="F53" i="8" l="1"/>
  <c r="C35" i="25" s="1"/>
  <c r="C19" i="14"/>
  <c r="D28" i="25"/>
  <c r="D25" i="25"/>
  <c r="C16" i="14"/>
  <c r="D55" i="36"/>
  <c r="C55" i="36"/>
  <c r="E55" i="36"/>
  <c r="B56" i="36"/>
  <c r="F55" i="36"/>
  <c r="F55" i="7"/>
  <c r="C29" i="25" s="1"/>
  <c r="C27" i="25"/>
  <c r="F17" i="8"/>
  <c r="C33" i="25" s="1"/>
  <c r="D33" i="25" l="1"/>
  <c r="C22" i="14"/>
  <c r="D35" i="25"/>
  <c r="C24" i="14"/>
  <c r="D16" i="14"/>
  <c r="E25" i="25"/>
  <c r="D27" i="25"/>
  <c r="C18" i="14"/>
  <c r="C20" i="14"/>
  <c r="D29" i="25"/>
  <c r="E28" i="25"/>
  <c r="D19" i="14"/>
  <c r="B57" i="36"/>
  <c r="F56" i="36"/>
  <c r="E56" i="36"/>
  <c r="D56" i="36"/>
  <c r="C56" i="36"/>
  <c r="C7" i="25"/>
  <c r="D7" i="25" s="1"/>
  <c r="E7" i="25" s="1"/>
  <c r="F7" i="25" s="1"/>
  <c r="G7" i="25" s="1"/>
  <c r="H7" i="25" s="1"/>
  <c r="I7" i="25" s="1"/>
  <c r="J7" i="25" s="1"/>
  <c r="K7" i="25" s="1"/>
  <c r="L7" i="25" s="1"/>
  <c r="E35" i="25" l="1"/>
  <c r="D24" i="14"/>
  <c r="E33" i="25"/>
  <c r="D22" i="14"/>
  <c r="E29" i="25"/>
  <c r="D20" i="14"/>
  <c r="E27" i="25"/>
  <c r="D18" i="14"/>
  <c r="F28" i="25"/>
  <c r="E19" i="14"/>
  <c r="E16" i="14"/>
  <c r="F25" i="25"/>
  <c r="B58" i="36"/>
  <c r="C57" i="36"/>
  <c r="F57" i="36"/>
  <c r="E57" i="36"/>
  <c r="D57" i="36"/>
  <c r="Q36" i="24"/>
  <c r="P36" i="24"/>
  <c r="O36" i="24"/>
  <c r="N36" i="24"/>
  <c r="M36" i="24"/>
  <c r="L36" i="24"/>
  <c r="K36" i="24"/>
  <c r="J36" i="24"/>
  <c r="I36" i="24"/>
  <c r="H36" i="24"/>
  <c r="G36" i="24"/>
  <c r="F36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Q30" i="24"/>
  <c r="P30" i="24"/>
  <c r="O30" i="24"/>
  <c r="N30" i="24"/>
  <c r="M30" i="24"/>
  <c r="L30" i="24"/>
  <c r="K30" i="24"/>
  <c r="J30" i="24"/>
  <c r="I30" i="24"/>
  <c r="H30" i="24"/>
  <c r="E17" i="24"/>
  <c r="E11" i="24"/>
  <c r="E10" i="24"/>
  <c r="E9" i="24"/>
  <c r="E8" i="24"/>
  <c r="F33" i="25" l="1"/>
  <c r="E22" i="14"/>
  <c r="F35" i="25"/>
  <c r="E24" i="14"/>
  <c r="F16" i="14"/>
  <c r="G25" i="25"/>
  <c r="F19" i="14"/>
  <c r="G28" i="25"/>
  <c r="F27" i="25"/>
  <c r="E18" i="14"/>
  <c r="F29" i="25"/>
  <c r="E20" i="14"/>
  <c r="E58" i="36"/>
  <c r="D58" i="36"/>
  <c r="C58" i="36"/>
  <c r="F58" i="36"/>
  <c r="B59" i="36"/>
  <c r="E35" i="24"/>
  <c r="E13" i="24"/>
  <c r="E36" i="24"/>
  <c r="E14" i="24"/>
  <c r="L15" i="24"/>
  <c r="L29" i="24"/>
  <c r="L37" i="24" s="1"/>
  <c r="E29" i="24"/>
  <c r="E7" i="24"/>
  <c r="M15" i="24"/>
  <c r="M29" i="24"/>
  <c r="M37" i="24" s="1"/>
  <c r="N15" i="24"/>
  <c r="N29" i="24"/>
  <c r="N37" i="24" s="1"/>
  <c r="G29" i="24"/>
  <c r="O15" i="24"/>
  <c r="O29" i="24"/>
  <c r="O37" i="24" s="1"/>
  <c r="H29" i="24"/>
  <c r="H37" i="24" s="1"/>
  <c r="H15" i="24"/>
  <c r="P29" i="24"/>
  <c r="P37" i="24" s="1"/>
  <c r="P15" i="24"/>
  <c r="I29" i="24"/>
  <c r="I37" i="24" s="1"/>
  <c r="I15" i="24"/>
  <c r="Q29" i="24"/>
  <c r="Q37" i="24" s="1"/>
  <c r="Q15" i="24"/>
  <c r="E34" i="24"/>
  <c r="E12" i="24"/>
  <c r="J29" i="24"/>
  <c r="J37" i="24" s="1"/>
  <c r="J15" i="24"/>
  <c r="K15" i="24"/>
  <c r="K29" i="24"/>
  <c r="K37" i="24" s="1"/>
  <c r="E30" i="24"/>
  <c r="E32" i="24"/>
  <c r="E39" i="24"/>
  <c r="E31" i="24"/>
  <c r="E33" i="24"/>
  <c r="BF63" i="21"/>
  <c r="BE63" i="21"/>
  <c r="BD63" i="21"/>
  <c r="BC63" i="21"/>
  <c r="BF62" i="21"/>
  <c r="BE62" i="21"/>
  <c r="BD62" i="21"/>
  <c r="BC62" i="21"/>
  <c r="BF61" i="21"/>
  <c r="BE61" i="21"/>
  <c r="BD61" i="21"/>
  <c r="BC61" i="21"/>
  <c r="BF60" i="21"/>
  <c r="BE60" i="21"/>
  <c r="BD60" i="21"/>
  <c r="BC60" i="21"/>
  <c r="BF59" i="21"/>
  <c r="BE59" i="21"/>
  <c r="BD59" i="21"/>
  <c r="BC59" i="21"/>
  <c r="BF58" i="21"/>
  <c r="BE58" i="21"/>
  <c r="BD58" i="21"/>
  <c r="BC58" i="21"/>
  <c r="BF57" i="21"/>
  <c r="BE57" i="21"/>
  <c r="BD57" i="21"/>
  <c r="BC57" i="21"/>
  <c r="BF56" i="21"/>
  <c r="BE56" i="21"/>
  <c r="BD56" i="21"/>
  <c r="BC56" i="21"/>
  <c r="BF55" i="21"/>
  <c r="BE55" i="21"/>
  <c r="BD55" i="21"/>
  <c r="BC55" i="21"/>
  <c r="BF54" i="21"/>
  <c r="BE54" i="21"/>
  <c r="BD54" i="21"/>
  <c r="BC54" i="21"/>
  <c r="BF53" i="21"/>
  <c r="BE53" i="21"/>
  <c r="BD53" i="21"/>
  <c r="BC53" i="21"/>
  <c r="BF30" i="21"/>
  <c r="BE30" i="21"/>
  <c r="BD30" i="21"/>
  <c r="BC30" i="21"/>
  <c r="BF29" i="21"/>
  <c r="BE29" i="21"/>
  <c r="BD29" i="21"/>
  <c r="BC29" i="21"/>
  <c r="BF28" i="21"/>
  <c r="BE28" i="21"/>
  <c r="BD28" i="21"/>
  <c r="BC28" i="21"/>
  <c r="BF27" i="21"/>
  <c r="BE27" i="21"/>
  <c r="BD27" i="21"/>
  <c r="BC27" i="21"/>
  <c r="BF26" i="21"/>
  <c r="BE26" i="21"/>
  <c r="BD26" i="21"/>
  <c r="BC26" i="21"/>
  <c r="BF25" i="21"/>
  <c r="BE25" i="21"/>
  <c r="BD25" i="21"/>
  <c r="BC25" i="21"/>
  <c r="BF24" i="21"/>
  <c r="BE24" i="21"/>
  <c r="BD24" i="21"/>
  <c r="BC24" i="21"/>
  <c r="BF23" i="21"/>
  <c r="BE23" i="21"/>
  <c r="BD23" i="21"/>
  <c r="BC23" i="21"/>
  <c r="G35" i="25" l="1"/>
  <c r="F24" i="14"/>
  <c r="G33" i="25"/>
  <c r="F22" i="14"/>
  <c r="F20" i="14"/>
  <c r="G29" i="25"/>
  <c r="F18" i="14"/>
  <c r="G27" i="25"/>
  <c r="H28" i="25"/>
  <c r="G19" i="14"/>
  <c r="G16" i="14"/>
  <c r="H25" i="25"/>
  <c r="B60" i="36"/>
  <c r="F59" i="36"/>
  <c r="E59" i="36"/>
  <c r="D59" i="36"/>
  <c r="C59" i="36"/>
  <c r="O6" i="15"/>
  <c r="S12" i="15" s="1"/>
  <c r="G6" i="15"/>
  <c r="G7" i="15" s="1"/>
  <c r="I6" i="15"/>
  <c r="I8" i="15" s="1"/>
  <c r="N6" i="15"/>
  <c r="N7" i="15" s="1"/>
  <c r="F6" i="15"/>
  <c r="L6" i="15"/>
  <c r="M6" i="15"/>
  <c r="K6" i="15"/>
  <c r="J6" i="15"/>
  <c r="H35" i="25" l="1"/>
  <c r="G24" i="14"/>
  <c r="H33" i="25"/>
  <c r="G22" i="14"/>
  <c r="H16" i="14"/>
  <c r="I25" i="25"/>
  <c r="I28" i="25"/>
  <c r="H19" i="14"/>
  <c r="G20" i="14"/>
  <c r="H29" i="25"/>
  <c r="H27" i="25"/>
  <c r="G18" i="14"/>
  <c r="C60" i="36"/>
  <c r="D60" i="36"/>
  <c r="B61" i="36"/>
  <c r="F60" i="36"/>
  <c r="E60" i="36"/>
  <c r="I10" i="15"/>
  <c r="O7" i="15"/>
  <c r="L13" i="15"/>
  <c r="T13" i="15"/>
  <c r="G8" i="15"/>
  <c r="G19" i="15" s="1"/>
  <c r="U14" i="15"/>
  <c r="M14" i="15"/>
  <c r="Q10" i="15"/>
  <c r="J11" i="15"/>
  <c r="O8" i="15"/>
  <c r="H9" i="15"/>
  <c r="R11" i="15"/>
  <c r="K12" i="15"/>
  <c r="P9" i="15"/>
  <c r="P20" i="15" s="1"/>
  <c r="D30" i="15" s="1"/>
  <c r="D45" i="25" s="1"/>
  <c r="P10" i="15"/>
  <c r="L11" i="15"/>
  <c r="K10" i="15"/>
  <c r="O14" i="15"/>
  <c r="S13" i="15"/>
  <c r="O9" i="15"/>
  <c r="M12" i="15"/>
  <c r="J9" i="15"/>
  <c r="I7" i="15"/>
  <c r="I19" i="15" s="1"/>
  <c r="N13" i="15"/>
  <c r="N24" i="15" s="1"/>
  <c r="Q11" i="15"/>
  <c r="N8" i="15"/>
  <c r="N19" i="15" s="1"/>
  <c r="T14" i="15"/>
  <c r="R12" i="15"/>
  <c r="R13" i="15"/>
  <c r="O10" i="15"/>
  <c r="M7" i="15"/>
  <c r="M8" i="15"/>
  <c r="Q12" i="15"/>
  <c r="N9" i="15"/>
  <c r="N20" i="15" s="1"/>
  <c r="S14" i="15"/>
  <c r="P11" i="15"/>
  <c r="N12" i="15"/>
  <c r="N23" i="15" s="1"/>
  <c r="K9" i="15"/>
  <c r="P14" i="15"/>
  <c r="M11" i="15"/>
  <c r="J7" i="15"/>
  <c r="J8" i="15"/>
  <c r="O13" i="15"/>
  <c r="L10" i="15"/>
  <c r="K7" i="15"/>
  <c r="O12" i="15"/>
  <c r="M10" i="15"/>
  <c r="L9" i="15"/>
  <c r="Q14" i="15"/>
  <c r="N11" i="15"/>
  <c r="N22" i="15" s="1"/>
  <c r="K8" i="15"/>
  <c r="P13" i="15"/>
  <c r="N10" i="15"/>
  <c r="N21" i="15" s="1"/>
  <c r="L7" i="15"/>
  <c r="P12" i="15"/>
  <c r="M9" i="15"/>
  <c r="Q13" i="15"/>
  <c r="R14" i="15"/>
  <c r="O11" i="15"/>
  <c r="L8" i="15"/>
  <c r="F8" i="15"/>
  <c r="K13" i="15"/>
  <c r="I11" i="15"/>
  <c r="H10" i="15"/>
  <c r="F7" i="15"/>
  <c r="J12" i="15"/>
  <c r="G9" i="15"/>
  <c r="G20" i="15" s="1"/>
  <c r="L14" i="15"/>
  <c r="G23" i="15"/>
  <c r="G25" i="15"/>
  <c r="G24" i="15"/>
  <c r="I35" i="25" l="1"/>
  <c r="H24" i="14"/>
  <c r="I33" i="25"/>
  <c r="H22" i="14"/>
  <c r="I27" i="25"/>
  <c r="H18" i="14"/>
  <c r="J28" i="25"/>
  <c r="I19" i="14"/>
  <c r="I16" i="14"/>
  <c r="J25" i="25"/>
  <c r="I29" i="25"/>
  <c r="H20" i="14"/>
  <c r="F61" i="36"/>
  <c r="E61" i="36"/>
  <c r="D61" i="36"/>
  <c r="C61" i="36"/>
  <c r="B62" i="36"/>
  <c r="O25" i="15"/>
  <c r="O19" i="15"/>
  <c r="O23" i="15"/>
  <c r="O22" i="15"/>
  <c r="O20" i="15"/>
  <c r="O21" i="15"/>
  <c r="O24" i="15"/>
  <c r="P21" i="15"/>
  <c r="D31" i="15" s="1"/>
  <c r="I25" i="15"/>
  <c r="I21" i="15"/>
  <c r="I22" i="15"/>
  <c r="P22" i="15"/>
  <c r="D32" i="15" s="1"/>
  <c r="P25" i="15"/>
  <c r="D35" i="15" s="1"/>
  <c r="K20" i="15"/>
  <c r="K24" i="15"/>
  <c r="K23" i="15"/>
  <c r="K19" i="15"/>
  <c r="K21" i="15"/>
  <c r="M19" i="15"/>
  <c r="M20" i="15"/>
  <c r="M21" i="15"/>
  <c r="M25" i="15"/>
  <c r="M22" i="15"/>
  <c r="M23" i="15"/>
  <c r="F19" i="15"/>
  <c r="F23" i="15"/>
  <c r="F25" i="15"/>
  <c r="F24" i="15"/>
  <c r="F22" i="15"/>
  <c r="P23" i="15"/>
  <c r="D33" i="15" s="1"/>
  <c r="P24" i="15"/>
  <c r="D34" i="15" s="1"/>
  <c r="L24" i="15"/>
  <c r="L20" i="15"/>
  <c r="L21" i="15"/>
  <c r="L25" i="15"/>
  <c r="L22" i="15"/>
  <c r="L19" i="15"/>
  <c r="J23" i="15"/>
  <c r="J19" i="15"/>
  <c r="J22" i="15"/>
  <c r="J20" i="15"/>
  <c r="J33" i="25" l="1"/>
  <c r="I22" i="14"/>
  <c r="J35" i="25"/>
  <c r="I24" i="14"/>
  <c r="E45" i="25"/>
  <c r="F45" i="25" s="1"/>
  <c r="G45" i="25" s="1"/>
  <c r="H45" i="25" s="1"/>
  <c r="I45" i="25" s="1"/>
  <c r="J45" i="25" s="1"/>
  <c r="K45" i="25" s="1"/>
  <c r="L45" i="25" s="1"/>
  <c r="I20" i="14"/>
  <c r="J29" i="25"/>
  <c r="K28" i="25"/>
  <c r="J19" i="14"/>
  <c r="J16" i="14"/>
  <c r="K25" i="25"/>
  <c r="I18" i="14"/>
  <c r="J27" i="25"/>
  <c r="B63" i="36"/>
  <c r="F62" i="36"/>
  <c r="E62" i="36"/>
  <c r="D62" i="36"/>
  <c r="C62" i="36"/>
  <c r="K33" i="25" l="1"/>
  <c r="J22" i="14"/>
  <c r="K35" i="25"/>
  <c r="J24" i="14"/>
  <c r="K27" i="25"/>
  <c r="J18" i="14"/>
  <c r="K16" i="14"/>
  <c r="L25" i="25"/>
  <c r="L16" i="14" s="1"/>
  <c r="L28" i="25"/>
  <c r="L19" i="14" s="1"/>
  <c r="K19" i="14"/>
  <c r="J20" i="14"/>
  <c r="K29" i="25"/>
  <c r="B64" i="36"/>
  <c r="D63" i="36"/>
  <c r="E63" i="36"/>
  <c r="C63" i="36"/>
  <c r="F63" i="36"/>
  <c r="BF22" i="21"/>
  <c r="BF21" i="21"/>
  <c r="BF20" i="21"/>
  <c r="L33" i="25" l="1"/>
  <c r="L22" i="14" s="1"/>
  <c r="K22" i="14"/>
  <c r="L35" i="25"/>
  <c r="L24" i="14" s="1"/>
  <c r="K24" i="14"/>
  <c r="L29" i="25"/>
  <c r="L20" i="14" s="1"/>
  <c r="K20" i="14"/>
  <c r="K18" i="14"/>
  <c r="L27" i="25"/>
  <c r="L18" i="14" s="1"/>
  <c r="C64" i="36"/>
  <c r="B65" i="36"/>
  <c r="F64" i="36"/>
  <c r="E64" i="36"/>
  <c r="D64" i="36"/>
  <c r="BE20" i="21"/>
  <c r="BD20" i="21"/>
  <c r="BD21" i="21"/>
  <c r="BE21" i="21"/>
  <c r="BE22" i="21"/>
  <c r="BD22" i="21"/>
  <c r="F65" i="36" l="1"/>
  <c r="E65" i="36"/>
  <c r="B66" i="36"/>
  <c r="D65" i="36"/>
  <c r="C65" i="36"/>
  <c r="BC22" i="21"/>
  <c r="BC21" i="21"/>
  <c r="BC20" i="21"/>
  <c r="E66" i="36" l="1"/>
  <c r="D66" i="36"/>
  <c r="F66" i="36"/>
  <c r="C66" i="36"/>
  <c r="B67" i="36"/>
  <c r="E600" i="21"/>
  <c r="N14" i="37" s="1"/>
  <c r="E584" i="21"/>
  <c r="E568" i="21"/>
  <c r="L14" i="37" s="1"/>
  <c r="E552" i="21"/>
  <c r="E536" i="21"/>
  <c r="E520" i="21"/>
  <c r="E504" i="21"/>
  <c r="E488" i="21"/>
  <c r="O95" i="29" l="1"/>
  <c r="W95" i="29" s="1"/>
  <c r="H14" i="37"/>
  <c r="O111" i="29"/>
  <c r="W111" i="29" s="1"/>
  <c r="I14" i="37"/>
  <c r="O79" i="29"/>
  <c r="W79" i="29" s="1"/>
  <c r="G14" i="37"/>
  <c r="O127" i="29"/>
  <c r="W127" i="29" s="1"/>
  <c r="J14" i="37"/>
  <c r="O143" i="29"/>
  <c r="W143" i="29" s="1"/>
  <c r="K14" i="37"/>
  <c r="O175" i="29"/>
  <c r="W175" i="29" s="1"/>
  <c r="M14" i="37"/>
  <c r="O191" i="29"/>
  <c r="O159" i="29"/>
  <c r="E67" i="36"/>
  <c r="D67" i="36"/>
  <c r="C67" i="36"/>
  <c r="B68" i="36"/>
  <c r="F67" i="36"/>
  <c r="F600" i="21"/>
  <c r="F584" i="21"/>
  <c r="F568" i="21"/>
  <c r="F552" i="21"/>
  <c r="F536" i="21"/>
  <c r="F520" i="21"/>
  <c r="F504" i="21"/>
  <c r="F488" i="21"/>
  <c r="R30" i="21"/>
  <c r="M30" i="21"/>
  <c r="L30" i="21"/>
  <c r="K30" i="21"/>
  <c r="J30" i="21"/>
  <c r="R29" i="21"/>
  <c r="M29" i="21"/>
  <c r="L29" i="21"/>
  <c r="K29" i="21"/>
  <c r="J29" i="21"/>
  <c r="R28" i="21"/>
  <c r="M28" i="21"/>
  <c r="L28" i="21"/>
  <c r="K28" i="21"/>
  <c r="J28" i="21"/>
  <c r="R27" i="21"/>
  <c r="M27" i="21"/>
  <c r="L27" i="21"/>
  <c r="K27" i="21"/>
  <c r="J27" i="21"/>
  <c r="R26" i="21"/>
  <c r="M26" i="21"/>
  <c r="L26" i="21"/>
  <c r="K26" i="21"/>
  <c r="J26" i="21"/>
  <c r="R25" i="21"/>
  <c r="M25" i="21"/>
  <c r="L25" i="21"/>
  <c r="K25" i="21"/>
  <c r="J25" i="21"/>
  <c r="R24" i="21"/>
  <c r="M24" i="21"/>
  <c r="L24" i="21"/>
  <c r="K24" i="21"/>
  <c r="J24" i="21"/>
  <c r="R23" i="21"/>
  <c r="M23" i="21"/>
  <c r="L23" i="21"/>
  <c r="K23" i="21"/>
  <c r="J23" i="21"/>
  <c r="R19" i="21"/>
  <c r="M19" i="21"/>
  <c r="L19" i="21"/>
  <c r="K19" i="21"/>
  <c r="J19" i="21"/>
  <c r="E424" i="21" s="1"/>
  <c r="P175" i="29" l="1"/>
  <c r="P79" i="29"/>
  <c r="P191" i="29"/>
  <c r="W191" i="29"/>
  <c r="O15" i="29"/>
  <c r="W15" i="29" s="1"/>
  <c r="C14" i="37"/>
  <c r="P159" i="29"/>
  <c r="W159" i="29"/>
  <c r="B69" i="36"/>
  <c r="F68" i="36"/>
  <c r="C68" i="36"/>
  <c r="E68" i="36"/>
  <c r="D68" i="36"/>
  <c r="F424" i="21"/>
  <c r="H31" i="21"/>
  <c r="AN18" i="21" l="1"/>
  <c r="S34" i="21"/>
  <c r="S35" i="21" s="1"/>
  <c r="C69" i="36"/>
  <c r="F69" i="36"/>
  <c r="E69" i="36"/>
  <c r="B70" i="36"/>
  <c r="D69" i="36"/>
  <c r="P15" i="29"/>
  <c r="AA31" i="21"/>
  <c r="AL31" i="21"/>
  <c r="AF31" i="21"/>
  <c r="AC31" i="21"/>
  <c r="AI31" i="21"/>
  <c r="AJ31" i="21"/>
  <c r="AG31" i="21"/>
  <c r="AD31" i="21"/>
  <c r="F70" i="36" l="1"/>
  <c r="E70" i="36"/>
  <c r="D70" i="36"/>
  <c r="B71" i="36"/>
  <c r="C70" i="36"/>
  <c r="R48" i="21"/>
  <c r="Y31" i="21"/>
  <c r="O31" i="21"/>
  <c r="W31" i="21"/>
  <c r="S15" i="21" l="1"/>
  <c r="S23" i="21"/>
  <c r="S16" i="21"/>
  <c r="S24" i="21"/>
  <c r="S17" i="21"/>
  <c r="S25" i="21"/>
  <c r="S18" i="21"/>
  <c r="S26" i="21"/>
  <c r="S22" i="21"/>
  <c r="S19" i="21"/>
  <c r="S27" i="21"/>
  <c r="S30" i="21"/>
  <c r="S20" i="21"/>
  <c r="S28" i="21"/>
  <c r="S13" i="21"/>
  <c r="R13" i="21" s="1"/>
  <c r="S21" i="21"/>
  <c r="S29" i="21"/>
  <c r="S14" i="21"/>
  <c r="S12" i="21"/>
  <c r="B72" i="36"/>
  <c r="D71" i="36"/>
  <c r="C71" i="36"/>
  <c r="E71" i="36"/>
  <c r="F71" i="36"/>
  <c r="S64" i="21"/>
  <c r="C51" i="37" s="1"/>
  <c r="R49" i="21"/>
  <c r="R50" i="21"/>
  <c r="R46" i="21"/>
  <c r="R47" i="21"/>
  <c r="M22" i="21"/>
  <c r="L22" i="21" s="1"/>
  <c r="R20" i="21"/>
  <c r="R18" i="21"/>
  <c r="M21" i="21"/>
  <c r="K21" i="21" s="1"/>
  <c r="E472" i="21"/>
  <c r="F14" i="37" s="1"/>
  <c r="M18" i="21"/>
  <c r="R12" i="21" l="1"/>
  <c r="S31" i="21"/>
  <c r="O63" i="29"/>
  <c r="D72" i="36"/>
  <c r="C72" i="36"/>
  <c r="B73" i="36"/>
  <c r="F72" i="36"/>
  <c r="E72" i="36"/>
  <c r="R16" i="21"/>
  <c r="R14" i="21"/>
  <c r="P127" i="29"/>
  <c r="F472" i="21"/>
  <c r="M20" i="21"/>
  <c r="L20" i="21" s="1"/>
  <c r="R21" i="21"/>
  <c r="R15" i="21"/>
  <c r="R17" i="21"/>
  <c r="R22" i="21"/>
  <c r="L21" i="21"/>
  <c r="J21" i="21" s="1"/>
  <c r="K22" i="21"/>
  <c r="E487" i="21"/>
  <c r="E455" i="21"/>
  <c r="E471" i="21"/>
  <c r="J22" i="21"/>
  <c r="L18" i="21"/>
  <c r="K18" i="21"/>
  <c r="O46" i="29" l="1"/>
  <c r="W46" i="29" s="1"/>
  <c r="E13" i="37"/>
  <c r="O78" i="29"/>
  <c r="W78" i="29" s="1"/>
  <c r="G13" i="37"/>
  <c r="O62" i="29"/>
  <c r="W62" i="29" s="1"/>
  <c r="F13" i="37"/>
  <c r="P63" i="29"/>
  <c r="W63" i="29"/>
  <c r="B74" i="36"/>
  <c r="F73" i="36"/>
  <c r="E73" i="36"/>
  <c r="D73" i="36"/>
  <c r="C73" i="36"/>
  <c r="F487" i="21"/>
  <c r="F471" i="21"/>
  <c r="F455" i="21"/>
  <c r="K20" i="21"/>
  <c r="E456" i="21"/>
  <c r="E583" i="21"/>
  <c r="E551" i="21"/>
  <c r="E599" i="21"/>
  <c r="E535" i="21"/>
  <c r="E519" i="21"/>
  <c r="E567" i="21"/>
  <c r="L13" i="37" s="1"/>
  <c r="E503" i="21"/>
  <c r="J18" i="21"/>
  <c r="E423" i="21" s="1"/>
  <c r="J20" i="21"/>
  <c r="P78" i="29" l="1"/>
  <c r="P62" i="29"/>
  <c r="O94" i="29"/>
  <c r="W94" i="29" s="1"/>
  <c r="H13" i="37"/>
  <c r="O14" i="29"/>
  <c r="W14" i="29" s="1"/>
  <c r="C13" i="37"/>
  <c r="O174" i="29"/>
  <c r="W174" i="29" s="1"/>
  <c r="M13" i="37"/>
  <c r="O47" i="29"/>
  <c r="W47" i="29" s="1"/>
  <c r="E14" i="37"/>
  <c r="O110" i="29"/>
  <c r="W110" i="29" s="1"/>
  <c r="I13" i="37"/>
  <c r="O126" i="29"/>
  <c r="W126" i="29" s="1"/>
  <c r="J13" i="37"/>
  <c r="O190" i="29"/>
  <c r="W190" i="29" s="1"/>
  <c r="N13" i="37"/>
  <c r="O142" i="29"/>
  <c r="W142" i="29" s="1"/>
  <c r="K13" i="37"/>
  <c r="O158" i="29"/>
  <c r="E74" i="36"/>
  <c r="D74" i="36"/>
  <c r="B75" i="36"/>
  <c r="F74" i="36"/>
  <c r="C74" i="36"/>
  <c r="F599" i="21"/>
  <c r="F583" i="21"/>
  <c r="F567" i="21"/>
  <c r="F551" i="21"/>
  <c r="F535" i="21"/>
  <c r="F519" i="21"/>
  <c r="P111" i="29"/>
  <c r="F503" i="21"/>
  <c r="F456" i="21"/>
  <c r="F423" i="21"/>
  <c r="M63" i="21"/>
  <c r="L63" i="21"/>
  <c r="K63" i="21"/>
  <c r="J63" i="21"/>
  <c r="M62" i="21"/>
  <c r="L62" i="21"/>
  <c r="K62" i="21"/>
  <c r="J62" i="21"/>
  <c r="M61" i="21"/>
  <c r="L61" i="21"/>
  <c r="K61" i="21"/>
  <c r="J61" i="21"/>
  <c r="M60" i="21"/>
  <c r="L60" i="21"/>
  <c r="K60" i="21"/>
  <c r="J60" i="21"/>
  <c r="M59" i="21"/>
  <c r="L59" i="21"/>
  <c r="K59" i="21"/>
  <c r="J59" i="21"/>
  <c r="M58" i="21"/>
  <c r="L58" i="21"/>
  <c r="K58" i="21"/>
  <c r="J58" i="21"/>
  <c r="M57" i="21"/>
  <c r="L57" i="21"/>
  <c r="K57" i="21"/>
  <c r="J57" i="21"/>
  <c r="M56" i="21"/>
  <c r="L56" i="21"/>
  <c r="K56" i="21"/>
  <c r="J56" i="21"/>
  <c r="M52" i="21"/>
  <c r="L52" i="21"/>
  <c r="K52" i="21"/>
  <c r="J52" i="21"/>
  <c r="E440" i="21" s="1"/>
  <c r="P126" i="29" l="1"/>
  <c r="P190" i="29"/>
  <c r="P110" i="29"/>
  <c r="P174" i="29"/>
  <c r="O31" i="29"/>
  <c r="W31" i="29" s="1"/>
  <c r="D14" i="37"/>
  <c r="P158" i="29"/>
  <c r="W158" i="29"/>
  <c r="E75" i="36"/>
  <c r="D75" i="36"/>
  <c r="C75" i="36"/>
  <c r="B76" i="36"/>
  <c r="F75" i="36"/>
  <c r="F440" i="21"/>
  <c r="P14" i="29"/>
  <c r="B77" i="36" l="1"/>
  <c r="F76" i="36"/>
  <c r="C76" i="36"/>
  <c r="E76" i="36"/>
  <c r="D76" i="36"/>
  <c r="E15" i="29"/>
  <c r="C77" i="36" l="1"/>
  <c r="F77" i="36"/>
  <c r="E77" i="36"/>
  <c r="B78" i="36"/>
  <c r="D77" i="36"/>
  <c r="X191" i="29"/>
  <c r="X159" i="29"/>
  <c r="X175" i="29"/>
  <c r="I15" i="29"/>
  <c r="X15" i="29"/>
  <c r="X63" i="29"/>
  <c r="X111" i="29"/>
  <c r="F78" i="36" l="1"/>
  <c r="E78" i="36"/>
  <c r="D78" i="36"/>
  <c r="B79" i="36"/>
  <c r="C78" i="36"/>
  <c r="S97" i="21"/>
  <c r="C52" i="37" s="1"/>
  <c r="M55" i="21"/>
  <c r="M54" i="21"/>
  <c r="M51" i="21"/>
  <c r="M53" i="21"/>
  <c r="B80" i="36" l="1"/>
  <c r="D79" i="36"/>
  <c r="C79" i="36"/>
  <c r="E79" i="36"/>
  <c r="F79" i="36"/>
  <c r="L53" i="21"/>
  <c r="K53" i="21"/>
  <c r="L51" i="21"/>
  <c r="K51" i="21"/>
  <c r="L55" i="21"/>
  <c r="K55" i="21"/>
  <c r="K54" i="21"/>
  <c r="L54" i="21"/>
  <c r="D80" i="36" l="1"/>
  <c r="C80" i="36"/>
  <c r="B81" i="36"/>
  <c r="F80" i="36"/>
  <c r="E80" i="36"/>
  <c r="P31" i="29"/>
  <c r="J51" i="21"/>
  <c r="E439" i="21" s="1"/>
  <c r="J54" i="21"/>
  <c r="J55" i="21"/>
  <c r="J53" i="21"/>
  <c r="O30" i="29" l="1"/>
  <c r="W30" i="29" s="1"/>
  <c r="D13" i="37"/>
  <c r="B82" i="36"/>
  <c r="F81" i="36"/>
  <c r="E81" i="36"/>
  <c r="D81" i="36"/>
  <c r="C81" i="36"/>
  <c r="F439" i="21"/>
  <c r="E82" i="36" l="1"/>
  <c r="D82" i="36"/>
  <c r="B83" i="36"/>
  <c r="F82" i="36"/>
  <c r="C82" i="36"/>
  <c r="P30" i="29"/>
  <c r="E14" i="29"/>
  <c r="C4" i="13"/>
  <c r="D4" i="13" s="1"/>
  <c r="E4" i="13" s="1"/>
  <c r="F4" i="13" s="1"/>
  <c r="G4" i="13" s="1"/>
  <c r="H4" i="13" s="1"/>
  <c r="I4" i="13" s="1"/>
  <c r="J4" i="13" s="1"/>
  <c r="K4" i="13" s="1"/>
  <c r="L4" i="13" s="1"/>
  <c r="E83" i="36" l="1"/>
  <c r="D83" i="36"/>
  <c r="C83" i="36"/>
  <c r="B84" i="36"/>
  <c r="F83" i="36"/>
  <c r="X190" i="29"/>
  <c r="X174" i="29"/>
  <c r="X158" i="29"/>
  <c r="I14" i="29"/>
  <c r="X110" i="29"/>
  <c r="X14" i="29"/>
  <c r="X62" i="29"/>
  <c r="B16" i="13"/>
  <c r="B17" i="13"/>
  <c r="B18" i="13"/>
  <c r="B19" i="13"/>
  <c r="B20" i="13"/>
  <c r="B21" i="13"/>
  <c r="B22" i="13"/>
  <c r="B23" i="13"/>
  <c r="B24" i="13"/>
  <c r="B15" i="13"/>
  <c r="B14" i="13"/>
  <c r="B85" i="36" l="1"/>
  <c r="F84" i="36"/>
  <c r="C84" i="36"/>
  <c r="D84" i="36"/>
  <c r="E84" i="36"/>
  <c r="D4" i="14"/>
  <c r="E4" i="14" s="1"/>
  <c r="F4" i="14" s="1"/>
  <c r="G4" i="14" s="1"/>
  <c r="H4" i="14" s="1"/>
  <c r="I4" i="14" s="1"/>
  <c r="J4" i="14" s="1"/>
  <c r="K4" i="14" s="1"/>
  <c r="L4" i="14" s="1"/>
  <c r="G5" i="11"/>
  <c r="H5" i="11" s="1"/>
  <c r="I5" i="11" s="1"/>
  <c r="J5" i="11" s="1"/>
  <c r="E10" i="9"/>
  <c r="E11" i="9"/>
  <c r="E12" i="9"/>
  <c r="E13" i="9"/>
  <c r="E14" i="9"/>
  <c r="E15" i="9"/>
  <c r="E16" i="9"/>
  <c r="E17" i="9"/>
  <c r="E18" i="9"/>
  <c r="E9" i="9"/>
  <c r="C4" i="11"/>
  <c r="AD9" i="11"/>
  <c r="E93" i="3"/>
  <c r="F20" i="11" s="1"/>
  <c r="E88" i="3"/>
  <c r="E80" i="3"/>
  <c r="C16" i="9" s="1"/>
  <c r="E72" i="3"/>
  <c r="F11" i="11" s="1"/>
  <c r="E64" i="3"/>
  <c r="F10" i="11" s="1"/>
  <c r="E53" i="3"/>
  <c r="F9" i="11" s="1"/>
  <c r="E42" i="3"/>
  <c r="F8" i="11" s="1"/>
  <c r="C11" i="9"/>
  <c r="AM63" i="1" s="1"/>
  <c r="E16" i="3"/>
  <c r="C10" i="9" s="1"/>
  <c r="E9" i="3"/>
  <c r="C9" i="9" s="1"/>
  <c r="AM61" i="1" s="1"/>
  <c r="B18" i="9"/>
  <c r="AL70" i="1" s="1"/>
  <c r="B17" i="9"/>
  <c r="AL69" i="1" s="1"/>
  <c r="B16" i="9"/>
  <c r="AL68" i="1" s="1"/>
  <c r="B15" i="9"/>
  <c r="AL67" i="1" s="1"/>
  <c r="B14" i="9"/>
  <c r="AL66" i="1" s="1"/>
  <c r="B13" i="9"/>
  <c r="AL65" i="1" s="1"/>
  <c r="B12" i="9"/>
  <c r="AL64" i="1" s="1"/>
  <c r="B11" i="9"/>
  <c r="AL63" i="1" s="1"/>
  <c r="B10" i="9"/>
  <c r="AL62" i="1" s="1"/>
  <c r="B9" i="9"/>
  <c r="AL61" i="1" s="1"/>
  <c r="C7" i="9"/>
  <c r="C20" i="9" l="1"/>
  <c r="C8" i="38" s="1"/>
  <c r="C14" i="38" s="1"/>
  <c r="C16" i="38" s="1"/>
  <c r="D4" i="38" s="1"/>
  <c r="C8" i="11"/>
  <c r="C9" i="11"/>
  <c r="C11" i="11"/>
  <c r="C12" i="11"/>
  <c r="C7" i="11"/>
  <c r="C10" i="11"/>
  <c r="G10" i="11" s="1"/>
  <c r="C30" i="14" s="1"/>
  <c r="C6" i="11"/>
  <c r="K5" i="11"/>
  <c r="L5" i="11" s="1"/>
  <c r="M5" i="11" s="1"/>
  <c r="N5" i="11" s="1"/>
  <c r="O5" i="11" s="1"/>
  <c r="P5" i="11" s="1"/>
  <c r="G28" i="11"/>
  <c r="H28" i="11" s="1"/>
  <c r="I28" i="11" s="1"/>
  <c r="J28" i="11" s="1"/>
  <c r="K28" i="11" s="1"/>
  <c r="L28" i="11" s="1"/>
  <c r="M28" i="11" s="1"/>
  <c r="F16" i="9"/>
  <c r="AM68" i="1"/>
  <c r="F10" i="9"/>
  <c r="AM62" i="1"/>
  <c r="C85" i="36"/>
  <c r="F85" i="36"/>
  <c r="E85" i="36"/>
  <c r="B86" i="36"/>
  <c r="D85" i="36"/>
  <c r="C33" i="11"/>
  <c r="G33" i="11" s="1"/>
  <c r="C29" i="11"/>
  <c r="G29" i="11" s="1"/>
  <c r="C30" i="11"/>
  <c r="G30" i="11" s="1"/>
  <c r="C34" i="11"/>
  <c r="G34" i="11" s="1"/>
  <c r="C35" i="11"/>
  <c r="G35" i="11" s="1"/>
  <c r="C31" i="11"/>
  <c r="G31" i="11" s="1"/>
  <c r="C32" i="11"/>
  <c r="G32" i="11" s="1"/>
  <c r="C19" i="13"/>
  <c r="D19" i="13" s="1"/>
  <c r="C20" i="13"/>
  <c r="D20" i="13" s="1"/>
  <c r="C18" i="13"/>
  <c r="D18" i="13" s="1"/>
  <c r="C21" i="13"/>
  <c r="D21" i="13" s="1"/>
  <c r="C15" i="13"/>
  <c r="G11" i="9"/>
  <c r="C18" i="9"/>
  <c r="C17" i="9"/>
  <c r="F19" i="11"/>
  <c r="G20" i="11"/>
  <c r="C35" i="14" s="1"/>
  <c r="F12" i="11"/>
  <c r="C15" i="9"/>
  <c r="C12" i="9"/>
  <c r="G8" i="11"/>
  <c r="C28" i="14" s="1"/>
  <c r="G11" i="11"/>
  <c r="C31" i="14" s="1"/>
  <c r="G9" i="11"/>
  <c r="C29" i="14" s="1"/>
  <c r="C14" i="9"/>
  <c r="F7" i="11"/>
  <c r="F6" i="11"/>
  <c r="C16" i="13" s="1"/>
  <c r="D16" i="13" s="1"/>
  <c r="G9" i="9"/>
  <c r="F9" i="9"/>
  <c r="C13" i="9"/>
  <c r="G16" i="9"/>
  <c r="F11" i="9"/>
  <c r="G10" i="9"/>
  <c r="B41" i="14"/>
  <c r="C13" i="32" l="1"/>
  <c r="C16" i="32"/>
  <c r="F18" i="9"/>
  <c r="AM70" i="1"/>
  <c r="G14" i="9"/>
  <c r="AM66" i="1"/>
  <c r="G12" i="9"/>
  <c r="AM64" i="1"/>
  <c r="G15" i="9"/>
  <c r="AM67" i="1"/>
  <c r="F17" i="9"/>
  <c r="AM69" i="1"/>
  <c r="F13" i="9"/>
  <c r="AM65" i="1"/>
  <c r="F86" i="36"/>
  <c r="E86" i="36"/>
  <c r="D86" i="36"/>
  <c r="B87" i="36"/>
  <c r="C86" i="36"/>
  <c r="H32" i="11"/>
  <c r="I32" i="11" s="1"/>
  <c r="H31" i="11"/>
  <c r="I31" i="11" s="1"/>
  <c r="H35" i="11"/>
  <c r="I35" i="11" s="1"/>
  <c r="H34" i="11"/>
  <c r="H30" i="11"/>
  <c r="H29" i="11"/>
  <c r="I29" i="11" s="1"/>
  <c r="G36" i="11"/>
  <c r="H33" i="11"/>
  <c r="E16" i="13"/>
  <c r="F16" i="13" s="1"/>
  <c r="G16" i="13" s="1"/>
  <c r="H16" i="13" s="1"/>
  <c r="I16" i="13" s="1"/>
  <c r="J16" i="13" s="1"/>
  <c r="K16" i="13" s="1"/>
  <c r="L16" i="13" s="1"/>
  <c r="E20" i="13"/>
  <c r="F20" i="13" s="1"/>
  <c r="G20" i="13" s="1"/>
  <c r="H20" i="13" s="1"/>
  <c r="I20" i="13" s="1"/>
  <c r="J20" i="13" s="1"/>
  <c r="K20" i="13" s="1"/>
  <c r="L20" i="13" s="1"/>
  <c r="E21" i="13"/>
  <c r="F21" i="13" s="1"/>
  <c r="G21" i="13" s="1"/>
  <c r="H21" i="13" s="1"/>
  <c r="I21" i="13" s="1"/>
  <c r="J21" i="13" s="1"/>
  <c r="K21" i="13" s="1"/>
  <c r="L21" i="13" s="1"/>
  <c r="E18" i="13"/>
  <c r="F18" i="13" s="1"/>
  <c r="G18" i="13" s="1"/>
  <c r="H18" i="13" s="1"/>
  <c r="I18" i="13" s="1"/>
  <c r="J18" i="13" s="1"/>
  <c r="K18" i="13" s="1"/>
  <c r="L18" i="13" s="1"/>
  <c r="E19" i="13"/>
  <c r="F19" i="13" s="1"/>
  <c r="G19" i="13" s="1"/>
  <c r="H19" i="13" s="1"/>
  <c r="I19" i="13" s="1"/>
  <c r="J19" i="13" s="1"/>
  <c r="K19" i="13" s="1"/>
  <c r="L19" i="13" s="1"/>
  <c r="C17" i="13"/>
  <c r="D17" i="13" s="1"/>
  <c r="C22" i="13"/>
  <c r="D22" i="13" s="1"/>
  <c r="G18" i="9"/>
  <c r="G17" i="9"/>
  <c r="C24" i="13"/>
  <c r="D24" i="13" s="1"/>
  <c r="D15" i="13"/>
  <c r="F15" i="9"/>
  <c r="C23" i="13"/>
  <c r="F21" i="11"/>
  <c r="G19" i="11"/>
  <c r="C34" i="14" s="1"/>
  <c r="C33" i="14" s="1"/>
  <c r="H20" i="11"/>
  <c r="D35" i="14" s="1"/>
  <c r="G21" i="11"/>
  <c r="G12" i="11"/>
  <c r="C32" i="14" s="1"/>
  <c r="F14" i="9"/>
  <c r="F12" i="9"/>
  <c r="H8" i="11"/>
  <c r="D28" i="14" s="1"/>
  <c r="H9" i="11"/>
  <c r="D29" i="14" s="1"/>
  <c r="H10" i="11"/>
  <c r="H11" i="11"/>
  <c r="D31" i="14" s="1"/>
  <c r="G7" i="11"/>
  <c r="C27" i="14" s="1"/>
  <c r="G6" i="11"/>
  <c r="G13" i="9"/>
  <c r="D12" i="5"/>
  <c r="D10" i="5"/>
  <c r="E10" i="5"/>
  <c r="F10" i="5"/>
  <c r="I10" i="5"/>
  <c r="D11" i="5"/>
  <c r="E11" i="5"/>
  <c r="F11" i="5"/>
  <c r="I11" i="5"/>
  <c r="E12" i="5"/>
  <c r="F12" i="5"/>
  <c r="I12" i="5"/>
  <c r="D13" i="5"/>
  <c r="E13" i="5"/>
  <c r="F13" i="5"/>
  <c r="I13" i="5"/>
  <c r="D33" i="5"/>
  <c r="E33" i="5"/>
  <c r="F33" i="5"/>
  <c r="I33" i="5"/>
  <c r="C5" i="32" l="1"/>
  <c r="F20" i="9"/>
  <c r="E15" i="13"/>
  <c r="F15" i="13" s="1"/>
  <c r="G33" i="5"/>
  <c r="B88" i="36"/>
  <c r="D87" i="36"/>
  <c r="C87" i="36"/>
  <c r="F87" i="36"/>
  <c r="E87" i="36"/>
  <c r="J29" i="11"/>
  <c r="K29" i="11" s="1"/>
  <c r="G20" i="9"/>
  <c r="J35" i="11"/>
  <c r="K35" i="11" s="1"/>
  <c r="I33" i="11"/>
  <c r="I30" i="11"/>
  <c r="J30" i="11" s="1"/>
  <c r="I34" i="11"/>
  <c r="H36" i="11"/>
  <c r="J31" i="11"/>
  <c r="K31" i="11" s="1"/>
  <c r="J32" i="11"/>
  <c r="K32" i="11" s="1"/>
  <c r="E24" i="13"/>
  <c r="F24" i="13" s="1"/>
  <c r="G24" i="13" s="1"/>
  <c r="H24" i="13" s="1"/>
  <c r="I24" i="13" s="1"/>
  <c r="J24" i="13" s="1"/>
  <c r="K24" i="13" s="1"/>
  <c r="L24" i="13" s="1"/>
  <c r="E22" i="13"/>
  <c r="F22" i="13" s="1"/>
  <c r="G22" i="13" s="1"/>
  <c r="H22" i="13" s="1"/>
  <c r="I22" i="13" s="1"/>
  <c r="J22" i="13" s="1"/>
  <c r="K22" i="13" s="1"/>
  <c r="L22" i="13" s="1"/>
  <c r="E17" i="13"/>
  <c r="F17" i="13" s="1"/>
  <c r="G17" i="13" s="1"/>
  <c r="H17" i="13" s="1"/>
  <c r="I17" i="13" s="1"/>
  <c r="J17" i="13" s="1"/>
  <c r="K17" i="13" s="1"/>
  <c r="L17" i="13" s="1"/>
  <c r="C26" i="14"/>
  <c r="C25" i="14" s="1"/>
  <c r="I20" i="11"/>
  <c r="E35" i="14" s="1"/>
  <c r="D7" i="34"/>
  <c r="D8" i="32"/>
  <c r="C26" i="13"/>
  <c r="D23" i="13"/>
  <c r="H19" i="11"/>
  <c r="H12" i="11"/>
  <c r="I12" i="11" s="1"/>
  <c r="E32" i="14" s="1"/>
  <c r="I8" i="11"/>
  <c r="E28" i="14" s="1"/>
  <c r="I10" i="11"/>
  <c r="E30" i="14" s="1"/>
  <c r="D30" i="14"/>
  <c r="I11" i="11"/>
  <c r="E31" i="14" s="1"/>
  <c r="I9" i="11"/>
  <c r="E29" i="14" s="1"/>
  <c r="H6" i="11"/>
  <c r="D26" i="14" s="1"/>
  <c r="H7" i="11"/>
  <c r="D27" i="14" s="1"/>
  <c r="G13" i="11"/>
  <c r="F50" i="11" s="1"/>
  <c r="G12" i="5"/>
  <c r="G11" i="5"/>
  <c r="G10" i="5"/>
  <c r="G13" i="5"/>
  <c r="C53" i="32" l="1"/>
  <c r="D6" i="34"/>
  <c r="L29" i="11"/>
  <c r="M29" i="11" s="1"/>
  <c r="N29" i="11" s="1"/>
  <c r="D88" i="36"/>
  <c r="C88" i="36"/>
  <c r="B89" i="36"/>
  <c r="F88" i="36"/>
  <c r="E88" i="36"/>
  <c r="C21" i="32"/>
  <c r="C20" i="32" s="1"/>
  <c r="C34" i="13"/>
  <c r="D34" i="13" s="1"/>
  <c r="E34" i="13" s="1"/>
  <c r="L32" i="11"/>
  <c r="M32" i="11" s="1"/>
  <c r="L35" i="11"/>
  <c r="J33" i="11"/>
  <c r="K33" i="11" s="1"/>
  <c r="J34" i="11"/>
  <c r="K34" i="11" s="1"/>
  <c r="L34" i="11" s="1"/>
  <c r="L31" i="11"/>
  <c r="M31" i="11" s="1"/>
  <c r="N31" i="11" s="1"/>
  <c r="O31" i="11" s="1"/>
  <c r="K30" i="11"/>
  <c r="I36" i="11"/>
  <c r="D10" i="34"/>
  <c r="E23" i="13"/>
  <c r="E10" i="34" s="1"/>
  <c r="H21" i="11"/>
  <c r="D26" i="13" s="1"/>
  <c r="D34" i="14"/>
  <c r="D33" i="14" s="1"/>
  <c r="J20" i="11"/>
  <c r="F5" i="10"/>
  <c r="C25" i="13"/>
  <c r="C14" i="13" s="1"/>
  <c r="D7" i="32"/>
  <c r="I19" i="11"/>
  <c r="E34" i="14" s="1"/>
  <c r="E33" i="14" s="1"/>
  <c r="D32" i="14"/>
  <c r="D25" i="14" s="1"/>
  <c r="E6" i="34" s="1"/>
  <c r="J8" i="11"/>
  <c r="F28" i="14" s="1"/>
  <c r="I7" i="11"/>
  <c r="J10" i="11"/>
  <c r="F30" i="14" s="1"/>
  <c r="J12" i="11"/>
  <c r="F32" i="14" s="1"/>
  <c r="J11" i="11"/>
  <c r="F31" i="14" s="1"/>
  <c r="H13" i="11"/>
  <c r="J9" i="11"/>
  <c r="F29" i="14" s="1"/>
  <c r="I6" i="11"/>
  <c r="E26" i="14" s="1"/>
  <c r="C23" i="32" l="1"/>
  <c r="K20" i="11"/>
  <c r="G35" i="14" s="1"/>
  <c r="F35" i="14"/>
  <c r="B90" i="36"/>
  <c r="F89" i="36"/>
  <c r="E89" i="36"/>
  <c r="D89" i="36"/>
  <c r="C89" i="36"/>
  <c r="L33" i="11"/>
  <c r="M33" i="11" s="1"/>
  <c r="O29" i="11"/>
  <c r="K36" i="11"/>
  <c r="J36" i="11"/>
  <c r="M35" i="11"/>
  <c r="N35" i="11" s="1"/>
  <c r="O35" i="11" s="1"/>
  <c r="D25" i="13"/>
  <c r="G50" i="11"/>
  <c r="N32" i="11"/>
  <c r="O32" i="11" s="1"/>
  <c r="L30" i="11"/>
  <c r="J7" i="11"/>
  <c r="F27" i="14" s="1"/>
  <c r="E27" i="14"/>
  <c r="E25" i="14" s="1"/>
  <c r="F6" i="34" s="1"/>
  <c r="M34" i="11"/>
  <c r="N34" i="11" s="1"/>
  <c r="O34" i="11" s="1"/>
  <c r="F8" i="32"/>
  <c r="F7" i="34"/>
  <c r="E7" i="34"/>
  <c r="E8" i="32"/>
  <c r="G15" i="13"/>
  <c r="F34" i="13"/>
  <c r="F23" i="13"/>
  <c r="F10" i="34" s="1"/>
  <c r="E7" i="32"/>
  <c r="J19" i="11"/>
  <c r="F34" i="14" s="1"/>
  <c r="I21" i="11"/>
  <c r="E26" i="13" s="1"/>
  <c r="K10" i="11"/>
  <c r="G30" i="14" s="1"/>
  <c r="K8" i="11"/>
  <c r="G28" i="14" s="1"/>
  <c r="K9" i="11"/>
  <c r="G29" i="14" s="1"/>
  <c r="K11" i="11"/>
  <c r="G31" i="14" s="1"/>
  <c r="K12" i="11"/>
  <c r="G32" i="14" s="1"/>
  <c r="J6" i="11"/>
  <c r="F26" i="14" s="1"/>
  <c r="I13" i="11"/>
  <c r="B38" i="14"/>
  <c r="B37" i="14"/>
  <c r="B21" i="14"/>
  <c r="B15" i="14"/>
  <c r="L20" i="11" l="1"/>
  <c r="H35" i="14" s="1"/>
  <c r="L36" i="11"/>
  <c r="E90" i="36"/>
  <c r="D90" i="36"/>
  <c r="B91" i="36"/>
  <c r="F90" i="36"/>
  <c r="C90" i="36"/>
  <c r="N33" i="11"/>
  <c r="O33" i="11" s="1"/>
  <c r="M30" i="11"/>
  <c r="M36" i="11" s="1"/>
  <c r="K7" i="11"/>
  <c r="G27" i="14" s="1"/>
  <c r="E25" i="13"/>
  <c r="H50" i="11"/>
  <c r="D14" i="13"/>
  <c r="F33" i="14"/>
  <c r="G8" i="32" s="1"/>
  <c r="M20" i="11"/>
  <c r="I35" i="14" s="1"/>
  <c r="H15" i="13"/>
  <c r="G34" i="13"/>
  <c r="G23" i="13"/>
  <c r="G10" i="34" s="1"/>
  <c r="F7" i="32"/>
  <c r="K19" i="11"/>
  <c r="J21" i="11"/>
  <c r="F26" i="13" s="1"/>
  <c r="L10" i="11"/>
  <c r="H30" i="14" s="1"/>
  <c r="L8" i="11"/>
  <c r="H28" i="14" s="1"/>
  <c r="J13" i="11"/>
  <c r="F25" i="14"/>
  <c r="G6" i="34" s="1"/>
  <c r="L11" i="11"/>
  <c r="H31" i="14" s="1"/>
  <c r="L9" i="11"/>
  <c r="H29" i="14" s="1"/>
  <c r="L12" i="11"/>
  <c r="H32" i="14" s="1"/>
  <c r="K6" i="11"/>
  <c r="G26" i="14" s="1"/>
  <c r="L19" i="11" l="1"/>
  <c r="H34" i="14" s="1"/>
  <c r="H33" i="14" s="1"/>
  <c r="G34" i="14"/>
  <c r="L7" i="11"/>
  <c r="H27" i="14" s="1"/>
  <c r="E91" i="36"/>
  <c r="D91" i="36"/>
  <c r="C91" i="36"/>
  <c r="B92" i="36"/>
  <c r="F91" i="36"/>
  <c r="F25" i="13"/>
  <c r="I50" i="11"/>
  <c r="N30" i="11"/>
  <c r="E14" i="13"/>
  <c r="G7" i="34"/>
  <c r="N20" i="11"/>
  <c r="J35" i="14" s="1"/>
  <c r="K21" i="11"/>
  <c r="G26" i="13" s="1"/>
  <c r="G33" i="14"/>
  <c r="I15" i="13"/>
  <c r="H34" i="13"/>
  <c r="H23" i="13"/>
  <c r="H10" i="34" s="1"/>
  <c r="G7" i="32"/>
  <c r="M10" i="11"/>
  <c r="M8" i="11"/>
  <c r="I28" i="14" s="1"/>
  <c r="M11" i="11"/>
  <c r="I31" i="14" s="1"/>
  <c r="L6" i="11"/>
  <c r="H26" i="14" s="1"/>
  <c r="G25" i="14"/>
  <c r="H6" i="34" s="1"/>
  <c r="M9" i="11"/>
  <c r="I29" i="14" s="1"/>
  <c r="M12" i="11"/>
  <c r="I32" i="14" s="1"/>
  <c r="K13" i="11"/>
  <c r="F13" i="11"/>
  <c r="E12" i="11"/>
  <c r="B32" i="14" s="1"/>
  <c r="E11" i="11"/>
  <c r="B31" i="14" s="1"/>
  <c r="E10" i="11"/>
  <c r="B30" i="14" s="1"/>
  <c r="E9" i="11"/>
  <c r="B29" i="14" s="1"/>
  <c r="E8" i="11"/>
  <c r="B28" i="14" s="1"/>
  <c r="E7" i="11"/>
  <c r="B27" i="14" s="1"/>
  <c r="E6" i="11"/>
  <c r="B26" i="14" s="1"/>
  <c r="M19" i="11" l="1"/>
  <c r="L21" i="11"/>
  <c r="H26" i="13"/>
  <c r="I34" i="14"/>
  <c r="I33" i="14" s="1"/>
  <c r="O20" i="11"/>
  <c r="K35" i="14" s="1"/>
  <c r="M7" i="11"/>
  <c r="I27" i="14" s="1"/>
  <c r="B93" i="36"/>
  <c r="F92" i="36"/>
  <c r="C92" i="36"/>
  <c r="D92" i="36"/>
  <c r="E92" i="36"/>
  <c r="N10" i="11"/>
  <c r="J30" i="14" s="1"/>
  <c r="I30" i="14"/>
  <c r="O30" i="11"/>
  <c r="O36" i="11" s="1"/>
  <c r="N36" i="11"/>
  <c r="G25" i="13"/>
  <c r="G14" i="13" s="1"/>
  <c r="J50" i="11"/>
  <c r="I7" i="34"/>
  <c r="I8" i="32"/>
  <c r="H7" i="34"/>
  <c r="H8" i="32"/>
  <c r="J15" i="13"/>
  <c r="F14" i="13"/>
  <c r="I34" i="13"/>
  <c r="I23" i="13"/>
  <c r="I10" i="34" s="1"/>
  <c r="H7" i="32"/>
  <c r="N19" i="11"/>
  <c r="M21" i="11"/>
  <c r="N8" i="11"/>
  <c r="J28" i="14" s="1"/>
  <c r="M6" i="11"/>
  <c r="I26" i="14" s="1"/>
  <c r="N11" i="11"/>
  <c r="H25" i="14"/>
  <c r="I6" i="34" s="1"/>
  <c r="L13" i="11"/>
  <c r="K50" i="11" s="1"/>
  <c r="N9" i="11"/>
  <c r="J29" i="14" s="1"/>
  <c r="N12" i="11"/>
  <c r="J32" i="14" s="1"/>
  <c r="I26" i="13" l="1"/>
  <c r="J7" i="34"/>
  <c r="J8" i="32"/>
  <c r="J34" i="14"/>
  <c r="J33" i="14" s="1"/>
  <c r="P20" i="11"/>
  <c r="L35" i="14" s="1"/>
  <c r="N7" i="11"/>
  <c r="J27" i="14" s="1"/>
  <c r="C93" i="36"/>
  <c r="F93" i="36"/>
  <c r="E93" i="36"/>
  <c r="B94" i="36"/>
  <c r="D93" i="36"/>
  <c r="H25" i="13"/>
  <c r="O10" i="11"/>
  <c r="P10" i="11" s="1"/>
  <c r="L30" i="14" s="1"/>
  <c r="O11" i="11"/>
  <c r="K31" i="14" s="1"/>
  <c r="J31" i="14"/>
  <c r="K15" i="13"/>
  <c r="J34" i="13"/>
  <c r="J23" i="13"/>
  <c r="J10" i="34" s="1"/>
  <c r="I7" i="32"/>
  <c r="N21" i="11"/>
  <c r="O19" i="11"/>
  <c r="K34" i="14" s="1"/>
  <c r="O8" i="11"/>
  <c r="M13" i="11"/>
  <c r="L50" i="11" s="1"/>
  <c r="N6" i="11"/>
  <c r="I25" i="14"/>
  <c r="J6" i="34" s="1"/>
  <c r="O9" i="11"/>
  <c r="O12" i="11"/>
  <c r="K32" i="14" s="1"/>
  <c r="I25" i="5"/>
  <c r="I34" i="5" s="1"/>
  <c r="I9" i="5"/>
  <c r="C34" i="5"/>
  <c r="V378" i="10"/>
  <c r="AM22" i="10"/>
  <c r="AM21" i="10"/>
  <c r="AM20" i="10"/>
  <c r="AM19" i="10"/>
  <c r="G6" i="10" s="1"/>
  <c r="F11" i="10"/>
  <c r="C26" i="32" s="1"/>
  <c r="B10" i="10"/>
  <c r="F8" i="10"/>
  <c r="H7" i="10"/>
  <c r="H6" i="10"/>
  <c r="J26" i="13" l="1"/>
  <c r="K7" i="34"/>
  <c r="K8" i="32"/>
  <c r="Q20" i="11"/>
  <c r="C25" i="32"/>
  <c r="C30" i="32" s="1"/>
  <c r="O7" i="11"/>
  <c r="K27" i="14" s="1"/>
  <c r="F94" i="36"/>
  <c r="E94" i="36"/>
  <c r="D94" i="36"/>
  <c r="B95" i="36"/>
  <c r="C94" i="36"/>
  <c r="P11" i="11"/>
  <c r="L31" i="14" s="1"/>
  <c r="I25" i="13"/>
  <c r="K30" i="14"/>
  <c r="P8" i="11"/>
  <c r="L28" i="14" s="1"/>
  <c r="K28" i="14"/>
  <c r="P9" i="11"/>
  <c r="L29" i="14" s="1"/>
  <c r="K29" i="14"/>
  <c r="N13" i="11"/>
  <c r="M50" i="11" s="1"/>
  <c r="J26" i="14"/>
  <c r="J25" i="14" s="1"/>
  <c r="K6" i="34" s="1"/>
  <c r="K33" i="14"/>
  <c r="L8" i="32" s="1"/>
  <c r="P19" i="11"/>
  <c r="L34" i="14" s="1"/>
  <c r="P12" i="11"/>
  <c r="L15" i="13"/>
  <c r="H14" i="13"/>
  <c r="B13" i="10"/>
  <c r="K34" i="13"/>
  <c r="K23" i="13"/>
  <c r="K10" i="34" s="1"/>
  <c r="J7" i="32"/>
  <c r="O21" i="11"/>
  <c r="R20" i="11"/>
  <c r="O6" i="11"/>
  <c r="K26" i="14" s="1"/>
  <c r="Q10" i="11"/>
  <c r="R10" i="11" s="1"/>
  <c r="D12" i="10"/>
  <c r="C38" i="14" s="1"/>
  <c r="C37" i="14" s="1"/>
  <c r="K26" i="13" l="1"/>
  <c r="P7" i="11"/>
  <c r="L27" i="14" s="1"/>
  <c r="B96" i="36"/>
  <c r="D95" i="36"/>
  <c r="C95" i="36"/>
  <c r="F95" i="36"/>
  <c r="E95" i="36"/>
  <c r="Q11" i="11"/>
  <c r="R11" i="11" s="1"/>
  <c r="Q12" i="11"/>
  <c r="R12" i="11" s="1"/>
  <c r="L32" i="14"/>
  <c r="J25" i="13"/>
  <c r="L7" i="34"/>
  <c r="P6" i="11"/>
  <c r="P21" i="11"/>
  <c r="L33" i="14"/>
  <c r="I14" i="13"/>
  <c r="B14" i="10"/>
  <c r="L34" i="13"/>
  <c r="L23" i="13"/>
  <c r="L10" i="34" s="1"/>
  <c r="K7" i="32"/>
  <c r="Q19" i="11"/>
  <c r="O13" i="11"/>
  <c r="N50" i="11" s="1"/>
  <c r="Q8" i="11"/>
  <c r="R8" i="11" s="1"/>
  <c r="K25" i="14"/>
  <c r="L6" i="34" s="1"/>
  <c r="Q9" i="11"/>
  <c r="R9" i="11" s="1"/>
  <c r="L26" i="13" l="1"/>
  <c r="M10" i="34"/>
  <c r="Q7" i="11"/>
  <c r="R7" i="11" s="1"/>
  <c r="D96" i="36"/>
  <c r="C96" i="36"/>
  <c r="B97" i="36"/>
  <c r="F96" i="36"/>
  <c r="E96" i="36"/>
  <c r="K25" i="13"/>
  <c r="K14" i="13" s="1"/>
  <c r="P13" i="11"/>
  <c r="O50" i="11" s="1"/>
  <c r="L26" i="14"/>
  <c r="L25" i="14" s="1"/>
  <c r="M6" i="34" s="1"/>
  <c r="J14" i="13"/>
  <c r="M7" i="34"/>
  <c r="M8" i="32"/>
  <c r="B15" i="10"/>
  <c r="L7" i="32"/>
  <c r="R19" i="11"/>
  <c r="R21" i="11" s="1"/>
  <c r="Q21" i="11"/>
  <c r="Q6" i="11"/>
  <c r="R6" i="11" s="1"/>
  <c r="B98" i="36" l="1"/>
  <c r="F97" i="36"/>
  <c r="E97" i="36"/>
  <c r="C97" i="36"/>
  <c r="D97" i="36"/>
  <c r="M7" i="32"/>
  <c r="L25" i="13"/>
  <c r="L14" i="13" s="1"/>
  <c r="B16" i="10"/>
  <c r="E98" i="36" l="1"/>
  <c r="D98" i="36"/>
  <c r="B99" i="36"/>
  <c r="F98" i="36"/>
  <c r="C98" i="36"/>
  <c r="B17" i="10"/>
  <c r="E99" i="36" l="1"/>
  <c r="D99" i="36"/>
  <c r="C99" i="36"/>
  <c r="B100" i="36"/>
  <c r="F99" i="36"/>
  <c r="B18" i="10"/>
  <c r="B101" i="36" l="1"/>
  <c r="F100" i="36"/>
  <c r="C100" i="36"/>
  <c r="E100" i="36"/>
  <c r="D100" i="36"/>
  <c r="B19" i="10"/>
  <c r="C101" i="36" l="1"/>
  <c r="F101" i="36"/>
  <c r="E101" i="36"/>
  <c r="D101" i="36"/>
  <c r="B102" i="36"/>
  <c r="B20" i="10"/>
  <c r="F102" i="36" l="1"/>
  <c r="E102" i="36"/>
  <c r="D102" i="36"/>
  <c r="B103" i="36"/>
  <c r="C102" i="36"/>
  <c r="B21" i="10"/>
  <c r="B104" i="36" l="1"/>
  <c r="D103" i="36"/>
  <c r="C103" i="36"/>
  <c r="F103" i="36"/>
  <c r="E103" i="36"/>
  <c r="B22" i="10"/>
  <c r="D104" i="36" l="1"/>
  <c r="C104" i="36"/>
  <c r="B105" i="36"/>
  <c r="F104" i="36"/>
  <c r="E104" i="36"/>
  <c r="B23" i="10"/>
  <c r="C22" i="10"/>
  <c r="B106" i="36" l="1"/>
  <c r="F105" i="36"/>
  <c r="E105" i="36"/>
  <c r="C105" i="36"/>
  <c r="D105" i="36"/>
  <c r="C23" i="10"/>
  <c r="B24" i="10"/>
  <c r="E106" i="36" l="1"/>
  <c r="D106" i="36"/>
  <c r="B107" i="36"/>
  <c r="F106" i="36"/>
  <c r="C106" i="36"/>
  <c r="C24" i="10"/>
  <c r="B25" i="10"/>
  <c r="D24" i="10"/>
  <c r="E24" i="10" s="1"/>
  <c r="F24" i="10" s="1"/>
  <c r="E107" i="36" l="1"/>
  <c r="D107" i="36"/>
  <c r="C107" i="36"/>
  <c r="B108" i="36"/>
  <c r="F107" i="36"/>
  <c r="C25" i="10"/>
  <c r="B26" i="10"/>
  <c r="D25" i="10"/>
  <c r="E25" i="10" s="1"/>
  <c r="F25" i="10" s="1"/>
  <c r="B109" i="36" l="1"/>
  <c r="F108" i="36"/>
  <c r="C108" i="36"/>
  <c r="E108" i="36"/>
  <c r="D108" i="36"/>
  <c r="B27" i="10"/>
  <c r="C26" i="10"/>
  <c r="D26" i="10"/>
  <c r="E26" i="10" s="1"/>
  <c r="F26" i="10" s="1"/>
  <c r="C109" i="36" l="1"/>
  <c r="F109" i="36"/>
  <c r="E109" i="36"/>
  <c r="D109" i="36"/>
  <c r="B110" i="36"/>
  <c r="C27" i="10"/>
  <c r="B28" i="10"/>
  <c r="D27" i="10"/>
  <c r="E27" i="10" s="1"/>
  <c r="F27" i="10" s="1"/>
  <c r="F110" i="36" l="1"/>
  <c r="E110" i="36"/>
  <c r="D110" i="36"/>
  <c r="B111" i="36"/>
  <c r="C110" i="36"/>
  <c r="C28" i="10"/>
  <c r="B29" i="10"/>
  <c r="D28" i="10"/>
  <c r="E28" i="10" s="1"/>
  <c r="F28" i="10" s="1"/>
  <c r="B112" i="36" l="1"/>
  <c r="D111" i="36"/>
  <c r="C111" i="36"/>
  <c r="F111" i="36"/>
  <c r="E111" i="36"/>
  <c r="C29" i="10"/>
  <c r="B30" i="10"/>
  <c r="D29" i="10"/>
  <c r="E29" i="10" s="1"/>
  <c r="F29" i="10" s="1"/>
  <c r="D112" i="36" l="1"/>
  <c r="C112" i="36"/>
  <c r="B113" i="36"/>
  <c r="F112" i="36"/>
  <c r="E112" i="36"/>
  <c r="B31" i="10"/>
  <c r="C30" i="10"/>
  <c r="D30" i="10"/>
  <c r="E30" i="10" s="1"/>
  <c r="F30" i="10" s="1"/>
  <c r="B114" i="36" l="1"/>
  <c r="F113" i="36"/>
  <c r="E113" i="36"/>
  <c r="D113" i="36"/>
  <c r="C113" i="36"/>
  <c r="C31" i="10"/>
  <c r="B32" i="10"/>
  <c r="D31" i="10"/>
  <c r="E31" i="10" s="1"/>
  <c r="F31" i="10" s="1"/>
  <c r="E114" i="36" l="1"/>
  <c r="D114" i="36"/>
  <c r="C114" i="36"/>
  <c r="B115" i="36"/>
  <c r="F114" i="36"/>
  <c r="C32" i="10"/>
  <c r="B33" i="10"/>
  <c r="D32" i="10"/>
  <c r="E32" i="10" s="1"/>
  <c r="F32" i="10" s="1"/>
  <c r="E115" i="36" l="1"/>
  <c r="D115" i="36"/>
  <c r="C115" i="36"/>
  <c r="B116" i="36"/>
  <c r="F115" i="36"/>
  <c r="B34" i="10"/>
  <c r="C33" i="10"/>
  <c r="D33" i="10"/>
  <c r="E33" i="10" s="1"/>
  <c r="F33" i="10" s="1"/>
  <c r="B117" i="36" l="1"/>
  <c r="F116" i="36"/>
  <c r="C116" i="36"/>
  <c r="E116" i="36"/>
  <c r="D116" i="36"/>
  <c r="C34" i="10"/>
  <c r="B35" i="10"/>
  <c r="D34" i="10"/>
  <c r="E34" i="10" s="1"/>
  <c r="F34" i="10" s="1"/>
  <c r="C117" i="36" l="1"/>
  <c r="F117" i="36"/>
  <c r="E117" i="36"/>
  <c r="B118" i="36"/>
  <c r="D117" i="36"/>
  <c r="B36" i="10"/>
  <c r="C35" i="10"/>
  <c r="D35" i="10"/>
  <c r="E35" i="10" s="1"/>
  <c r="F35" i="10" s="1"/>
  <c r="F118" i="36" l="1"/>
  <c r="E118" i="36"/>
  <c r="D118" i="36"/>
  <c r="C118" i="36"/>
  <c r="B119" i="36"/>
  <c r="C36" i="10"/>
  <c r="B37" i="10"/>
  <c r="D36" i="10"/>
  <c r="E36" i="10" s="1"/>
  <c r="F36" i="10" s="1"/>
  <c r="B120" i="36" l="1"/>
  <c r="D119" i="36"/>
  <c r="C119" i="36"/>
  <c r="F119" i="36"/>
  <c r="E119" i="36"/>
  <c r="C37" i="10"/>
  <c r="B38" i="10"/>
  <c r="D37" i="10"/>
  <c r="E37" i="10" s="1"/>
  <c r="F37" i="10" s="1"/>
  <c r="D120" i="36" l="1"/>
  <c r="C120" i="36"/>
  <c r="B121" i="36"/>
  <c r="F120" i="36"/>
  <c r="E120" i="36"/>
  <c r="C38" i="10"/>
  <c r="B39" i="10"/>
  <c r="D38" i="10"/>
  <c r="E38" i="10" s="1"/>
  <c r="F38" i="10" s="1"/>
  <c r="B122" i="36" l="1"/>
  <c r="F121" i="36"/>
  <c r="E121" i="36"/>
  <c r="D121" i="36"/>
  <c r="C121" i="36"/>
  <c r="C39" i="10"/>
  <c r="B40" i="10"/>
  <c r="D39" i="10"/>
  <c r="E39" i="10" s="1"/>
  <c r="F39" i="10" s="1"/>
  <c r="E122" i="36" l="1"/>
  <c r="D122" i="36"/>
  <c r="C122" i="36"/>
  <c r="F122" i="36"/>
  <c r="B123" i="36"/>
  <c r="B41" i="10"/>
  <c r="C40" i="10"/>
  <c r="D40" i="10"/>
  <c r="E40" i="10" s="1"/>
  <c r="F40" i="10" s="1"/>
  <c r="E123" i="36" l="1"/>
  <c r="D123" i="36"/>
  <c r="C123" i="36"/>
  <c r="B124" i="36"/>
  <c r="F123" i="36"/>
  <c r="B42" i="10"/>
  <c r="C41" i="10"/>
  <c r="D41" i="10"/>
  <c r="E41" i="10" s="1"/>
  <c r="F41" i="10" s="1"/>
  <c r="B125" i="36" l="1"/>
  <c r="F124" i="36"/>
  <c r="C124" i="36"/>
  <c r="E124" i="36"/>
  <c r="D124" i="36"/>
  <c r="C42" i="10"/>
  <c r="B43" i="10"/>
  <c r="D42" i="10"/>
  <c r="E42" i="10" s="1"/>
  <c r="F42" i="10" s="1"/>
  <c r="C125" i="36" l="1"/>
  <c r="F125" i="36"/>
  <c r="E125" i="36"/>
  <c r="B126" i="36"/>
  <c r="D125" i="36"/>
  <c r="C43" i="10"/>
  <c r="B44" i="10"/>
  <c r="D43" i="10"/>
  <c r="E43" i="10" s="1"/>
  <c r="F43" i="10" s="1"/>
  <c r="F126" i="36" l="1"/>
  <c r="E126" i="36"/>
  <c r="D126" i="36"/>
  <c r="C126" i="36"/>
  <c r="B127" i="36"/>
  <c r="B45" i="10"/>
  <c r="C44" i="10"/>
  <c r="D44" i="10"/>
  <c r="E44" i="10" s="1"/>
  <c r="F44" i="10"/>
  <c r="B128" i="36" l="1"/>
  <c r="D127" i="36"/>
  <c r="C127" i="36"/>
  <c r="F127" i="36"/>
  <c r="E127" i="36"/>
  <c r="C45" i="10"/>
  <c r="B46" i="10"/>
  <c r="D45" i="10"/>
  <c r="E45" i="10" s="1"/>
  <c r="F45" i="10" s="1"/>
  <c r="D128" i="36" l="1"/>
  <c r="C128" i="36"/>
  <c r="B129" i="36"/>
  <c r="F128" i="36"/>
  <c r="E128" i="36"/>
  <c r="B47" i="10"/>
  <c r="C46" i="10"/>
  <c r="D46" i="10"/>
  <c r="E46" i="10" s="1"/>
  <c r="F46" i="10" s="1"/>
  <c r="B130" i="36" l="1"/>
  <c r="F129" i="36"/>
  <c r="E129" i="36"/>
  <c r="D129" i="36"/>
  <c r="C129" i="36"/>
  <c r="B48" i="10"/>
  <c r="C47" i="10"/>
  <c r="D47" i="10"/>
  <c r="E47" i="10" s="1"/>
  <c r="F47" i="10"/>
  <c r="E130" i="36" l="1"/>
  <c r="D130" i="36"/>
  <c r="F130" i="36"/>
  <c r="C130" i="36"/>
  <c r="B131" i="36"/>
  <c r="C48" i="10"/>
  <c r="B49" i="10"/>
  <c r="D48" i="10"/>
  <c r="E48" i="10" s="1"/>
  <c r="F48" i="10" s="1"/>
  <c r="E131" i="36" l="1"/>
  <c r="D131" i="36"/>
  <c r="C131" i="36"/>
  <c r="B132" i="36"/>
  <c r="F131" i="36"/>
  <c r="C49" i="10"/>
  <c r="B50" i="10"/>
  <c r="D49" i="10"/>
  <c r="E49" i="10" s="1"/>
  <c r="F49" i="10" s="1"/>
  <c r="B133" i="36" l="1"/>
  <c r="F132" i="36"/>
  <c r="C132" i="36"/>
  <c r="E132" i="36"/>
  <c r="D132" i="36"/>
  <c r="C50" i="10"/>
  <c r="B51" i="10"/>
  <c r="D50" i="10"/>
  <c r="E50" i="10" s="1"/>
  <c r="F50" i="10" s="1"/>
  <c r="C133" i="36" l="1"/>
  <c r="F133" i="36"/>
  <c r="E133" i="36"/>
  <c r="B134" i="36"/>
  <c r="D133" i="36"/>
  <c r="C51" i="10"/>
  <c r="B52" i="10"/>
  <c r="D51" i="10"/>
  <c r="E51" i="10" s="1"/>
  <c r="F51" i="10" s="1"/>
  <c r="F134" i="36" l="1"/>
  <c r="E134" i="36"/>
  <c r="D134" i="36"/>
  <c r="B135" i="36"/>
  <c r="C134" i="36"/>
  <c r="C52" i="10"/>
  <c r="B53" i="10"/>
  <c r="D52" i="10"/>
  <c r="E52" i="10" s="1"/>
  <c r="F52" i="10"/>
  <c r="B136" i="36" l="1"/>
  <c r="D135" i="36"/>
  <c r="C135" i="36"/>
  <c r="E135" i="36"/>
  <c r="F135" i="36"/>
  <c r="C53" i="10"/>
  <c r="B54" i="10"/>
  <c r="D53" i="10"/>
  <c r="E53" i="10" s="1"/>
  <c r="F53" i="10" s="1"/>
  <c r="D136" i="36" l="1"/>
  <c r="C136" i="36"/>
  <c r="B137" i="36"/>
  <c r="F136" i="36"/>
  <c r="E136" i="36"/>
  <c r="C54" i="10"/>
  <c r="B55" i="10"/>
  <c r="D54" i="10"/>
  <c r="E54" i="10" s="1"/>
  <c r="F54" i="10" s="1"/>
  <c r="B138" i="36" l="1"/>
  <c r="F137" i="36"/>
  <c r="E137" i="36"/>
  <c r="D137" i="36"/>
  <c r="C137" i="36"/>
  <c r="B56" i="10"/>
  <c r="C55" i="10"/>
  <c r="D55" i="10"/>
  <c r="E55" i="10" s="1"/>
  <c r="F55" i="10" s="1"/>
  <c r="E138" i="36" l="1"/>
  <c r="D138" i="36"/>
  <c r="B139" i="36"/>
  <c r="F138" i="36"/>
  <c r="C138" i="36"/>
  <c r="C56" i="10"/>
  <c r="B57" i="10"/>
  <c r="D56" i="10"/>
  <c r="E56" i="10" s="1"/>
  <c r="F56" i="10" s="1"/>
  <c r="E139" i="36" l="1"/>
  <c r="D139" i="36"/>
  <c r="C139" i="36"/>
  <c r="B140" i="36"/>
  <c r="F139" i="36"/>
  <c r="B58" i="10"/>
  <c r="C57" i="10"/>
  <c r="D57" i="10"/>
  <c r="E57" i="10" s="1"/>
  <c r="F57" i="10" s="1"/>
  <c r="B141" i="36" l="1"/>
  <c r="F140" i="36"/>
  <c r="C140" i="36"/>
  <c r="E140" i="36"/>
  <c r="D140" i="36"/>
  <c r="B59" i="10"/>
  <c r="C58" i="10"/>
  <c r="F58" i="10"/>
  <c r="D58" i="10"/>
  <c r="E58" i="10" s="1"/>
  <c r="C141" i="36" l="1"/>
  <c r="F141" i="36"/>
  <c r="E141" i="36"/>
  <c r="B142" i="36"/>
  <c r="D141" i="36"/>
  <c r="C59" i="10"/>
  <c r="B60" i="10"/>
  <c r="D59" i="10"/>
  <c r="E59" i="10" s="1"/>
  <c r="F59" i="10" s="1"/>
  <c r="F142" i="36" l="1"/>
  <c r="E142" i="36"/>
  <c r="D142" i="36"/>
  <c r="B143" i="36"/>
  <c r="C142" i="36"/>
  <c r="B61" i="10"/>
  <c r="C60" i="10"/>
  <c r="D60" i="10"/>
  <c r="E60" i="10" s="1"/>
  <c r="F60" i="10" s="1"/>
  <c r="B144" i="36" l="1"/>
  <c r="D143" i="36"/>
  <c r="C143" i="36"/>
  <c r="E143" i="36"/>
  <c r="F143" i="36"/>
  <c r="C61" i="10"/>
  <c r="B62" i="10"/>
  <c r="D61" i="10"/>
  <c r="E61" i="10" s="1"/>
  <c r="F61" i="10" s="1"/>
  <c r="D144" i="36" l="1"/>
  <c r="C144" i="36"/>
  <c r="B145" i="36"/>
  <c r="F144" i="36"/>
  <c r="E144" i="36"/>
  <c r="B63" i="10"/>
  <c r="C62" i="10"/>
  <c r="D62" i="10"/>
  <c r="E62" i="10" s="1"/>
  <c r="F62" i="10" s="1"/>
  <c r="B146" i="36" l="1"/>
  <c r="F145" i="36"/>
  <c r="E145" i="36"/>
  <c r="D145" i="36"/>
  <c r="C145" i="36"/>
  <c r="B64" i="10"/>
  <c r="C63" i="10"/>
  <c r="D63" i="10"/>
  <c r="E63" i="10" s="1"/>
  <c r="F63" i="10" s="1"/>
  <c r="E146" i="36" l="1"/>
  <c r="D146" i="36"/>
  <c r="B147" i="36"/>
  <c r="F146" i="36"/>
  <c r="C146" i="36"/>
  <c r="B65" i="10"/>
  <c r="C64" i="10"/>
  <c r="D64" i="10"/>
  <c r="E64" i="10" s="1"/>
  <c r="F64" i="10" s="1"/>
  <c r="E147" i="36" l="1"/>
  <c r="D147" i="36"/>
  <c r="C147" i="36"/>
  <c r="B148" i="36"/>
  <c r="F147" i="36"/>
  <c r="C65" i="10"/>
  <c r="B66" i="10"/>
  <c r="D65" i="10"/>
  <c r="E65" i="10" s="1"/>
  <c r="F65" i="10" s="1"/>
  <c r="B149" i="36" l="1"/>
  <c r="F148" i="36"/>
  <c r="C148" i="36"/>
  <c r="D148" i="36"/>
  <c r="E148" i="36"/>
  <c r="B67" i="10"/>
  <c r="C66" i="10"/>
  <c r="D66" i="10"/>
  <c r="E66" i="10" s="1"/>
  <c r="F66" i="10" s="1"/>
  <c r="C149" i="36" l="1"/>
  <c r="F149" i="36"/>
  <c r="E149" i="36"/>
  <c r="B150" i="36"/>
  <c r="D149" i="36"/>
  <c r="C67" i="10"/>
  <c r="B68" i="10"/>
  <c r="D67" i="10"/>
  <c r="E67" i="10" s="1"/>
  <c r="F67" i="10" s="1"/>
  <c r="F150" i="36" l="1"/>
  <c r="E150" i="36"/>
  <c r="D150" i="36"/>
  <c r="B151" i="36"/>
  <c r="C150" i="36"/>
  <c r="B69" i="10"/>
  <c r="C68" i="10"/>
  <c r="D68" i="10"/>
  <c r="E68" i="10" s="1"/>
  <c r="F68" i="10" s="1"/>
  <c r="B152" i="36" l="1"/>
  <c r="D151" i="36"/>
  <c r="C151" i="36"/>
  <c r="F151" i="36"/>
  <c r="E151" i="36"/>
  <c r="C69" i="10"/>
  <c r="B70" i="10"/>
  <c r="D69" i="10"/>
  <c r="E69" i="10" s="1"/>
  <c r="F69" i="10" s="1"/>
  <c r="D152" i="36" l="1"/>
  <c r="C152" i="36"/>
  <c r="B153" i="36"/>
  <c r="F152" i="36"/>
  <c r="E152" i="36"/>
  <c r="B71" i="10"/>
  <c r="C70" i="10"/>
  <c r="D70" i="10"/>
  <c r="E70" i="10" s="1"/>
  <c r="F70" i="10" s="1"/>
  <c r="B154" i="36" l="1"/>
  <c r="F153" i="36"/>
  <c r="E153" i="36"/>
  <c r="D153" i="36"/>
  <c r="C153" i="36"/>
  <c r="B72" i="10"/>
  <c r="C71" i="10"/>
  <c r="D71" i="10"/>
  <c r="E71" i="10" s="1"/>
  <c r="F71" i="10" s="1"/>
  <c r="E154" i="36" l="1"/>
  <c r="D154" i="36"/>
  <c r="B155" i="36"/>
  <c r="F154" i="36"/>
  <c r="C154" i="36"/>
  <c r="B73" i="10"/>
  <c r="C72" i="10"/>
  <c r="D72" i="10"/>
  <c r="E72" i="10" s="1"/>
  <c r="F72" i="10" s="1"/>
  <c r="E155" i="36" l="1"/>
  <c r="D155" i="36"/>
  <c r="C155" i="36"/>
  <c r="B156" i="36"/>
  <c r="F155" i="36"/>
  <c r="C73" i="10"/>
  <c r="B74" i="10"/>
  <c r="D73" i="10"/>
  <c r="E73" i="10" s="1"/>
  <c r="F73" i="10" s="1"/>
  <c r="B157" i="36" l="1"/>
  <c r="F156" i="36"/>
  <c r="C156" i="36"/>
  <c r="D156" i="36"/>
  <c r="E156" i="36"/>
  <c r="C74" i="10"/>
  <c r="B75" i="10"/>
  <c r="D74" i="10"/>
  <c r="E74" i="10" s="1"/>
  <c r="F74" i="10" s="1"/>
  <c r="D157" i="36" l="1"/>
  <c r="C157" i="36"/>
  <c r="B158" i="36"/>
  <c r="F157" i="36"/>
  <c r="E157" i="36"/>
  <c r="B76" i="10"/>
  <c r="C75" i="10"/>
  <c r="D75" i="10"/>
  <c r="E75" i="10" s="1"/>
  <c r="F75" i="10" s="1"/>
  <c r="C158" i="36" l="1"/>
  <c r="B159" i="36"/>
  <c r="F158" i="36"/>
  <c r="E158" i="36"/>
  <c r="D158" i="36"/>
  <c r="B77" i="10"/>
  <c r="C76" i="10"/>
  <c r="D76" i="10"/>
  <c r="E76" i="10" s="1"/>
  <c r="F76" i="10" s="1"/>
  <c r="F159" i="36" l="1"/>
  <c r="D159" i="36"/>
  <c r="C159" i="36"/>
  <c r="B160" i="36"/>
  <c r="E159" i="36"/>
  <c r="C77" i="10"/>
  <c r="B78" i="10"/>
  <c r="D77" i="10"/>
  <c r="E77" i="10" s="1"/>
  <c r="F77" i="10" s="1"/>
  <c r="C160" i="36" l="1"/>
  <c r="E160" i="36"/>
  <c r="D160" i="36"/>
  <c r="B161" i="36"/>
  <c r="F160" i="36"/>
  <c r="C78" i="10"/>
  <c r="B79" i="10"/>
  <c r="D78" i="10"/>
  <c r="E78" i="10" s="1"/>
  <c r="F78" i="10" s="1"/>
  <c r="F161" i="36" l="1"/>
  <c r="D161" i="36"/>
  <c r="B162" i="36"/>
  <c r="E161" i="36"/>
  <c r="C161" i="36"/>
  <c r="C79" i="10"/>
  <c r="B80" i="10"/>
  <c r="D79" i="10"/>
  <c r="E79" i="10" s="1"/>
  <c r="F79" i="10" s="1"/>
  <c r="B163" i="36" l="1"/>
  <c r="C162" i="36"/>
  <c r="F162" i="36"/>
  <c r="E162" i="36"/>
  <c r="D162" i="36"/>
  <c r="C80" i="10"/>
  <c r="B81" i="10"/>
  <c r="D80" i="10"/>
  <c r="E80" i="10" s="1"/>
  <c r="F80" i="10" s="1"/>
  <c r="D163" i="36" l="1"/>
  <c r="F163" i="36"/>
  <c r="B164" i="36"/>
  <c r="C163" i="36"/>
  <c r="E163" i="36"/>
  <c r="B82" i="10"/>
  <c r="C81" i="10"/>
  <c r="D81" i="10"/>
  <c r="E81" i="10" s="1"/>
  <c r="F81" i="10" s="1"/>
  <c r="B165" i="36" l="1"/>
  <c r="E164" i="36"/>
  <c r="D164" i="36"/>
  <c r="C164" i="36"/>
  <c r="F164" i="36"/>
  <c r="C82" i="10"/>
  <c r="B83" i="10"/>
  <c r="D82" i="10"/>
  <c r="E82" i="10" s="1"/>
  <c r="F82" i="10" s="1"/>
  <c r="D165" i="36" l="1"/>
  <c r="E165" i="36"/>
  <c r="C165" i="36"/>
  <c r="B166" i="36"/>
  <c r="F165" i="36"/>
  <c r="C83" i="10"/>
  <c r="B84" i="10"/>
  <c r="D83" i="10"/>
  <c r="E83" i="10" s="1"/>
  <c r="F83" i="10" s="1"/>
  <c r="E166" i="36" l="1"/>
  <c r="C166" i="36"/>
  <c r="B167" i="36"/>
  <c r="F166" i="36"/>
  <c r="D166" i="36"/>
  <c r="F84" i="10"/>
  <c r="C84" i="10"/>
  <c r="B85" i="10"/>
  <c r="E84" i="10"/>
  <c r="D84" i="10"/>
  <c r="B168" i="36" l="1"/>
  <c r="F167" i="36"/>
  <c r="C167" i="36"/>
  <c r="E167" i="36"/>
  <c r="D167" i="36"/>
  <c r="E85" i="10"/>
  <c r="D85" i="10"/>
  <c r="C85" i="10"/>
  <c r="B86" i="10"/>
  <c r="F85" i="10"/>
  <c r="C168" i="36" l="1"/>
  <c r="E168" i="36"/>
  <c r="D168" i="36"/>
  <c r="B169" i="36"/>
  <c r="F168" i="36"/>
  <c r="D86" i="10"/>
  <c r="C86" i="10"/>
  <c r="B87" i="10"/>
  <c r="F86" i="10"/>
  <c r="E86" i="10"/>
  <c r="F169" i="36" l="1"/>
  <c r="E169" i="36"/>
  <c r="D169" i="36"/>
  <c r="B170" i="36"/>
  <c r="C169" i="36"/>
  <c r="E87" i="10"/>
  <c r="D87" i="10"/>
  <c r="B88" i="10"/>
  <c r="C87" i="10"/>
  <c r="F87" i="10"/>
  <c r="B171" i="36" l="1"/>
  <c r="C170" i="36"/>
  <c r="D170" i="36"/>
  <c r="F170" i="36"/>
  <c r="E170" i="36"/>
  <c r="C88" i="10"/>
  <c r="B89" i="10"/>
  <c r="E88" i="10"/>
  <c r="F88" i="10"/>
  <c r="D88" i="10"/>
  <c r="D171" i="36" l="1"/>
  <c r="C171" i="36"/>
  <c r="F171" i="36"/>
  <c r="E171" i="36"/>
  <c r="B172" i="36"/>
  <c r="D89" i="10"/>
  <c r="C89" i="10"/>
  <c r="F89" i="10"/>
  <c r="E89" i="10"/>
  <c r="B90" i="10"/>
  <c r="B173" i="36" l="1"/>
  <c r="F172" i="36"/>
  <c r="E172" i="36"/>
  <c r="D172" i="36"/>
  <c r="C172" i="36"/>
  <c r="F90" i="10"/>
  <c r="E90" i="10"/>
  <c r="D90" i="10"/>
  <c r="B91" i="10"/>
  <c r="C90" i="10"/>
  <c r="D173" i="36" l="1"/>
  <c r="E173" i="36"/>
  <c r="C173" i="36"/>
  <c r="B174" i="36"/>
  <c r="F173" i="36"/>
  <c r="D91" i="10"/>
  <c r="B92" i="10"/>
  <c r="E91" i="10"/>
  <c r="C91" i="10"/>
  <c r="F91" i="10"/>
  <c r="E174" i="36" l="1"/>
  <c r="D174" i="36"/>
  <c r="C174" i="36"/>
  <c r="B175" i="36"/>
  <c r="F174" i="36"/>
  <c r="D92" i="10"/>
  <c r="C92" i="10"/>
  <c r="B93" i="10"/>
  <c r="E92" i="10"/>
  <c r="F92" i="10"/>
  <c r="B176" i="36" l="1"/>
  <c r="F175" i="36"/>
  <c r="E175" i="36"/>
  <c r="D175" i="36"/>
  <c r="C175" i="36"/>
  <c r="B94" i="10"/>
  <c r="E93" i="10"/>
  <c r="F93" i="10"/>
  <c r="D93" i="10"/>
  <c r="C93" i="10"/>
  <c r="C176" i="36" l="1"/>
  <c r="E176" i="36"/>
  <c r="F176" i="36"/>
  <c r="D176" i="36"/>
  <c r="B177" i="36"/>
  <c r="D94" i="10"/>
  <c r="C94" i="10"/>
  <c r="B95" i="10"/>
  <c r="F94" i="10"/>
  <c r="E94" i="10"/>
  <c r="F177" i="36" l="1"/>
  <c r="E177" i="36"/>
  <c r="D177" i="36"/>
  <c r="B178" i="36"/>
  <c r="C177" i="36"/>
  <c r="E95" i="10"/>
  <c r="F95" i="10"/>
  <c r="D95" i="10"/>
  <c r="C95" i="10"/>
  <c r="B96" i="10"/>
  <c r="B179" i="36" l="1"/>
  <c r="C178" i="36"/>
  <c r="F178" i="36"/>
  <c r="D178" i="36"/>
  <c r="E178" i="36"/>
  <c r="C96" i="10"/>
  <c r="D96" i="10"/>
  <c r="B97" i="10"/>
  <c r="F96" i="10"/>
  <c r="E96" i="10"/>
  <c r="D179" i="36" l="1"/>
  <c r="C179" i="36"/>
  <c r="F179" i="36"/>
  <c r="B180" i="36"/>
  <c r="E179" i="36"/>
  <c r="D97" i="10"/>
  <c r="C97" i="10"/>
  <c r="B98" i="10"/>
  <c r="F97" i="10"/>
  <c r="E97" i="10"/>
  <c r="B181" i="36" l="1"/>
  <c r="F180" i="36"/>
  <c r="E180" i="36"/>
  <c r="D180" i="36"/>
  <c r="C180" i="36"/>
  <c r="F98" i="10"/>
  <c r="E98" i="10"/>
  <c r="B99" i="10"/>
  <c r="D98" i="10"/>
  <c r="C98" i="10"/>
  <c r="D181" i="36" l="1"/>
  <c r="B182" i="36"/>
  <c r="C181" i="36"/>
  <c r="F181" i="36"/>
  <c r="E181" i="36"/>
  <c r="D99" i="10"/>
  <c r="C99" i="10"/>
  <c r="F99" i="10"/>
  <c r="E99" i="10"/>
  <c r="B100" i="10"/>
  <c r="E182" i="36" l="1"/>
  <c r="D182" i="36"/>
  <c r="C182" i="36"/>
  <c r="B183" i="36"/>
  <c r="F182" i="36"/>
  <c r="D100" i="10"/>
  <c r="F100" i="10"/>
  <c r="E100" i="10"/>
  <c r="C100" i="10"/>
  <c r="B101" i="10"/>
  <c r="B184" i="36" l="1"/>
  <c r="F183" i="36"/>
  <c r="C183" i="36"/>
  <c r="E183" i="36"/>
  <c r="D183" i="36"/>
  <c r="B102" i="10"/>
  <c r="F101" i="10"/>
  <c r="E101" i="10"/>
  <c r="D101" i="10"/>
  <c r="C101" i="10"/>
  <c r="C184" i="36" l="1"/>
  <c r="E184" i="36"/>
  <c r="D184" i="36"/>
  <c r="B185" i="36"/>
  <c r="F184" i="36"/>
  <c r="D102" i="10"/>
  <c r="C102" i="10"/>
  <c r="B103" i="10"/>
  <c r="E102" i="10"/>
  <c r="F102" i="10"/>
  <c r="F185" i="36" l="1"/>
  <c r="E185" i="36"/>
  <c r="D185" i="36"/>
  <c r="B186" i="36"/>
  <c r="C185" i="36"/>
  <c r="E103" i="10"/>
  <c r="D103" i="10"/>
  <c r="C103" i="10"/>
  <c r="F103" i="10"/>
  <c r="B104" i="10"/>
  <c r="B187" i="36" l="1"/>
  <c r="E186" i="36"/>
  <c r="C186" i="36"/>
  <c r="D186" i="36"/>
  <c r="F186" i="36"/>
  <c r="C104" i="10"/>
  <c r="D104" i="10"/>
  <c r="B105" i="10"/>
  <c r="F104" i="10"/>
  <c r="E104" i="10"/>
  <c r="D187" i="36" l="1"/>
  <c r="C187" i="36"/>
  <c r="F187" i="36"/>
  <c r="B188" i="36"/>
  <c r="E187" i="36"/>
  <c r="D105" i="10"/>
  <c r="C105" i="10"/>
  <c r="B106" i="10"/>
  <c r="E105" i="10"/>
  <c r="F105" i="10"/>
  <c r="B189" i="36" l="1"/>
  <c r="F188" i="36"/>
  <c r="E188" i="36"/>
  <c r="C188" i="36"/>
  <c r="D188" i="36"/>
  <c r="F106" i="10"/>
  <c r="E106" i="10"/>
  <c r="D106" i="10"/>
  <c r="C106" i="10"/>
  <c r="B107" i="10"/>
  <c r="F189" i="36" l="1"/>
  <c r="D189" i="36"/>
  <c r="B190" i="36"/>
  <c r="E189" i="36"/>
  <c r="C189" i="36"/>
  <c r="D107" i="10"/>
  <c r="C107" i="10"/>
  <c r="F107" i="10"/>
  <c r="B108" i="10"/>
  <c r="E107" i="10"/>
  <c r="E190" i="36" l="1"/>
  <c r="D190" i="36"/>
  <c r="C190" i="36"/>
  <c r="B191" i="36"/>
  <c r="F190" i="36"/>
  <c r="D108" i="10"/>
  <c r="C108" i="10"/>
  <c r="B109" i="10"/>
  <c r="E108" i="10"/>
  <c r="F108" i="10"/>
  <c r="B192" i="36" l="1"/>
  <c r="F191" i="36"/>
  <c r="D191" i="36"/>
  <c r="E191" i="36"/>
  <c r="C191" i="36"/>
  <c r="B110" i="10"/>
  <c r="F109" i="10"/>
  <c r="C109" i="10"/>
  <c r="D109" i="10"/>
  <c r="E109" i="10"/>
  <c r="C192" i="36" l="1"/>
  <c r="B193" i="36"/>
  <c r="E192" i="36"/>
  <c r="D192" i="36"/>
  <c r="F192" i="36"/>
  <c r="D110" i="10"/>
  <c r="C110" i="10"/>
  <c r="F110" i="10"/>
  <c r="E110" i="10"/>
  <c r="B111" i="10"/>
  <c r="F193" i="36" l="1"/>
  <c r="E193" i="36"/>
  <c r="D193" i="36"/>
  <c r="B194" i="36"/>
  <c r="C193" i="36"/>
  <c r="E111" i="10"/>
  <c r="D111" i="10"/>
  <c r="C111" i="10"/>
  <c r="F111" i="10"/>
  <c r="B112" i="10"/>
  <c r="B195" i="36" l="1"/>
  <c r="E194" i="36"/>
  <c r="C194" i="36"/>
  <c r="F194" i="36"/>
  <c r="D194" i="36"/>
  <c r="B113" i="10"/>
  <c r="F112" i="10"/>
  <c r="E112" i="10"/>
  <c r="D112" i="10"/>
  <c r="C112" i="10"/>
  <c r="D195" i="36" l="1"/>
  <c r="C195" i="36"/>
  <c r="F195" i="36"/>
  <c r="B196" i="36"/>
  <c r="E195" i="36"/>
  <c r="D113" i="10"/>
  <c r="C113" i="10"/>
  <c r="F113" i="10"/>
  <c r="B114" i="10"/>
  <c r="E113" i="10"/>
  <c r="B197" i="36" l="1"/>
  <c r="F196" i="36"/>
  <c r="E196" i="36"/>
  <c r="C196" i="36"/>
  <c r="D196" i="36"/>
  <c r="F114" i="10"/>
  <c r="E114" i="10"/>
  <c r="B115" i="10"/>
  <c r="C114" i="10"/>
  <c r="D114" i="10"/>
  <c r="F197" i="36" l="1"/>
  <c r="D197" i="36"/>
  <c r="B198" i="36"/>
  <c r="E197" i="36"/>
  <c r="C197" i="36"/>
  <c r="D115" i="10"/>
  <c r="C115" i="10"/>
  <c r="F115" i="10"/>
  <c r="E115" i="10"/>
  <c r="B116" i="10"/>
  <c r="E198" i="36" l="1"/>
  <c r="D198" i="36"/>
  <c r="C198" i="36"/>
  <c r="B199" i="36"/>
  <c r="F198" i="36"/>
  <c r="D116" i="10"/>
  <c r="C116" i="10"/>
  <c r="B117" i="10"/>
  <c r="F116" i="10"/>
  <c r="E116" i="10"/>
  <c r="B200" i="36" l="1"/>
  <c r="F199" i="36"/>
  <c r="E199" i="36"/>
  <c r="D199" i="36"/>
  <c r="C199" i="36"/>
  <c r="B118" i="10"/>
  <c r="F117" i="10"/>
  <c r="E117" i="10"/>
  <c r="C117" i="10"/>
  <c r="D117" i="10"/>
  <c r="C200" i="36" l="1"/>
  <c r="B201" i="36"/>
  <c r="E200" i="36"/>
  <c r="F200" i="36"/>
  <c r="D200" i="36"/>
  <c r="D118" i="10"/>
  <c r="C118" i="10"/>
  <c r="B119" i="10"/>
  <c r="F118" i="10"/>
  <c r="E118" i="10"/>
  <c r="F201" i="36" l="1"/>
  <c r="E201" i="36"/>
  <c r="D201" i="36"/>
  <c r="C201" i="36"/>
  <c r="B202" i="36"/>
  <c r="F119" i="10"/>
  <c r="E119" i="10"/>
  <c r="D119" i="10"/>
  <c r="C119" i="10"/>
  <c r="B120" i="10"/>
  <c r="B203" i="36" l="1"/>
  <c r="F202" i="36"/>
  <c r="E202" i="36"/>
  <c r="C202" i="36"/>
  <c r="D202" i="36"/>
  <c r="E120" i="10"/>
  <c r="C120" i="10"/>
  <c r="B121" i="10"/>
  <c r="D120" i="10"/>
  <c r="F120" i="10"/>
  <c r="D203" i="36" l="1"/>
  <c r="C203" i="36"/>
  <c r="F203" i="36"/>
  <c r="B204" i="36"/>
  <c r="E203" i="36"/>
  <c r="E121" i="10"/>
  <c r="D121" i="10"/>
  <c r="B122" i="10"/>
  <c r="F121" i="10"/>
  <c r="C121" i="10"/>
  <c r="B205" i="36" l="1"/>
  <c r="F204" i="36"/>
  <c r="E204" i="36"/>
  <c r="D204" i="36"/>
  <c r="C204" i="36"/>
  <c r="D122" i="10"/>
  <c r="C122" i="10"/>
  <c r="B123" i="10"/>
  <c r="F122" i="10"/>
  <c r="E122" i="10"/>
  <c r="B206" i="36" l="1"/>
  <c r="F205" i="36"/>
  <c r="D205" i="36"/>
  <c r="E205" i="36"/>
  <c r="C205" i="36"/>
  <c r="D123" i="10"/>
  <c r="C123" i="10"/>
  <c r="B124" i="10"/>
  <c r="F123" i="10"/>
  <c r="E123" i="10"/>
  <c r="E206" i="36" l="1"/>
  <c r="D206" i="36"/>
  <c r="C206" i="36"/>
  <c r="B207" i="36"/>
  <c r="F206" i="36"/>
  <c r="C124" i="10"/>
  <c r="B125" i="10"/>
  <c r="F124" i="10"/>
  <c r="E124" i="10"/>
  <c r="D124" i="10"/>
  <c r="B208" i="36" l="1"/>
  <c r="F207" i="36"/>
  <c r="E207" i="36"/>
  <c r="D207" i="36"/>
  <c r="C207" i="36"/>
  <c r="E125" i="10"/>
  <c r="D125" i="10"/>
  <c r="C125" i="10"/>
  <c r="B126" i="10"/>
  <c r="F125" i="10"/>
  <c r="C208" i="36" l="1"/>
  <c r="B209" i="36"/>
  <c r="E208" i="36"/>
  <c r="D208" i="36"/>
  <c r="F208" i="36"/>
  <c r="C126" i="10"/>
  <c r="B127" i="10"/>
  <c r="F126" i="10"/>
  <c r="E126" i="10"/>
  <c r="D126" i="10"/>
  <c r="F209" i="36" l="1"/>
  <c r="E209" i="36"/>
  <c r="D209" i="36"/>
  <c r="C209" i="36"/>
  <c r="B210" i="36"/>
  <c r="D127" i="10"/>
  <c r="C127" i="10"/>
  <c r="B128" i="10"/>
  <c r="F127" i="10"/>
  <c r="E127" i="10"/>
  <c r="B211" i="36" l="1"/>
  <c r="F210" i="36"/>
  <c r="E210" i="36"/>
  <c r="C210" i="36"/>
  <c r="D210" i="36"/>
  <c r="E128" i="10"/>
  <c r="B129" i="10"/>
  <c r="D128" i="10"/>
  <c r="F128" i="10"/>
  <c r="C128" i="10"/>
  <c r="D211" i="36" l="1"/>
  <c r="C211" i="36"/>
  <c r="F211" i="36"/>
  <c r="B212" i="36"/>
  <c r="E211" i="36"/>
  <c r="D129" i="10"/>
  <c r="C129" i="10"/>
  <c r="B130" i="10"/>
  <c r="F129" i="10"/>
  <c r="E129" i="10"/>
  <c r="B213" i="36" l="1"/>
  <c r="F212" i="36"/>
  <c r="E212" i="36"/>
  <c r="D212" i="36"/>
  <c r="C212" i="36"/>
  <c r="C130" i="10"/>
  <c r="B131" i="10"/>
  <c r="F130" i="10"/>
  <c r="E130" i="10"/>
  <c r="D130" i="10"/>
  <c r="B214" i="36" l="1"/>
  <c r="F213" i="36"/>
  <c r="D213" i="36"/>
  <c r="E213" i="36"/>
  <c r="C213" i="36"/>
  <c r="F131" i="10"/>
  <c r="C131" i="10"/>
  <c r="E131" i="10"/>
  <c r="D131" i="10"/>
  <c r="B132" i="10"/>
  <c r="E214" i="36" l="1"/>
  <c r="D214" i="36"/>
  <c r="C214" i="36"/>
  <c r="B215" i="36"/>
  <c r="F214" i="36"/>
  <c r="D132" i="10"/>
  <c r="C132" i="10"/>
  <c r="F132" i="10"/>
  <c r="E132" i="10"/>
  <c r="B133" i="10"/>
  <c r="B216" i="36" l="1"/>
  <c r="F215" i="36"/>
  <c r="E215" i="36"/>
  <c r="D215" i="36"/>
  <c r="C215" i="36"/>
  <c r="E133" i="10"/>
  <c r="D133" i="10"/>
  <c r="C133" i="10"/>
  <c r="B134" i="10"/>
  <c r="F133" i="10"/>
  <c r="C216" i="36" l="1"/>
  <c r="B217" i="36"/>
  <c r="E216" i="36"/>
  <c r="F216" i="36"/>
  <c r="D216" i="36"/>
  <c r="D134" i="10"/>
  <c r="C134" i="10"/>
  <c r="F134" i="10"/>
  <c r="E134" i="10"/>
  <c r="B135" i="10"/>
  <c r="F217" i="36" l="1"/>
  <c r="E217" i="36"/>
  <c r="D217" i="36"/>
  <c r="C217" i="36"/>
  <c r="B218" i="36"/>
  <c r="E135" i="10"/>
  <c r="D135" i="10"/>
  <c r="C135" i="10"/>
  <c r="F135" i="10"/>
  <c r="B136" i="10"/>
  <c r="B219" i="36" l="1"/>
  <c r="F218" i="36"/>
  <c r="E218" i="36"/>
  <c r="C218" i="36"/>
  <c r="D218" i="36"/>
  <c r="F136" i="10"/>
  <c r="E136" i="10"/>
  <c r="D136" i="10"/>
  <c r="C136" i="10"/>
  <c r="B137" i="10"/>
  <c r="D219" i="36" l="1"/>
  <c r="C219" i="36"/>
  <c r="F219" i="36"/>
  <c r="B220" i="36"/>
  <c r="E219" i="36"/>
  <c r="E137" i="10"/>
  <c r="D137" i="10"/>
  <c r="B138" i="10"/>
  <c r="F137" i="10"/>
  <c r="C137" i="10"/>
  <c r="B221" i="36" l="1"/>
  <c r="F220" i="36"/>
  <c r="E220" i="36"/>
  <c r="D220" i="36"/>
  <c r="C220" i="36"/>
  <c r="D138" i="10"/>
  <c r="C138" i="10"/>
  <c r="B139" i="10"/>
  <c r="F138" i="10"/>
  <c r="E138" i="10"/>
  <c r="B222" i="36" l="1"/>
  <c r="F221" i="36"/>
  <c r="D221" i="36"/>
  <c r="C221" i="36"/>
  <c r="E221" i="36"/>
  <c r="B140" i="10"/>
  <c r="F139" i="10"/>
  <c r="E139" i="10"/>
  <c r="D139" i="10"/>
  <c r="C139" i="10"/>
  <c r="E222" i="36" l="1"/>
  <c r="D222" i="36"/>
  <c r="C222" i="36"/>
  <c r="B223" i="36"/>
  <c r="F222" i="36"/>
  <c r="D140" i="10"/>
  <c r="C140" i="10"/>
  <c r="B141" i="10"/>
  <c r="E140" i="10"/>
  <c r="F140" i="10"/>
  <c r="B224" i="36" l="1"/>
  <c r="F223" i="36"/>
  <c r="E223" i="36"/>
  <c r="D223" i="36"/>
  <c r="C223" i="36"/>
  <c r="B142" i="10"/>
  <c r="F141" i="10"/>
  <c r="C141" i="10"/>
  <c r="D141" i="10"/>
  <c r="E141" i="10"/>
  <c r="C224" i="36" l="1"/>
  <c r="B225" i="36"/>
  <c r="E224" i="36"/>
  <c r="F224" i="36"/>
  <c r="D224" i="36"/>
  <c r="D142" i="10"/>
  <c r="C142" i="10"/>
  <c r="B143" i="10"/>
  <c r="F142" i="10"/>
  <c r="E142" i="10"/>
  <c r="F225" i="36" l="1"/>
  <c r="E225" i="36"/>
  <c r="D225" i="36"/>
  <c r="C225" i="36"/>
  <c r="B226" i="36"/>
  <c r="B144" i="10"/>
  <c r="F143" i="10"/>
  <c r="E143" i="10"/>
  <c r="D143" i="10"/>
  <c r="C143" i="10"/>
  <c r="B227" i="36" l="1"/>
  <c r="F226" i="36"/>
  <c r="E226" i="36"/>
  <c r="C226" i="36"/>
  <c r="D226" i="36"/>
  <c r="F144" i="10"/>
  <c r="E144" i="10"/>
  <c r="C144" i="10"/>
  <c r="B145" i="10"/>
  <c r="D144" i="10"/>
  <c r="D227" i="36" l="1"/>
  <c r="C227" i="36"/>
  <c r="F227" i="36"/>
  <c r="E227" i="36"/>
  <c r="B228" i="36"/>
  <c r="D145" i="10"/>
  <c r="C145" i="10"/>
  <c r="B146" i="10"/>
  <c r="F145" i="10"/>
  <c r="E145" i="10"/>
  <c r="B229" i="36" l="1"/>
  <c r="F228" i="36"/>
  <c r="E228" i="36"/>
  <c r="D228" i="36"/>
  <c r="C228" i="36"/>
  <c r="D146" i="10"/>
  <c r="C146" i="10"/>
  <c r="B147" i="10"/>
  <c r="F146" i="10"/>
  <c r="E146" i="10"/>
  <c r="B230" i="36" l="1"/>
  <c r="F229" i="36"/>
  <c r="D229" i="36"/>
  <c r="E229" i="36"/>
  <c r="C229" i="36"/>
  <c r="F147" i="10"/>
  <c r="C147" i="10"/>
  <c r="E147" i="10"/>
  <c r="B148" i="10"/>
  <c r="D147" i="10"/>
  <c r="E230" i="36" l="1"/>
  <c r="D230" i="36"/>
  <c r="C230" i="36"/>
  <c r="B231" i="36"/>
  <c r="F230" i="36"/>
  <c r="E148" i="10"/>
  <c r="C148" i="10"/>
  <c r="B149" i="10"/>
  <c r="D148" i="10"/>
  <c r="F148" i="10"/>
  <c r="B232" i="36" l="1"/>
  <c r="F231" i="36"/>
  <c r="E231" i="36"/>
  <c r="D231" i="36"/>
  <c r="C231" i="36"/>
  <c r="E149" i="10"/>
  <c r="D149" i="10"/>
  <c r="C149" i="10"/>
  <c r="F149" i="10"/>
  <c r="B150" i="10"/>
  <c r="C232" i="36" l="1"/>
  <c r="B233" i="36"/>
  <c r="E232" i="36"/>
  <c r="F232" i="36"/>
  <c r="D232" i="36"/>
  <c r="C150" i="10"/>
  <c r="B151" i="10"/>
  <c r="F150" i="10"/>
  <c r="D150" i="10"/>
  <c r="E150" i="10"/>
  <c r="F233" i="36" l="1"/>
  <c r="E233" i="36"/>
  <c r="D233" i="36"/>
  <c r="C233" i="36"/>
  <c r="B234" i="36"/>
  <c r="D151" i="10"/>
  <c r="C151" i="10"/>
  <c r="F151" i="10"/>
  <c r="E151" i="10"/>
  <c r="B152" i="10"/>
  <c r="B235" i="36" l="1"/>
  <c r="F234" i="36"/>
  <c r="E234" i="36"/>
  <c r="C234" i="36"/>
  <c r="D234" i="36"/>
  <c r="F152" i="10"/>
  <c r="E152" i="10"/>
  <c r="C152" i="10"/>
  <c r="B153" i="10"/>
  <c r="D152" i="10"/>
  <c r="D235" i="36" l="1"/>
  <c r="C235" i="36"/>
  <c r="F235" i="36"/>
  <c r="B236" i="36"/>
  <c r="E235" i="36"/>
  <c r="E153" i="10"/>
  <c r="D153" i="10"/>
  <c r="B154" i="10"/>
  <c r="F153" i="10"/>
  <c r="C153" i="10"/>
  <c r="B237" i="36" l="1"/>
  <c r="E236" i="36"/>
  <c r="D236" i="36"/>
  <c r="F236" i="36"/>
  <c r="C236" i="36"/>
  <c r="D154" i="10"/>
  <c r="C154" i="10"/>
  <c r="F154" i="10"/>
  <c r="B155" i="10"/>
  <c r="E154" i="10"/>
  <c r="B238" i="36" l="1"/>
  <c r="E237" i="36"/>
  <c r="D237" i="36"/>
  <c r="C237" i="36"/>
  <c r="F237" i="36"/>
  <c r="C155" i="10"/>
  <c r="B156" i="10"/>
  <c r="E155" i="10"/>
  <c r="D155" i="10"/>
  <c r="F155" i="10"/>
  <c r="E238" i="36" l="1"/>
  <c r="C238" i="36"/>
  <c r="B239" i="36"/>
  <c r="D238" i="36"/>
  <c r="F238" i="36"/>
  <c r="E156" i="10"/>
  <c r="C156" i="10"/>
  <c r="D156" i="10"/>
  <c r="F156" i="10"/>
  <c r="B157" i="10"/>
  <c r="F239" i="36" l="1"/>
  <c r="E239" i="36"/>
  <c r="B240" i="36"/>
  <c r="D239" i="36"/>
  <c r="C239" i="36"/>
  <c r="E157" i="10"/>
  <c r="D157" i="10"/>
  <c r="B158" i="10"/>
  <c r="F157" i="10"/>
  <c r="C157" i="10"/>
  <c r="C240" i="36" l="1"/>
  <c r="D240" i="36"/>
  <c r="F240" i="36"/>
  <c r="B241" i="36"/>
  <c r="E240" i="36"/>
  <c r="B159" i="10"/>
  <c r="D158" i="10"/>
  <c r="F158" i="10"/>
  <c r="E158" i="10"/>
  <c r="C158" i="10"/>
  <c r="F241" i="36" l="1"/>
  <c r="D241" i="36"/>
  <c r="C241" i="36"/>
  <c r="B242" i="36"/>
  <c r="E241" i="36"/>
  <c r="D159" i="10"/>
  <c r="C159" i="10"/>
  <c r="B160" i="10"/>
  <c r="F159" i="10"/>
  <c r="E159" i="10"/>
  <c r="C242" i="36" l="1"/>
  <c r="B243" i="36"/>
  <c r="F242" i="36"/>
  <c r="E242" i="36"/>
  <c r="D242" i="36"/>
  <c r="E160" i="10"/>
  <c r="B161" i="10"/>
  <c r="D160" i="10"/>
  <c r="C160" i="10"/>
  <c r="F160" i="10"/>
  <c r="F243" i="36" l="1"/>
  <c r="D243" i="36"/>
  <c r="C243" i="36"/>
  <c r="B244" i="36"/>
  <c r="E243" i="36"/>
  <c r="E161" i="10"/>
  <c r="D161" i="10"/>
  <c r="B162" i="10"/>
  <c r="F161" i="10"/>
  <c r="C161" i="10"/>
  <c r="B245" i="36" l="1"/>
  <c r="E244" i="36"/>
  <c r="D244" i="36"/>
  <c r="F244" i="36"/>
  <c r="C244" i="36"/>
  <c r="D162" i="10"/>
  <c r="C162" i="10"/>
  <c r="F162" i="10"/>
  <c r="E162" i="10"/>
  <c r="B163" i="10"/>
  <c r="D245" i="36" l="1"/>
  <c r="B246" i="36"/>
  <c r="F245" i="36"/>
  <c r="E245" i="36"/>
  <c r="C245" i="36"/>
  <c r="B164" i="10"/>
  <c r="F163" i="10"/>
  <c r="E163" i="10"/>
  <c r="D163" i="10"/>
  <c r="C163" i="10"/>
  <c r="B247" i="36" l="1"/>
  <c r="E246" i="36"/>
  <c r="C246" i="36"/>
  <c r="D246" i="36"/>
  <c r="F246" i="36"/>
  <c r="E164" i="10"/>
  <c r="C164" i="10"/>
  <c r="B165" i="10"/>
  <c r="F164" i="10"/>
  <c r="D164" i="10"/>
  <c r="F247" i="36" l="1"/>
  <c r="E247" i="36"/>
  <c r="B248" i="36"/>
  <c r="C247" i="36"/>
  <c r="D247" i="36"/>
  <c r="E165" i="10"/>
  <c r="D165" i="10"/>
  <c r="C165" i="10"/>
  <c r="B166" i="10"/>
  <c r="F165" i="10"/>
  <c r="E248" i="36" l="1"/>
  <c r="C248" i="36"/>
  <c r="B249" i="36"/>
  <c r="F248" i="36"/>
  <c r="D248" i="36"/>
  <c r="D166" i="10"/>
  <c r="C166" i="10"/>
  <c r="F166" i="10"/>
  <c r="E166" i="10"/>
  <c r="B167" i="10"/>
  <c r="F249" i="36" l="1"/>
  <c r="D249" i="36"/>
  <c r="C249" i="36"/>
  <c r="E249" i="36"/>
  <c r="B250" i="36"/>
  <c r="D167" i="10"/>
  <c r="C167" i="10"/>
  <c r="E167" i="10"/>
  <c r="B168" i="10"/>
  <c r="F167" i="10"/>
  <c r="C250" i="36" l="1"/>
  <c r="B251" i="36"/>
  <c r="F250" i="36"/>
  <c r="D250" i="36"/>
  <c r="E250" i="36"/>
  <c r="B169" i="10"/>
  <c r="F168" i="10"/>
  <c r="D168" i="10"/>
  <c r="C168" i="10"/>
  <c r="E168" i="10"/>
  <c r="F251" i="36" l="1"/>
  <c r="D251" i="36"/>
  <c r="B252" i="36"/>
  <c r="E251" i="36"/>
  <c r="C251" i="36"/>
  <c r="E169" i="10"/>
  <c r="D169" i="10"/>
  <c r="F169" i="10"/>
  <c r="B170" i="10"/>
  <c r="C169" i="10"/>
  <c r="B253" i="36" l="1"/>
  <c r="E252" i="36"/>
  <c r="D252" i="36"/>
  <c r="F252" i="36"/>
  <c r="C252" i="36"/>
  <c r="E170" i="10"/>
  <c r="C170" i="10"/>
  <c r="D170" i="10"/>
  <c r="B171" i="10"/>
  <c r="F170" i="10"/>
  <c r="D253" i="36" l="1"/>
  <c r="B254" i="36"/>
  <c r="E253" i="36"/>
  <c r="F253" i="36"/>
  <c r="C253" i="36"/>
  <c r="D171" i="10"/>
  <c r="E171" i="10"/>
  <c r="C171" i="10"/>
  <c r="B172" i="10"/>
  <c r="F171" i="10"/>
  <c r="B255" i="36" l="1"/>
  <c r="E254" i="36"/>
  <c r="C254" i="36"/>
  <c r="F254" i="36"/>
  <c r="D254" i="36"/>
  <c r="E172" i="10"/>
  <c r="D172" i="10"/>
  <c r="C172" i="10"/>
  <c r="F172" i="10"/>
  <c r="B173" i="10"/>
  <c r="F255" i="36" l="1"/>
  <c r="E255" i="36"/>
  <c r="B256" i="36"/>
  <c r="D255" i="36"/>
  <c r="C255" i="36"/>
  <c r="F173" i="10"/>
  <c r="D173" i="10"/>
  <c r="B174" i="10"/>
  <c r="E173" i="10"/>
  <c r="C173" i="10"/>
  <c r="E256" i="36" l="1"/>
  <c r="C256" i="36"/>
  <c r="F256" i="36"/>
  <c r="D256" i="36"/>
  <c r="B257" i="36"/>
  <c r="E174" i="10"/>
  <c r="B175" i="10"/>
  <c r="D174" i="10"/>
  <c r="C174" i="10"/>
  <c r="F174" i="10"/>
  <c r="F257" i="36" l="1"/>
  <c r="D257" i="36"/>
  <c r="C257" i="36"/>
  <c r="B258" i="36"/>
  <c r="E257" i="36"/>
  <c r="F175" i="10"/>
  <c r="E175" i="10"/>
  <c r="B176" i="10"/>
  <c r="D175" i="10"/>
  <c r="C175" i="10"/>
  <c r="C258" i="36" l="1"/>
  <c r="B259" i="36"/>
  <c r="F258" i="36"/>
  <c r="E258" i="36"/>
  <c r="D258" i="36"/>
  <c r="B177" i="10"/>
  <c r="E176" i="10"/>
  <c r="C176" i="10"/>
  <c r="F176" i="10"/>
  <c r="D176" i="10"/>
  <c r="F259" i="36" l="1"/>
  <c r="D259" i="36"/>
  <c r="C259" i="36"/>
  <c r="B260" i="36"/>
  <c r="E259" i="36"/>
  <c r="F177" i="10"/>
  <c r="C177" i="10"/>
  <c r="E177" i="10"/>
  <c r="B178" i="10"/>
  <c r="D177" i="10"/>
  <c r="B261" i="36" l="1"/>
  <c r="E260" i="36"/>
  <c r="D260" i="36"/>
  <c r="F260" i="36"/>
  <c r="C260" i="36"/>
  <c r="B179" i="10"/>
  <c r="F178" i="10"/>
  <c r="D178" i="10"/>
  <c r="E178" i="10"/>
  <c r="C178" i="10"/>
  <c r="D261" i="36" l="1"/>
  <c r="B262" i="36"/>
  <c r="F261" i="36"/>
  <c r="E261" i="36"/>
  <c r="C261" i="36"/>
  <c r="F179" i="10"/>
  <c r="D179" i="10"/>
  <c r="C179" i="10"/>
  <c r="B180" i="10"/>
  <c r="E179" i="10"/>
  <c r="B263" i="36" l="1"/>
  <c r="E262" i="36"/>
  <c r="C262" i="36"/>
  <c r="D262" i="36"/>
  <c r="F262" i="36"/>
  <c r="B181" i="10"/>
  <c r="C180" i="10"/>
  <c r="E180" i="10"/>
  <c r="D180" i="10"/>
  <c r="F180" i="10"/>
  <c r="F263" i="36" l="1"/>
  <c r="E263" i="36"/>
  <c r="B264" i="36"/>
  <c r="C263" i="36"/>
  <c r="D263" i="36"/>
  <c r="C181" i="10"/>
  <c r="B182" i="10"/>
  <c r="D181" i="10"/>
  <c r="E181" i="10"/>
  <c r="F181" i="10"/>
  <c r="E264" i="36" l="1"/>
  <c r="C264" i="36"/>
  <c r="B265" i="36"/>
  <c r="F264" i="36"/>
  <c r="D264" i="36"/>
  <c r="B183" i="10"/>
  <c r="C182" i="10"/>
  <c r="D182" i="10"/>
  <c r="E182" i="10"/>
  <c r="F182" i="10"/>
  <c r="F265" i="36" l="1"/>
  <c r="D265" i="36"/>
  <c r="C265" i="36"/>
  <c r="E265" i="36"/>
  <c r="B266" i="36"/>
  <c r="E183" i="10"/>
  <c r="D183" i="10"/>
  <c r="B184" i="10"/>
  <c r="C183" i="10"/>
  <c r="F183" i="10"/>
  <c r="C266" i="36" l="1"/>
  <c r="B267" i="36"/>
  <c r="F266" i="36"/>
  <c r="D266" i="36"/>
  <c r="E266" i="36"/>
  <c r="D184" i="10"/>
  <c r="C184" i="10"/>
  <c r="F184" i="10"/>
  <c r="B185" i="10"/>
  <c r="E184" i="10"/>
  <c r="F267" i="36" l="1"/>
  <c r="D267" i="36"/>
  <c r="B268" i="36"/>
  <c r="E267" i="36"/>
  <c r="C267" i="36"/>
  <c r="F185" i="10"/>
  <c r="D185" i="10"/>
  <c r="E185" i="10"/>
  <c r="B186" i="10"/>
  <c r="C185" i="10"/>
  <c r="B269" i="36" l="1"/>
  <c r="E268" i="36"/>
  <c r="D268" i="36"/>
  <c r="F268" i="36"/>
  <c r="C268" i="36"/>
  <c r="E186" i="10"/>
  <c r="C186" i="10"/>
  <c r="D186" i="10"/>
  <c r="B187" i="10"/>
  <c r="F186" i="10"/>
  <c r="D269" i="36" l="1"/>
  <c r="B270" i="36"/>
  <c r="E269" i="36"/>
  <c r="C269" i="36"/>
  <c r="F269" i="36"/>
  <c r="E187" i="10"/>
  <c r="D187" i="10"/>
  <c r="F187" i="10"/>
  <c r="C187" i="10"/>
  <c r="B188" i="10"/>
  <c r="B271" i="36" l="1"/>
  <c r="E270" i="36"/>
  <c r="C270" i="36"/>
  <c r="F270" i="36"/>
  <c r="D270" i="36"/>
  <c r="D188" i="10"/>
  <c r="E188" i="10"/>
  <c r="B189" i="10"/>
  <c r="C188" i="10"/>
  <c r="F188" i="10"/>
  <c r="F271" i="36" l="1"/>
  <c r="E271" i="36"/>
  <c r="B272" i="36"/>
  <c r="D271" i="36"/>
  <c r="C271" i="36"/>
  <c r="F189" i="10"/>
  <c r="D189" i="10"/>
  <c r="E189" i="10"/>
  <c r="B190" i="10"/>
  <c r="C189" i="10"/>
  <c r="E272" i="36" l="1"/>
  <c r="C272" i="36"/>
  <c r="F272" i="36"/>
  <c r="B273" i="36"/>
  <c r="D272" i="36"/>
  <c r="F190" i="10"/>
  <c r="E190" i="10"/>
  <c r="D190" i="10"/>
  <c r="B191" i="10"/>
  <c r="C190" i="10"/>
  <c r="F273" i="36" l="1"/>
  <c r="D273" i="36"/>
  <c r="C273" i="36"/>
  <c r="B274" i="36"/>
  <c r="E273" i="36"/>
  <c r="F191" i="10"/>
  <c r="E191" i="10"/>
  <c r="B192" i="10"/>
  <c r="C191" i="10"/>
  <c r="D191" i="10"/>
  <c r="C274" i="36" l="1"/>
  <c r="B275" i="36"/>
  <c r="F274" i="36"/>
  <c r="E274" i="36"/>
  <c r="D274" i="36"/>
  <c r="E192" i="10"/>
  <c r="C192" i="10"/>
  <c r="F192" i="10"/>
  <c r="D192" i="10"/>
  <c r="B193" i="10"/>
  <c r="F275" i="36" l="1"/>
  <c r="D275" i="36"/>
  <c r="C275" i="36"/>
  <c r="B276" i="36"/>
  <c r="E275" i="36"/>
  <c r="B194" i="10"/>
  <c r="F193" i="10"/>
  <c r="E193" i="10"/>
  <c r="C193" i="10"/>
  <c r="D193" i="10"/>
  <c r="B277" i="36" l="1"/>
  <c r="E276" i="36"/>
  <c r="D276" i="36"/>
  <c r="F276" i="36"/>
  <c r="C276" i="36"/>
  <c r="F194" i="10"/>
  <c r="C194" i="10"/>
  <c r="B195" i="10"/>
  <c r="D194" i="10"/>
  <c r="E194" i="10"/>
  <c r="D277" i="36" l="1"/>
  <c r="B278" i="36"/>
  <c r="F277" i="36"/>
  <c r="E277" i="36"/>
  <c r="C277" i="36"/>
  <c r="D195" i="10"/>
  <c r="F195" i="10"/>
  <c r="C195" i="10"/>
  <c r="B196" i="10"/>
  <c r="E195" i="10"/>
  <c r="B279" i="36" l="1"/>
  <c r="E278" i="36"/>
  <c r="C278" i="36"/>
  <c r="D278" i="36"/>
  <c r="F278" i="36"/>
  <c r="D196" i="10"/>
  <c r="C196" i="10"/>
  <c r="F196" i="10"/>
  <c r="E196" i="10"/>
  <c r="B197" i="10"/>
  <c r="F279" i="36" l="1"/>
  <c r="E279" i="36"/>
  <c r="B280" i="36"/>
  <c r="C279" i="36"/>
  <c r="D279" i="36"/>
  <c r="B198" i="10"/>
  <c r="C197" i="10"/>
  <c r="E197" i="10"/>
  <c r="D197" i="10"/>
  <c r="F197" i="10"/>
  <c r="E280" i="36" l="1"/>
  <c r="C280" i="36"/>
  <c r="B281" i="36"/>
  <c r="F280" i="36"/>
  <c r="D280" i="36"/>
  <c r="C198" i="10"/>
  <c r="B199" i="10"/>
  <c r="D198" i="10"/>
  <c r="E198" i="10"/>
  <c r="F198" i="10"/>
  <c r="F281" i="36" l="1"/>
  <c r="D281" i="36"/>
  <c r="C281" i="36"/>
  <c r="E281" i="36"/>
  <c r="B282" i="36"/>
  <c r="E199" i="10"/>
  <c r="D199" i="10"/>
  <c r="B200" i="10"/>
  <c r="C199" i="10"/>
  <c r="F199" i="10"/>
  <c r="C282" i="36" l="1"/>
  <c r="B283" i="36"/>
  <c r="F282" i="36"/>
  <c r="D282" i="36"/>
  <c r="E282" i="36"/>
  <c r="D200" i="10"/>
  <c r="C200" i="10"/>
  <c r="F200" i="10"/>
  <c r="B201" i="10"/>
  <c r="E200" i="10"/>
  <c r="F283" i="36" l="1"/>
  <c r="D283" i="36"/>
  <c r="B284" i="36"/>
  <c r="E283" i="36"/>
  <c r="C283" i="36"/>
  <c r="D201" i="10"/>
  <c r="C201" i="10"/>
  <c r="E201" i="10"/>
  <c r="B202" i="10"/>
  <c r="F201" i="10"/>
  <c r="B285" i="36" l="1"/>
  <c r="F284" i="36"/>
  <c r="E284" i="36"/>
  <c r="D284" i="36"/>
  <c r="C284" i="36"/>
  <c r="E202" i="10"/>
  <c r="D202" i="10"/>
  <c r="C202" i="10"/>
  <c r="B203" i="10"/>
  <c r="F202" i="10"/>
  <c r="D285" i="36" l="1"/>
  <c r="B286" i="36"/>
  <c r="C285" i="36"/>
  <c r="F285" i="36"/>
  <c r="E285" i="36"/>
  <c r="E203" i="10"/>
  <c r="D203" i="10"/>
  <c r="B204" i="10"/>
  <c r="F203" i="10"/>
  <c r="C203" i="10"/>
  <c r="B287" i="36" l="1"/>
  <c r="E286" i="36"/>
  <c r="D286" i="36"/>
  <c r="C286" i="36"/>
  <c r="F286" i="36"/>
  <c r="E204" i="10"/>
  <c r="D204" i="10"/>
  <c r="F204" i="10"/>
  <c r="B205" i="10"/>
  <c r="C204" i="10"/>
  <c r="B288" i="36" l="1"/>
  <c r="F287" i="36"/>
  <c r="E287" i="36"/>
  <c r="D287" i="36"/>
  <c r="C287" i="36"/>
  <c r="D205" i="10"/>
  <c r="F205" i="10"/>
  <c r="C205" i="10"/>
  <c r="E205" i="10"/>
  <c r="B206" i="10"/>
  <c r="E288" i="36" l="1"/>
  <c r="C288" i="36"/>
  <c r="B289" i="36"/>
  <c r="F288" i="36"/>
  <c r="D288" i="36"/>
  <c r="F206" i="10"/>
  <c r="E206" i="10"/>
  <c r="C206" i="10"/>
  <c r="D206" i="10"/>
  <c r="B207" i="10"/>
  <c r="F289" i="36" l="1"/>
  <c r="E289" i="36"/>
  <c r="D289" i="36"/>
  <c r="C289" i="36"/>
  <c r="B290" i="36"/>
  <c r="F207" i="10"/>
  <c r="E207" i="10"/>
  <c r="B208" i="10"/>
  <c r="C207" i="10"/>
  <c r="D207" i="10"/>
  <c r="C290" i="36" l="1"/>
  <c r="B291" i="36"/>
  <c r="F290" i="36"/>
  <c r="D290" i="36"/>
  <c r="E290" i="36"/>
  <c r="B209" i="10"/>
  <c r="E208" i="10"/>
  <c r="F208" i="10"/>
  <c r="D208" i="10"/>
  <c r="C208" i="10"/>
  <c r="F291" i="36" l="1"/>
  <c r="D291" i="36"/>
  <c r="C291" i="36"/>
  <c r="B292" i="36"/>
  <c r="E291" i="36"/>
  <c r="F209" i="10"/>
  <c r="C209" i="10"/>
  <c r="E209" i="10"/>
  <c r="B210" i="10"/>
  <c r="D209" i="10"/>
  <c r="B293" i="36" l="1"/>
  <c r="F292" i="36"/>
  <c r="E292" i="36"/>
  <c r="D292" i="36"/>
  <c r="C292" i="36"/>
  <c r="B211" i="10"/>
  <c r="F210" i="10"/>
  <c r="D210" i="10"/>
  <c r="E210" i="10"/>
  <c r="C210" i="10"/>
  <c r="D293" i="36" l="1"/>
  <c r="B294" i="36"/>
  <c r="E293" i="36"/>
  <c r="C293" i="36"/>
  <c r="F293" i="36"/>
  <c r="F211" i="10"/>
  <c r="D211" i="10"/>
  <c r="C211" i="10"/>
  <c r="B212" i="10"/>
  <c r="E211" i="10"/>
  <c r="B295" i="36" l="1"/>
  <c r="E294" i="36"/>
  <c r="D294" i="36"/>
  <c r="C294" i="36"/>
  <c r="F294" i="36"/>
  <c r="E212" i="10"/>
  <c r="C212" i="10"/>
  <c r="F212" i="10"/>
  <c r="D212" i="10"/>
  <c r="B213" i="10"/>
  <c r="B296" i="36" l="1"/>
  <c r="F295" i="36"/>
  <c r="E295" i="36"/>
  <c r="D295" i="36"/>
  <c r="C295" i="36"/>
  <c r="D213" i="10"/>
  <c r="C213" i="10"/>
  <c r="B214" i="10"/>
  <c r="E213" i="10"/>
  <c r="F213" i="10"/>
  <c r="E296" i="36" l="1"/>
  <c r="C296" i="36"/>
  <c r="B297" i="36"/>
  <c r="F296" i="36"/>
  <c r="D296" i="36"/>
  <c r="F214" i="10"/>
  <c r="E214" i="10"/>
  <c r="B215" i="10"/>
  <c r="D214" i="10"/>
  <c r="C214" i="10"/>
  <c r="F297" i="36" l="1"/>
  <c r="E297" i="36"/>
  <c r="D297" i="36"/>
  <c r="C297" i="36"/>
  <c r="B298" i="36"/>
  <c r="D215" i="10"/>
  <c r="F215" i="10"/>
  <c r="E215" i="10"/>
  <c r="C215" i="10"/>
  <c r="B216" i="10"/>
  <c r="C298" i="36" l="1"/>
  <c r="B299" i="36"/>
  <c r="F298" i="36"/>
  <c r="E298" i="36"/>
  <c r="D298" i="36"/>
  <c r="C216" i="10"/>
  <c r="B217" i="10"/>
  <c r="F216" i="10"/>
  <c r="E216" i="10"/>
  <c r="D216" i="10"/>
  <c r="F299" i="36" l="1"/>
  <c r="D299" i="36"/>
  <c r="C299" i="36"/>
  <c r="B300" i="36"/>
  <c r="E299" i="36"/>
  <c r="F217" i="10"/>
  <c r="D217" i="10"/>
  <c r="E217" i="10"/>
  <c r="B218" i="10"/>
  <c r="C217" i="10"/>
  <c r="B301" i="36" l="1"/>
  <c r="F300" i="36"/>
  <c r="E300" i="36"/>
  <c r="D300" i="36"/>
  <c r="C300" i="36"/>
  <c r="E218" i="10"/>
  <c r="F218" i="10"/>
  <c r="B219" i="10"/>
  <c r="C218" i="10"/>
  <c r="D218" i="10"/>
  <c r="D301" i="36" l="1"/>
  <c r="B302" i="36"/>
  <c r="F301" i="36"/>
  <c r="E301" i="36"/>
  <c r="C301" i="36"/>
  <c r="F219" i="10"/>
  <c r="E219" i="10"/>
  <c r="C219" i="10"/>
  <c r="B220" i="10"/>
  <c r="D219" i="10"/>
  <c r="B303" i="36" l="1"/>
  <c r="E302" i="36"/>
  <c r="D302" i="36"/>
  <c r="C302" i="36"/>
  <c r="F302" i="36"/>
  <c r="C220" i="10"/>
  <c r="B221" i="10"/>
  <c r="D220" i="10"/>
  <c r="E220" i="10"/>
  <c r="F220" i="10"/>
  <c r="B304" i="36" l="1"/>
  <c r="F303" i="36"/>
  <c r="E303" i="36"/>
  <c r="C303" i="36"/>
  <c r="D303" i="36"/>
  <c r="D221" i="10"/>
  <c r="C221" i="10"/>
  <c r="B222" i="10"/>
  <c r="E221" i="10"/>
  <c r="F221" i="10"/>
  <c r="E304" i="36" l="1"/>
  <c r="C304" i="36"/>
  <c r="B305" i="36"/>
  <c r="F304" i="36"/>
  <c r="D304" i="36"/>
  <c r="E222" i="10"/>
  <c r="C222" i="10"/>
  <c r="D222" i="10"/>
  <c r="B223" i="10"/>
  <c r="F222" i="10"/>
  <c r="F305" i="36" l="1"/>
  <c r="E305" i="36"/>
  <c r="D305" i="36"/>
  <c r="C305" i="36"/>
  <c r="B306" i="36"/>
  <c r="F223" i="10"/>
  <c r="D223" i="10"/>
  <c r="B224" i="10"/>
  <c r="E223" i="10"/>
  <c r="C223" i="10"/>
  <c r="C306" i="36" l="1"/>
  <c r="B307" i="36"/>
  <c r="F306" i="36"/>
  <c r="D306" i="36"/>
  <c r="E306" i="36"/>
  <c r="C224" i="10"/>
  <c r="B225" i="10"/>
  <c r="F224" i="10"/>
  <c r="D224" i="10"/>
  <c r="E224" i="10"/>
  <c r="F307" i="36" l="1"/>
  <c r="D307" i="36"/>
  <c r="C307" i="36"/>
  <c r="E307" i="36"/>
  <c r="B308" i="36"/>
  <c r="D225" i="10"/>
  <c r="B226" i="10"/>
  <c r="C225" i="10"/>
  <c r="E225" i="10"/>
  <c r="F225" i="10"/>
  <c r="B309" i="36" l="1"/>
  <c r="F308" i="36"/>
  <c r="E308" i="36"/>
  <c r="D308" i="36"/>
  <c r="C308" i="36"/>
  <c r="E226" i="10"/>
  <c r="C226" i="10"/>
  <c r="F226" i="10"/>
  <c r="D226" i="10"/>
  <c r="B227" i="10"/>
  <c r="D309" i="36" l="1"/>
  <c r="B310" i="36"/>
  <c r="F309" i="36"/>
  <c r="E309" i="36"/>
  <c r="C309" i="36"/>
  <c r="E227" i="10"/>
  <c r="D227" i="10"/>
  <c r="B228" i="10"/>
  <c r="F227" i="10"/>
  <c r="C227" i="10"/>
  <c r="B311" i="36" l="1"/>
  <c r="E310" i="36"/>
  <c r="D310" i="36"/>
  <c r="C310" i="36"/>
  <c r="F310" i="36"/>
  <c r="B229" i="10"/>
  <c r="E228" i="10"/>
  <c r="F228" i="10"/>
  <c r="D228" i="10"/>
  <c r="C228" i="10"/>
  <c r="B312" i="36" l="1"/>
  <c r="F311" i="36"/>
  <c r="E311" i="36"/>
  <c r="D311" i="36"/>
  <c r="C311" i="36"/>
  <c r="F229" i="10"/>
  <c r="C229" i="10"/>
  <c r="B230" i="10"/>
  <c r="E229" i="10"/>
  <c r="D229" i="10"/>
  <c r="E312" i="36" l="1"/>
  <c r="C312" i="36"/>
  <c r="B313" i="36"/>
  <c r="F312" i="36"/>
  <c r="D312" i="36"/>
  <c r="B231" i="10"/>
  <c r="C230" i="10"/>
  <c r="E230" i="10"/>
  <c r="D230" i="10"/>
  <c r="F230" i="10"/>
  <c r="F313" i="36" l="1"/>
  <c r="E313" i="36"/>
  <c r="D313" i="36"/>
  <c r="C313" i="36"/>
  <c r="B314" i="36"/>
  <c r="F231" i="10"/>
  <c r="D231" i="10"/>
  <c r="B232" i="10"/>
  <c r="E231" i="10"/>
  <c r="C231" i="10"/>
  <c r="C314" i="36" l="1"/>
  <c r="B315" i="36"/>
  <c r="F314" i="36"/>
  <c r="E314" i="36"/>
  <c r="D314" i="36"/>
  <c r="E232" i="10"/>
  <c r="D232" i="10"/>
  <c r="F232" i="10"/>
  <c r="B233" i="10"/>
  <c r="C232" i="10"/>
  <c r="F315" i="36" l="1"/>
  <c r="D315" i="36"/>
  <c r="C315" i="36"/>
  <c r="B316" i="36"/>
  <c r="E315" i="36"/>
  <c r="B234" i="10"/>
  <c r="F233" i="10"/>
  <c r="C233" i="10"/>
  <c r="D233" i="10"/>
  <c r="E233" i="10"/>
  <c r="B317" i="36" l="1"/>
  <c r="F316" i="36"/>
  <c r="E316" i="36"/>
  <c r="D316" i="36"/>
  <c r="C316" i="36"/>
  <c r="B235" i="10"/>
  <c r="C234" i="10"/>
  <c r="E234" i="10"/>
  <c r="F234" i="10"/>
  <c r="D234" i="10"/>
  <c r="D317" i="36" l="1"/>
  <c r="B318" i="36"/>
  <c r="F317" i="36"/>
  <c r="E317" i="36"/>
  <c r="C317" i="36"/>
  <c r="E235" i="10"/>
  <c r="D235" i="10"/>
  <c r="C235" i="10"/>
  <c r="B236" i="10"/>
  <c r="F235" i="10"/>
  <c r="B319" i="36" l="1"/>
  <c r="E318" i="36"/>
  <c r="D318" i="36"/>
  <c r="C318" i="36"/>
  <c r="F318" i="36"/>
  <c r="E236" i="10"/>
  <c r="C236" i="10"/>
  <c r="B237" i="10"/>
  <c r="D236" i="10"/>
  <c r="F236" i="10"/>
  <c r="B320" i="36" l="1"/>
  <c r="F319" i="36"/>
  <c r="E319" i="36"/>
  <c r="C319" i="36"/>
  <c r="D319" i="36"/>
  <c r="E237" i="10"/>
  <c r="C237" i="10"/>
  <c r="D237" i="10"/>
  <c r="F237" i="10"/>
  <c r="B238" i="10"/>
  <c r="E320" i="36" l="1"/>
  <c r="C320" i="36"/>
  <c r="B321" i="36"/>
  <c r="D320" i="36"/>
  <c r="F320" i="36"/>
  <c r="B239" i="10"/>
  <c r="C238" i="10"/>
  <c r="E238" i="10"/>
  <c r="D238" i="10"/>
  <c r="F238" i="10"/>
  <c r="F321" i="36" l="1"/>
  <c r="E321" i="36"/>
  <c r="D321" i="36"/>
  <c r="C321" i="36"/>
  <c r="B322" i="36"/>
  <c r="C239" i="10"/>
  <c r="D239" i="10"/>
  <c r="B240" i="10"/>
  <c r="E239" i="10"/>
  <c r="F239" i="10"/>
  <c r="C322" i="36" l="1"/>
  <c r="B323" i="36"/>
  <c r="F322" i="36"/>
  <c r="E322" i="36"/>
  <c r="D322" i="36"/>
  <c r="F240" i="10"/>
  <c r="E240" i="10"/>
  <c r="C240" i="10"/>
  <c r="D240" i="10"/>
  <c r="B241" i="10"/>
  <c r="F323" i="36" l="1"/>
  <c r="D323" i="36"/>
  <c r="C323" i="36"/>
  <c r="E323" i="36"/>
  <c r="B324" i="36"/>
  <c r="B242" i="10"/>
  <c r="D241" i="10"/>
  <c r="F241" i="10"/>
  <c r="E241" i="10"/>
  <c r="C241" i="10"/>
  <c r="B325" i="36" l="1"/>
  <c r="F324" i="36"/>
  <c r="E324" i="36"/>
  <c r="D324" i="36"/>
  <c r="C324" i="36"/>
  <c r="B243" i="10"/>
  <c r="E242" i="10"/>
  <c r="F242" i="10"/>
  <c r="C242" i="10"/>
  <c r="D242" i="10"/>
  <c r="D325" i="36" l="1"/>
  <c r="B326" i="36"/>
  <c r="F325" i="36"/>
  <c r="E325" i="36"/>
  <c r="C325" i="36"/>
  <c r="B244" i="10"/>
  <c r="E243" i="10"/>
  <c r="D243" i="10"/>
  <c r="C243" i="10"/>
  <c r="F243" i="10"/>
  <c r="B327" i="36" l="1"/>
  <c r="E326" i="36"/>
  <c r="D326" i="36"/>
  <c r="C326" i="36"/>
  <c r="F326" i="36"/>
  <c r="C244" i="10"/>
  <c r="E244" i="10"/>
  <c r="B245" i="10"/>
  <c r="F244" i="10"/>
  <c r="D244" i="10"/>
  <c r="B328" i="36" l="1"/>
  <c r="F327" i="36"/>
  <c r="E327" i="36"/>
  <c r="D327" i="36"/>
  <c r="C327" i="36"/>
  <c r="E245" i="10"/>
  <c r="D245" i="10"/>
  <c r="C245" i="10"/>
  <c r="B246" i="10"/>
  <c r="F245" i="10"/>
  <c r="E328" i="36" l="1"/>
  <c r="C328" i="36"/>
  <c r="F328" i="36"/>
  <c r="D328" i="36"/>
  <c r="B329" i="36"/>
  <c r="C246" i="10"/>
  <c r="F246" i="10"/>
  <c r="E246" i="10"/>
  <c r="B247" i="10"/>
  <c r="D246" i="10"/>
  <c r="F329" i="36" l="1"/>
  <c r="E329" i="36"/>
  <c r="D329" i="36"/>
  <c r="C329" i="36"/>
  <c r="B330" i="36"/>
  <c r="F247" i="10"/>
  <c r="C247" i="10"/>
  <c r="E247" i="10"/>
  <c r="D247" i="10"/>
  <c r="B248" i="10"/>
  <c r="C330" i="36" l="1"/>
  <c r="B331" i="36"/>
  <c r="F330" i="36"/>
  <c r="E330" i="36"/>
  <c r="D330" i="36"/>
  <c r="B249" i="10"/>
  <c r="D248" i="10"/>
  <c r="E248" i="10"/>
  <c r="C248" i="10"/>
  <c r="F248" i="10"/>
  <c r="F331" i="36" l="1"/>
  <c r="D331" i="36"/>
  <c r="C331" i="36"/>
  <c r="B332" i="36"/>
  <c r="E331" i="36"/>
  <c r="D249" i="10"/>
  <c r="B250" i="10"/>
  <c r="E249" i="10"/>
  <c r="F249" i="10"/>
  <c r="C249" i="10"/>
  <c r="B333" i="36" l="1"/>
  <c r="F332" i="36"/>
  <c r="E332" i="36"/>
  <c r="D332" i="36"/>
  <c r="C332" i="36"/>
  <c r="E250" i="10"/>
  <c r="B251" i="10"/>
  <c r="F250" i="10"/>
  <c r="C250" i="10"/>
  <c r="D250" i="10"/>
  <c r="D333" i="36" l="1"/>
  <c r="B334" i="36"/>
  <c r="F333" i="36"/>
  <c r="C333" i="36"/>
  <c r="E333" i="36"/>
  <c r="E251" i="10"/>
  <c r="F251" i="10"/>
  <c r="C251" i="10"/>
  <c r="D251" i="10"/>
  <c r="B252" i="10"/>
  <c r="B335" i="36" l="1"/>
  <c r="E334" i="36"/>
  <c r="D334" i="36"/>
  <c r="C334" i="36"/>
  <c r="F334" i="36"/>
  <c r="E252" i="10"/>
  <c r="C252" i="10"/>
  <c r="B253" i="10"/>
  <c r="F252" i="10"/>
  <c r="D252" i="10"/>
  <c r="B336" i="36" l="1"/>
  <c r="F335" i="36"/>
  <c r="E335" i="36"/>
  <c r="D335" i="36"/>
  <c r="C335" i="36"/>
  <c r="D253" i="10"/>
  <c r="C253" i="10"/>
  <c r="F253" i="10"/>
  <c r="E253" i="10"/>
  <c r="B254" i="10"/>
  <c r="E336" i="36" l="1"/>
  <c r="C336" i="36"/>
  <c r="D336" i="36"/>
  <c r="B337" i="36"/>
  <c r="F336" i="36"/>
  <c r="C254" i="10"/>
  <c r="B255" i="10"/>
  <c r="E254" i="10"/>
  <c r="D254" i="10"/>
  <c r="F254" i="10"/>
  <c r="F337" i="36" l="1"/>
  <c r="E337" i="36"/>
  <c r="D337" i="36"/>
  <c r="C337" i="36"/>
  <c r="B338" i="36"/>
  <c r="F255" i="10"/>
  <c r="D255" i="10"/>
  <c r="E255" i="10"/>
  <c r="C255" i="10"/>
  <c r="B256" i="10"/>
  <c r="C338" i="36" l="1"/>
  <c r="B339" i="36"/>
  <c r="F338" i="36"/>
  <c r="E338" i="36"/>
  <c r="D338" i="36"/>
  <c r="D256" i="10"/>
  <c r="F256" i="10"/>
  <c r="C256" i="10"/>
  <c r="B257" i="10"/>
  <c r="E256" i="10"/>
  <c r="F339" i="36" l="1"/>
  <c r="D339" i="36"/>
  <c r="C339" i="36"/>
  <c r="B340" i="36"/>
  <c r="E339" i="36"/>
  <c r="B258" i="10"/>
  <c r="D257" i="10"/>
  <c r="F257" i="10"/>
  <c r="E257" i="10"/>
  <c r="C257" i="10"/>
  <c r="B341" i="36" l="1"/>
  <c r="F340" i="36"/>
  <c r="E340" i="36"/>
  <c r="D340" i="36"/>
  <c r="C340" i="36"/>
  <c r="E258" i="10"/>
  <c r="C258" i="10"/>
  <c r="F258" i="10"/>
  <c r="B259" i="10"/>
  <c r="D258" i="10"/>
  <c r="D341" i="36" l="1"/>
  <c r="B342" i="36"/>
  <c r="E341" i="36"/>
  <c r="C341" i="36"/>
  <c r="F341" i="36"/>
  <c r="B260" i="10"/>
  <c r="E259" i="10"/>
  <c r="D259" i="10"/>
  <c r="C259" i="10"/>
  <c r="F259" i="10"/>
  <c r="B343" i="36" l="1"/>
  <c r="E342" i="36"/>
  <c r="D342" i="36"/>
  <c r="C342" i="36"/>
  <c r="F342" i="36"/>
  <c r="C260" i="10"/>
  <c r="E260" i="10"/>
  <c r="B261" i="10"/>
  <c r="F260" i="10"/>
  <c r="D260" i="10"/>
  <c r="B344" i="36" l="1"/>
  <c r="F343" i="36"/>
  <c r="E343" i="36"/>
  <c r="D343" i="36"/>
  <c r="C343" i="36"/>
  <c r="D261" i="10"/>
  <c r="C261" i="10"/>
  <c r="E261" i="10"/>
  <c r="F261" i="10"/>
  <c r="B262" i="10"/>
  <c r="E344" i="36" l="1"/>
  <c r="C344" i="36"/>
  <c r="F344" i="36"/>
  <c r="D344" i="36"/>
  <c r="B345" i="36"/>
  <c r="C262" i="10"/>
  <c r="F262" i="10"/>
  <c r="E262" i="10"/>
  <c r="D262" i="10"/>
  <c r="B263" i="10"/>
  <c r="F345" i="36" l="1"/>
  <c r="E345" i="36"/>
  <c r="D345" i="36"/>
  <c r="C345" i="36"/>
  <c r="B346" i="36"/>
  <c r="D263" i="10"/>
  <c r="C263" i="10"/>
  <c r="B264" i="10"/>
  <c r="E263" i="10"/>
  <c r="F263" i="10"/>
  <c r="C346" i="36" l="1"/>
  <c r="B347" i="36"/>
  <c r="F346" i="36"/>
  <c r="E346" i="36"/>
  <c r="D346" i="36"/>
  <c r="E264" i="10"/>
  <c r="B265" i="10"/>
  <c r="C264" i="10"/>
  <c r="F264" i="10"/>
  <c r="D264" i="10"/>
  <c r="F347" i="36" l="1"/>
  <c r="D347" i="36"/>
  <c r="C347" i="36"/>
  <c r="B348" i="36"/>
  <c r="E347" i="36"/>
  <c r="D265" i="10"/>
  <c r="B266" i="10"/>
  <c r="E265" i="10"/>
  <c r="C265" i="10"/>
  <c r="F265" i="10"/>
  <c r="B349" i="36" l="1"/>
  <c r="F348" i="36"/>
  <c r="E348" i="36"/>
  <c r="D348" i="36"/>
  <c r="C348" i="36"/>
  <c r="B267" i="10"/>
  <c r="C266" i="10"/>
  <c r="E266" i="10"/>
  <c r="D266" i="10"/>
  <c r="F266" i="10"/>
  <c r="D349" i="36" l="1"/>
  <c r="B350" i="36"/>
  <c r="C349" i="36"/>
  <c r="F349" i="36"/>
  <c r="E349" i="36"/>
  <c r="E267" i="10"/>
  <c r="F267" i="10"/>
  <c r="D267" i="10"/>
  <c r="C267" i="10"/>
  <c r="B268" i="10"/>
  <c r="B351" i="36" l="1"/>
  <c r="E350" i="36"/>
  <c r="D350" i="36"/>
  <c r="C350" i="36"/>
  <c r="F350" i="36"/>
  <c r="E268" i="10"/>
  <c r="C268" i="10"/>
  <c r="F268" i="10"/>
  <c r="D268" i="10"/>
  <c r="B269" i="10"/>
  <c r="B352" i="36" l="1"/>
  <c r="F351" i="36"/>
  <c r="E351" i="36"/>
  <c r="D351" i="36"/>
  <c r="C351" i="36"/>
  <c r="D269" i="10"/>
  <c r="C269" i="10"/>
  <c r="B270" i="10"/>
  <c r="F269" i="10"/>
  <c r="E269" i="10"/>
  <c r="E352" i="36" l="1"/>
  <c r="C352" i="36"/>
  <c r="B353" i="36"/>
  <c r="F352" i="36"/>
  <c r="D352" i="36"/>
  <c r="B271" i="10"/>
  <c r="C270" i="10"/>
  <c r="E270" i="10"/>
  <c r="D270" i="10"/>
  <c r="F270" i="10"/>
  <c r="F353" i="36" l="1"/>
  <c r="E353" i="36"/>
  <c r="D353" i="36"/>
  <c r="C353" i="36"/>
  <c r="B354" i="36"/>
  <c r="C271" i="10"/>
  <c r="D271" i="10"/>
  <c r="E271" i="10"/>
  <c r="F271" i="10"/>
  <c r="B272" i="10"/>
  <c r="C354" i="36" l="1"/>
  <c r="B355" i="36"/>
  <c r="F354" i="36"/>
  <c r="D354" i="36"/>
  <c r="E354" i="36"/>
  <c r="D272" i="10"/>
  <c r="F272" i="10"/>
  <c r="C272" i="10"/>
  <c r="B273" i="10"/>
  <c r="E272" i="10"/>
  <c r="F355" i="36" l="1"/>
  <c r="D355" i="36"/>
  <c r="C355" i="36"/>
  <c r="B356" i="36"/>
  <c r="E355" i="36"/>
  <c r="B274" i="10"/>
  <c r="D273" i="10"/>
  <c r="E273" i="10"/>
  <c r="F273" i="10"/>
  <c r="C273" i="10"/>
  <c r="B357" i="36" l="1"/>
  <c r="F356" i="36"/>
  <c r="E356" i="36"/>
  <c r="D356" i="36"/>
  <c r="C356" i="36"/>
  <c r="D274" i="10"/>
  <c r="C274" i="10"/>
  <c r="B275" i="10"/>
  <c r="E274" i="10"/>
  <c r="F274" i="10"/>
  <c r="D357" i="36" l="1"/>
  <c r="B358" i="36"/>
  <c r="E357" i="36"/>
  <c r="C357" i="36"/>
  <c r="F357" i="36"/>
  <c r="E275" i="10"/>
  <c r="B276" i="10"/>
  <c r="D275" i="10"/>
  <c r="C275" i="10"/>
  <c r="F275" i="10"/>
  <c r="B359" i="36" l="1"/>
  <c r="E358" i="36"/>
  <c r="D358" i="36"/>
  <c r="C358" i="36"/>
  <c r="F358" i="36"/>
  <c r="C276" i="10"/>
  <c r="E276" i="10"/>
  <c r="B277" i="10"/>
  <c r="F276" i="10"/>
  <c r="D276" i="10"/>
  <c r="B360" i="36" l="1"/>
  <c r="F359" i="36"/>
  <c r="E359" i="36"/>
  <c r="D359" i="36"/>
  <c r="C359" i="36"/>
  <c r="C277" i="10"/>
  <c r="F277" i="10"/>
  <c r="B278" i="10"/>
  <c r="E277" i="10"/>
  <c r="D277" i="10"/>
  <c r="E360" i="36" l="1"/>
  <c r="C360" i="36"/>
  <c r="B361" i="36"/>
  <c r="F360" i="36"/>
  <c r="D360" i="36"/>
  <c r="B279" i="10"/>
  <c r="F278" i="10"/>
  <c r="D278" i="10"/>
  <c r="E278" i="10"/>
  <c r="C278" i="10"/>
  <c r="F361" i="36" l="1"/>
  <c r="E361" i="36"/>
  <c r="D361" i="36"/>
  <c r="C361" i="36"/>
  <c r="B362" i="36"/>
  <c r="D279" i="10"/>
  <c r="C279" i="10"/>
  <c r="B280" i="10"/>
  <c r="E279" i="10"/>
  <c r="F279" i="10"/>
  <c r="C362" i="36" l="1"/>
  <c r="B363" i="36"/>
  <c r="F362" i="36"/>
  <c r="E362" i="36"/>
  <c r="D362" i="36"/>
  <c r="B281" i="10"/>
  <c r="E280" i="10"/>
  <c r="C280" i="10"/>
  <c r="F280" i="10"/>
  <c r="D280" i="10"/>
  <c r="F363" i="36" l="1"/>
  <c r="D363" i="36"/>
  <c r="C363" i="36"/>
  <c r="B364" i="36"/>
  <c r="E363" i="36"/>
  <c r="D281" i="10"/>
  <c r="B282" i="10"/>
  <c r="F281" i="10"/>
  <c r="C281" i="10"/>
  <c r="E281" i="10"/>
  <c r="B365" i="36" l="1"/>
  <c r="F364" i="36"/>
  <c r="E364" i="36"/>
  <c r="D364" i="36"/>
  <c r="C364" i="36"/>
  <c r="C282" i="10"/>
  <c r="B283" i="10"/>
  <c r="F282" i="10"/>
  <c r="E282" i="10"/>
  <c r="D282" i="10"/>
  <c r="D365" i="36" l="1"/>
  <c r="B366" i="36"/>
  <c r="F365" i="36"/>
  <c r="E365" i="36"/>
  <c r="C365" i="36"/>
  <c r="B284" i="10"/>
  <c r="F283" i="10"/>
  <c r="D283" i="10"/>
  <c r="C283" i="10"/>
  <c r="E283" i="10"/>
  <c r="B367" i="36" l="1"/>
  <c r="E366" i="36"/>
  <c r="D366" i="36"/>
  <c r="C366" i="36"/>
  <c r="F366" i="36"/>
  <c r="E284" i="10"/>
  <c r="C284" i="10"/>
  <c r="B285" i="10"/>
  <c r="F284" i="10"/>
  <c r="D284" i="10"/>
  <c r="B368" i="36" l="1"/>
  <c r="F367" i="36"/>
  <c r="E367" i="36"/>
  <c r="C367" i="36"/>
  <c r="D367" i="36"/>
  <c r="C285" i="10"/>
  <c r="E285" i="10"/>
  <c r="B286" i="10"/>
  <c r="F285" i="10"/>
  <c r="D285" i="10"/>
  <c r="E368" i="36" l="1"/>
  <c r="C368" i="36"/>
  <c r="B369" i="36"/>
  <c r="F368" i="36"/>
  <c r="D368" i="36"/>
  <c r="B287" i="10"/>
  <c r="C286" i="10"/>
  <c r="E286" i="10"/>
  <c r="D286" i="10"/>
  <c r="F286" i="10"/>
  <c r="F369" i="36" l="1"/>
  <c r="E369" i="36"/>
  <c r="D369" i="36"/>
  <c r="C369" i="36"/>
  <c r="B370" i="36"/>
  <c r="D287" i="10"/>
  <c r="C287" i="10"/>
  <c r="B288" i="10"/>
  <c r="E287" i="10"/>
  <c r="F287" i="10"/>
  <c r="D370" i="36" l="1"/>
  <c r="C370" i="36"/>
  <c r="B371" i="36"/>
  <c r="F370" i="36"/>
  <c r="E370" i="36"/>
  <c r="F288" i="10"/>
  <c r="D288" i="10"/>
  <c r="B289" i="10"/>
  <c r="C288" i="10"/>
  <c r="E288" i="10"/>
  <c r="F371" i="36" l="1"/>
  <c r="E371" i="36"/>
  <c r="D371" i="36"/>
  <c r="C371" i="36"/>
  <c r="B290" i="10"/>
  <c r="D289" i="10"/>
  <c r="F289" i="10"/>
  <c r="E289" i="10"/>
  <c r="C289" i="10"/>
  <c r="C290" i="10" l="1"/>
  <c r="E290" i="10"/>
  <c r="B291" i="10"/>
  <c r="F290" i="10"/>
  <c r="D290" i="10"/>
  <c r="B292" i="10" l="1"/>
  <c r="E291" i="10"/>
  <c r="D291" i="10"/>
  <c r="C291" i="10"/>
  <c r="F291" i="10"/>
  <c r="E292" i="10" l="1"/>
  <c r="C292" i="10"/>
  <c r="B293" i="10"/>
  <c r="F292" i="10"/>
  <c r="D292" i="10"/>
  <c r="F293" i="10" l="1"/>
  <c r="D293" i="10"/>
  <c r="B294" i="10"/>
  <c r="E293" i="10"/>
  <c r="C293" i="10"/>
  <c r="C294" i="10" l="1"/>
  <c r="F294" i="10"/>
  <c r="D294" i="10"/>
  <c r="E294" i="10"/>
  <c r="B295" i="10"/>
  <c r="C295" i="10" l="1"/>
  <c r="F295" i="10"/>
  <c r="E295" i="10"/>
  <c r="D295" i="10"/>
  <c r="B296" i="10"/>
  <c r="B297" i="10" l="1"/>
  <c r="E296" i="10"/>
  <c r="C296" i="10"/>
  <c r="D296" i="10"/>
  <c r="F296" i="10"/>
  <c r="B298" i="10" l="1"/>
  <c r="D297" i="10"/>
  <c r="E297" i="10"/>
  <c r="F297" i="10"/>
  <c r="C297" i="10"/>
  <c r="B299" i="10" l="1"/>
  <c r="D298" i="10"/>
  <c r="E298" i="10"/>
  <c r="F298" i="10"/>
  <c r="C298" i="10"/>
  <c r="E299" i="10" l="1"/>
  <c r="F299" i="10"/>
  <c r="D299" i="10"/>
  <c r="C299" i="10"/>
  <c r="B300" i="10"/>
  <c r="E300" i="10" l="1"/>
  <c r="C300" i="10"/>
  <c r="B301" i="10"/>
  <c r="F300" i="10"/>
  <c r="D300" i="10"/>
  <c r="E301" i="10" l="1"/>
  <c r="C301" i="10"/>
  <c r="B302" i="10"/>
  <c r="D301" i="10"/>
  <c r="F301" i="10"/>
  <c r="F302" i="10" l="1"/>
  <c r="C302" i="10"/>
  <c r="E302" i="10"/>
  <c r="D302" i="10"/>
  <c r="B303" i="10"/>
  <c r="C303" i="10" l="1"/>
  <c r="D303" i="10"/>
  <c r="B304" i="10"/>
  <c r="E303" i="10"/>
  <c r="F303" i="10"/>
  <c r="D304" i="10" l="1"/>
  <c r="F304" i="10"/>
  <c r="C304" i="10"/>
  <c r="B305" i="10"/>
  <c r="E304" i="10"/>
  <c r="C305" i="10" l="1"/>
  <c r="B306" i="10"/>
  <c r="D305" i="10"/>
  <c r="F305" i="10"/>
  <c r="E305" i="10"/>
  <c r="C306" i="10" l="1"/>
  <c r="D306" i="10"/>
  <c r="B307" i="10"/>
  <c r="F306" i="10"/>
  <c r="E306" i="10"/>
  <c r="B308" i="10" l="1"/>
  <c r="E307" i="10"/>
  <c r="C307" i="10"/>
  <c r="F307" i="10"/>
  <c r="D307" i="10"/>
  <c r="D308" i="10" l="1"/>
  <c r="C308" i="10"/>
  <c r="B309" i="10"/>
  <c r="F308" i="10"/>
  <c r="E308" i="10"/>
  <c r="C309" i="10" l="1"/>
  <c r="E309" i="10"/>
  <c r="B310" i="10"/>
  <c r="F309" i="10"/>
  <c r="D309" i="10"/>
  <c r="B311" i="10" l="1"/>
  <c r="F310" i="10"/>
  <c r="E310" i="10"/>
  <c r="D310" i="10"/>
  <c r="C310" i="10"/>
  <c r="D311" i="10" l="1"/>
  <c r="C311" i="10"/>
  <c r="B312" i="10"/>
  <c r="E311" i="10"/>
  <c r="F311" i="10"/>
  <c r="D312" i="10" l="1"/>
  <c r="F312" i="10"/>
  <c r="B313" i="10"/>
  <c r="C312" i="10"/>
  <c r="E312" i="10"/>
  <c r="C313" i="10" l="1"/>
  <c r="B314" i="10"/>
  <c r="D313" i="10"/>
  <c r="F313" i="10"/>
  <c r="E313" i="10"/>
  <c r="C314" i="10" l="1"/>
  <c r="D314" i="10"/>
  <c r="B315" i="10"/>
  <c r="F314" i="10"/>
  <c r="E314" i="10"/>
  <c r="E315" i="10" l="1"/>
  <c r="B316" i="10"/>
  <c r="F315" i="10"/>
  <c r="D315" i="10"/>
  <c r="C315" i="10"/>
  <c r="D316" i="10" l="1"/>
  <c r="C316" i="10"/>
  <c r="B317" i="10"/>
  <c r="F316" i="10"/>
  <c r="E316" i="10"/>
  <c r="C317" i="10" l="1"/>
  <c r="F317" i="10"/>
  <c r="E317" i="10"/>
  <c r="D317" i="10"/>
  <c r="B318" i="10"/>
  <c r="B319" i="10" l="1"/>
  <c r="F318" i="10"/>
  <c r="D318" i="10"/>
  <c r="C318" i="10"/>
  <c r="E318" i="10"/>
  <c r="E319" i="10" l="1"/>
  <c r="D319" i="10"/>
  <c r="B320" i="10"/>
  <c r="C319" i="10"/>
  <c r="F319" i="10"/>
  <c r="D320" i="10" l="1"/>
  <c r="B321" i="10"/>
  <c r="F320" i="10"/>
  <c r="C320" i="10"/>
  <c r="E320" i="10"/>
  <c r="C321" i="10" l="1"/>
  <c r="B322" i="10"/>
  <c r="F321" i="10"/>
  <c r="E321" i="10"/>
  <c r="D321" i="10"/>
  <c r="E322" i="10" l="1"/>
  <c r="C322" i="10"/>
  <c r="D322" i="10"/>
  <c r="F322" i="10"/>
  <c r="B323" i="10"/>
  <c r="F323" i="10" l="1"/>
  <c r="E323" i="10"/>
  <c r="D323" i="10"/>
  <c r="C323" i="10"/>
  <c r="B324" i="10"/>
  <c r="D324" i="10" l="1"/>
  <c r="C324" i="10"/>
  <c r="F324" i="10"/>
  <c r="B325" i="10"/>
  <c r="E324" i="10"/>
  <c r="F325" i="10" l="1"/>
  <c r="D325" i="10"/>
  <c r="B326" i="10"/>
  <c r="E325" i="10"/>
  <c r="C325" i="10"/>
  <c r="B327" i="10" l="1"/>
  <c r="F326" i="10"/>
  <c r="D326" i="10"/>
  <c r="E326" i="10"/>
  <c r="C326" i="10"/>
  <c r="E327" i="10" l="1"/>
  <c r="D327" i="10"/>
  <c r="B328" i="10"/>
  <c r="C327" i="10"/>
  <c r="F327" i="10"/>
  <c r="D328" i="10" l="1"/>
  <c r="E328" i="10"/>
  <c r="F328" i="10"/>
  <c r="C328" i="10"/>
  <c r="B329" i="10"/>
  <c r="C329" i="10" l="1"/>
  <c r="B330" i="10"/>
  <c r="E329" i="10"/>
  <c r="F329" i="10"/>
  <c r="D329" i="10"/>
  <c r="C330" i="10" l="1"/>
  <c r="E330" i="10"/>
  <c r="B331" i="10"/>
  <c r="D330" i="10"/>
  <c r="F330" i="10"/>
  <c r="F331" i="10" l="1"/>
  <c r="E331" i="10"/>
  <c r="D331" i="10"/>
  <c r="C331" i="10"/>
  <c r="B332" i="10"/>
  <c r="D332" i="10" l="1"/>
  <c r="C332" i="10"/>
  <c r="F332" i="10"/>
  <c r="B333" i="10"/>
  <c r="E332" i="10"/>
  <c r="F333" i="10" l="1"/>
  <c r="C333" i="10"/>
  <c r="E333" i="10"/>
  <c r="B334" i="10"/>
  <c r="D333" i="10"/>
  <c r="F334" i="10" l="1"/>
  <c r="B335" i="10"/>
  <c r="E334" i="10"/>
  <c r="D334" i="10"/>
  <c r="C334" i="10"/>
  <c r="E335" i="10" l="1"/>
  <c r="D335" i="10"/>
  <c r="C335" i="10"/>
  <c r="B336" i="10"/>
  <c r="F335" i="10"/>
  <c r="D336" i="10" l="1"/>
  <c r="B337" i="10"/>
  <c r="F336" i="10"/>
  <c r="E336" i="10"/>
  <c r="C336" i="10"/>
  <c r="C337" i="10" l="1"/>
  <c r="B338" i="10"/>
  <c r="F337" i="10"/>
  <c r="E337" i="10"/>
  <c r="D337" i="10"/>
  <c r="E338" i="10" l="1"/>
  <c r="C338" i="10"/>
  <c r="B339" i="10"/>
  <c r="D338" i="10"/>
  <c r="F338" i="10"/>
  <c r="F339" i="10" l="1"/>
  <c r="E339" i="10"/>
  <c r="B340" i="10"/>
  <c r="D339" i="10"/>
  <c r="C339" i="10"/>
  <c r="D340" i="10" l="1"/>
  <c r="C340" i="10"/>
  <c r="B341" i="10"/>
  <c r="F340" i="10"/>
  <c r="E340" i="10"/>
  <c r="C341" i="10" l="1"/>
  <c r="D341" i="10"/>
  <c r="E341" i="10"/>
  <c r="B342" i="10"/>
  <c r="F341" i="10"/>
  <c r="B343" i="10" l="1"/>
  <c r="F342" i="10"/>
  <c r="E342" i="10"/>
  <c r="D342" i="10"/>
  <c r="C342" i="10"/>
  <c r="E343" i="10" l="1"/>
  <c r="D343" i="10"/>
  <c r="B344" i="10"/>
  <c r="F343" i="10"/>
  <c r="C343" i="10"/>
  <c r="E344" i="10" l="1"/>
  <c r="D344" i="10"/>
  <c r="C344" i="10"/>
  <c r="F344" i="10"/>
  <c r="B345" i="10"/>
  <c r="C345" i="10" l="1"/>
  <c r="B346" i="10"/>
  <c r="F345" i="10"/>
  <c r="E345" i="10"/>
  <c r="D345" i="10"/>
  <c r="C346" i="10" l="1"/>
  <c r="E346" i="10"/>
  <c r="D346" i="10"/>
  <c r="B347" i="10"/>
  <c r="F346" i="10"/>
  <c r="E347" i="10" l="1"/>
  <c r="F347" i="10"/>
  <c r="B348" i="10"/>
  <c r="C347" i="10"/>
  <c r="D347" i="10"/>
  <c r="D348" i="10" l="1"/>
  <c r="C348" i="10"/>
  <c r="B349" i="10"/>
  <c r="E348" i="10"/>
  <c r="F348" i="10"/>
  <c r="C349" i="10" l="1"/>
  <c r="F349" i="10"/>
  <c r="B350" i="10"/>
  <c r="E349" i="10"/>
  <c r="D349" i="10"/>
  <c r="F350" i="10" l="1"/>
  <c r="B351" i="10"/>
  <c r="E350" i="10"/>
  <c r="D350" i="10"/>
  <c r="C350" i="10"/>
  <c r="E351" i="10" l="1"/>
  <c r="D351" i="10"/>
  <c r="C351" i="10"/>
  <c r="B352" i="10"/>
  <c r="F351" i="10"/>
  <c r="E352" i="10" l="1"/>
  <c r="D352" i="10"/>
  <c r="F352" i="10"/>
  <c r="B353" i="10"/>
  <c r="C352" i="10"/>
  <c r="C353" i="10" l="1"/>
  <c r="B354" i="10"/>
  <c r="F353" i="10"/>
  <c r="E353" i="10"/>
  <c r="D353" i="10"/>
  <c r="E354" i="10" l="1"/>
  <c r="C354" i="10"/>
  <c r="D354" i="10"/>
  <c r="B355" i="10"/>
  <c r="F354" i="10"/>
  <c r="F355" i="10" l="1"/>
  <c r="E355" i="10"/>
  <c r="D355" i="10"/>
  <c r="C355" i="10"/>
  <c r="B356" i="10"/>
  <c r="D356" i="10" l="1"/>
  <c r="C356" i="10"/>
  <c r="B357" i="10"/>
  <c r="F356" i="10"/>
  <c r="E356" i="10"/>
  <c r="D357" i="10" l="1"/>
  <c r="C357" i="10"/>
  <c r="B358" i="10"/>
  <c r="E357" i="10"/>
  <c r="F357" i="10"/>
  <c r="B359" i="10" l="1"/>
  <c r="F358" i="10"/>
  <c r="E358" i="10"/>
  <c r="D358" i="10"/>
  <c r="C358" i="10"/>
  <c r="E359" i="10" l="1"/>
  <c r="D359" i="10"/>
  <c r="C359" i="10"/>
  <c r="B360" i="10"/>
  <c r="F359" i="10"/>
  <c r="D360" i="10" l="1"/>
  <c r="E360" i="10"/>
  <c r="F360" i="10"/>
  <c r="B361" i="10"/>
  <c r="C360" i="10"/>
  <c r="C361" i="10" l="1"/>
  <c r="B362" i="10"/>
  <c r="F361" i="10"/>
  <c r="E361" i="10"/>
  <c r="D361" i="10"/>
  <c r="C362" i="10" l="1"/>
  <c r="E362" i="10"/>
  <c r="B363" i="10"/>
  <c r="D362" i="10"/>
  <c r="F362" i="10"/>
  <c r="E363" i="10" l="1"/>
  <c r="F363" i="10"/>
  <c r="B364" i="10"/>
  <c r="D363" i="10"/>
  <c r="C363" i="10"/>
  <c r="D364" i="10" l="1"/>
  <c r="C364" i="10"/>
  <c r="F364" i="10"/>
  <c r="E364" i="10"/>
  <c r="B365" i="10"/>
  <c r="D365" i="10" l="1"/>
  <c r="C365" i="10"/>
  <c r="E365" i="10"/>
  <c r="B366" i="10"/>
  <c r="F365" i="10"/>
  <c r="F366" i="10" l="1"/>
  <c r="B367" i="10"/>
  <c r="E366" i="10"/>
  <c r="D366" i="10"/>
  <c r="C366" i="10"/>
  <c r="E367" i="10" l="1"/>
  <c r="D367" i="10"/>
  <c r="C367" i="10"/>
  <c r="B368" i="10"/>
  <c r="F367" i="10"/>
  <c r="D368" i="10" l="1"/>
  <c r="B369" i="10"/>
  <c r="F368" i="10"/>
  <c r="E368" i="10"/>
  <c r="C368" i="10"/>
  <c r="C369" i="10" l="1"/>
  <c r="B370" i="10"/>
  <c r="D369" i="10"/>
  <c r="F369" i="10"/>
  <c r="E369" i="10"/>
  <c r="E370" i="10" l="1"/>
  <c r="C370" i="10"/>
  <c r="B371" i="10"/>
  <c r="F370" i="10"/>
  <c r="D370" i="10"/>
  <c r="D36" i="5"/>
  <c r="E36" i="5"/>
  <c r="F36" i="5"/>
  <c r="I36" i="5"/>
  <c r="AO45" i="5" l="1"/>
  <c r="AN45" i="5"/>
  <c r="AM45" i="5"/>
  <c r="E371" i="10"/>
  <c r="C371" i="10"/>
  <c r="D371" i="10"/>
  <c r="F371" i="10"/>
  <c r="G36" i="5"/>
  <c r="P45" i="5"/>
  <c r="O34" i="5"/>
  <c r="O45" i="5"/>
  <c r="E9" i="5"/>
  <c r="X23" i="5" l="1"/>
  <c r="D19" i="8"/>
  <c r="D28" i="8" s="1"/>
  <c r="AL45" i="5"/>
  <c r="AP45" i="5"/>
  <c r="AO34" i="5"/>
  <c r="AO46" i="5" s="1"/>
  <c r="AM34" i="5"/>
  <c r="AM46" i="5" s="1"/>
  <c r="AN34" i="5"/>
  <c r="AN46" i="5" s="1"/>
  <c r="R34" i="5"/>
  <c r="P34" i="5"/>
  <c r="R23" i="5"/>
  <c r="O46" i="5"/>
  <c r="T34" i="5"/>
  <c r="T23" i="5"/>
  <c r="H7" i="5"/>
  <c r="D9" i="5"/>
  <c r="C45" i="5"/>
  <c r="F25" i="5"/>
  <c r="E25" i="5"/>
  <c r="E34" i="5" s="1"/>
  <c r="D25" i="5"/>
  <c r="C23" i="5"/>
  <c r="F9" i="5"/>
  <c r="T46" i="5" l="1"/>
  <c r="R46" i="5"/>
  <c r="H43" i="5"/>
  <c r="J43" i="5" s="1"/>
  <c r="K43" i="5" s="1"/>
  <c r="H32" i="5"/>
  <c r="J32" i="5" s="1"/>
  <c r="K32" i="5" s="1"/>
  <c r="H29" i="5"/>
  <c r="J29" i="5" s="1"/>
  <c r="K29" i="5" s="1"/>
  <c r="H37" i="5"/>
  <c r="J37" i="5" s="1"/>
  <c r="K37" i="5" s="1"/>
  <c r="H26" i="5"/>
  <c r="J26" i="5" s="1"/>
  <c r="K26" i="5" s="1"/>
  <c r="H28" i="5"/>
  <c r="J28" i="5" s="1"/>
  <c r="K28" i="5" s="1"/>
  <c r="H42" i="5"/>
  <c r="J42" i="5" s="1"/>
  <c r="K42" i="5" s="1"/>
  <c r="H31" i="5"/>
  <c r="J31" i="5" s="1"/>
  <c r="K31" i="5" s="1"/>
  <c r="H40" i="5"/>
  <c r="J40" i="5" s="1"/>
  <c r="K40" i="5" s="1"/>
  <c r="H39" i="5"/>
  <c r="J39" i="5" s="1"/>
  <c r="K39" i="5" s="1"/>
  <c r="H38" i="5"/>
  <c r="J38" i="5" s="1"/>
  <c r="K38" i="5" s="1"/>
  <c r="H44" i="5"/>
  <c r="J44" i="5" s="1"/>
  <c r="K44" i="5" s="1"/>
  <c r="H27" i="5"/>
  <c r="J27" i="5" s="1"/>
  <c r="K27" i="5" s="1"/>
  <c r="H41" i="5"/>
  <c r="J41" i="5" s="1"/>
  <c r="K41" i="5" s="1"/>
  <c r="H30" i="5"/>
  <c r="J30" i="5" s="1"/>
  <c r="K30" i="5" s="1"/>
  <c r="H21" i="5"/>
  <c r="J21" i="5" s="1"/>
  <c r="K21" i="5" s="1"/>
  <c r="H15" i="5"/>
  <c r="J15" i="5" s="1"/>
  <c r="K15" i="5" s="1"/>
  <c r="H19" i="5"/>
  <c r="J19" i="5" s="1"/>
  <c r="K19" i="5" s="1"/>
  <c r="H17" i="5"/>
  <c r="J17" i="5" s="1"/>
  <c r="K17" i="5" s="1"/>
  <c r="H18" i="5"/>
  <c r="J18" i="5" s="1"/>
  <c r="K18" i="5" s="1"/>
  <c r="H14" i="5"/>
  <c r="J14" i="5" s="1"/>
  <c r="K14" i="5" s="1"/>
  <c r="H16" i="5"/>
  <c r="J16" i="5" s="1"/>
  <c r="K16" i="5" s="1"/>
  <c r="H20" i="5"/>
  <c r="J20" i="5" s="1"/>
  <c r="K20" i="5" s="1"/>
  <c r="H22" i="5"/>
  <c r="J22" i="5" s="1"/>
  <c r="K22" i="5" s="1"/>
  <c r="AL34" i="5"/>
  <c r="AL46" i="5" s="1"/>
  <c r="AP34" i="5"/>
  <c r="AP46" i="5" s="1"/>
  <c r="F20" i="8"/>
  <c r="F23" i="8"/>
  <c r="F26" i="8"/>
  <c r="H12" i="5"/>
  <c r="J12" i="5" s="1"/>
  <c r="K12" i="5" s="1"/>
  <c r="H33" i="5"/>
  <c r="J33" i="5" s="1"/>
  <c r="K33" i="5" s="1"/>
  <c r="F22" i="8"/>
  <c r="F25" i="8"/>
  <c r="H11" i="5"/>
  <c r="J11" i="5" s="1"/>
  <c r="K11" i="5" s="1"/>
  <c r="H13" i="5"/>
  <c r="J13" i="5" s="1"/>
  <c r="K13" i="5" s="1"/>
  <c r="F21" i="8"/>
  <c r="F24" i="8"/>
  <c r="H10" i="5"/>
  <c r="J10" i="5" s="1"/>
  <c r="K10" i="5" s="1"/>
  <c r="H36" i="5"/>
  <c r="J36" i="5" s="1"/>
  <c r="K36" i="5" s="1"/>
  <c r="W34" i="5"/>
  <c r="V34" i="5"/>
  <c r="W23" i="5"/>
  <c r="U34" i="5"/>
  <c r="U23" i="5"/>
  <c r="X34" i="5"/>
  <c r="X46" i="5" s="1"/>
  <c r="F34" i="5"/>
  <c r="D34" i="5"/>
  <c r="V23" i="5"/>
  <c r="C46" i="5"/>
  <c r="H9" i="5"/>
  <c r="D23" i="5"/>
  <c r="I45" i="5"/>
  <c r="G25" i="5"/>
  <c r="H25" i="5"/>
  <c r="F45" i="5"/>
  <c r="G9" i="5"/>
  <c r="F23" i="5"/>
  <c r="E23" i="5"/>
  <c r="E45" i="5"/>
  <c r="I23" i="5"/>
  <c r="D45" i="5"/>
  <c r="V46" i="5" l="1"/>
  <c r="W46" i="5"/>
  <c r="U46" i="5"/>
  <c r="P23" i="5"/>
  <c r="P46" i="5" s="1"/>
  <c r="F19" i="8"/>
  <c r="F28" i="8" s="1"/>
  <c r="J25" i="5"/>
  <c r="K25" i="5" s="1"/>
  <c r="H34" i="5"/>
  <c r="S34" i="5"/>
  <c r="S46" i="5" s="1"/>
  <c r="G34" i="5"/>
  <c r="AB23" i="5"/>
  <c r="AB34" i="5"/>
  <c r="D46" i="5"/>
  <c r="I46" i="5"/>
  <c r="F46" i="5"/>
  <c r="E46" i="5"/>
  <c r="H23" i="5"/>
  <c r="J23" i="5" s="1"/>
  <c r="J9" i="5"/>
  <c r="K9" i="5" s="1"/>
  <c r="J45" i="5"/>
  <c r="H45" i="5"/>
  <c r="G23" i="5"/>
  <c r="G45" i="5"/>
  <c r="D16" i="7" l="1"/>
  <c r="F16" i="7" s="1"/>
  <c r="F25" i="7" s="1"/>
  <c r="C26" i="25" s="1"/>
  <c r="C17" i="14" s="1"/>
  <c r="C15" i="14" s="1"/>
  <c r="C34" i="25"/>
  <c r="J34" i="5"/>
  <c r="J46" i="5" s="1"/>
  <c r="K23" i="5"/>
  <c r="AB46" i="5"/>
  <c r="AC34" i="5"/>
  <c r="G46" i="5"/>
  <c r="H46" i="5"/>
  <c r="K45" i="5"/>
  <c r="K34" i="5"/>
  <c r="D12" i="38" l="1"/>
  <c r="D25" i="7"/>
  <c r="C30" i="25"/>
  <c r="D26" i="25"/>
  <c r="E26" i="25" s="1"/>
  <c r="CG98" i="21"/>
  <c r="AN98" i="21"/>
  <c r="CG362" i="21"/>
  <c r="CG65" i="21"/>
  <c r="CG296" i="21"/>
  <c r="AN362" i="21"/>
  <c r="AN65" i="21"/>
  <c r="AN296" i="21"/>
  <c r="CG395" i="21"/>
  <c r="AN164" i="21"/>
  <c r="CG32" i="21"/>
  <c r="AN395" i="21"/>
  <c r="CG164" i="21"/>
  <c r="AN32" i="21"/>
  <c r="AN197" i="21"/>
  <c r="AN230" i="21"/>
  <c r="CG131" i="21"/>
  <c r="CG197" i="21"/>
  <c r="CG230" i="21"/>
  <c r="AN131" i="21"/>
  <c r="CG329" i="21"/>
  <c r="AN263" i="21"/>
  <c r="AN329" i="21"/>
  <c r="CG263" i="21"/>
  <c r="D34" i="25"/>
  <c r="E34" i="25" s="1"/>
  <c r="C23" i="14"/>
  <c r="C21" i="14" s="1"/>
  <c r="C36" i="25"/>
  <c r="AC46" i="5"/>
  <c r="K46" i="5"/>
  <c r="D13" i="38" l="1"/>
  <c r="D30" i="25"/>
  <c r="D17" i="14"/>
  <c r="D15" i="14" s="1"/>
  <c r="CG316" i="21"/>
  <c r="CG315" i="21"/>
  <c r="CG349" i="21"/>
  <c r="CG348" i="21"/>
  <c r="CG382" i="21"/>
  <c r="CG381" i="21"/>
  <c r="CG118" i="21"/>
  <c r="CG117" i="21"/>
  <c r="CG151" i="21"/>
  <c r="CG150" i="21"/>
  <c r="CG283" i="21"/>
  <c r="CG282" i="21"/>
  <c r="CG52" i="21"/>
  <c r="CG51" i="21"/>
  <c r="CG216" i="21"/>
  <c r="CG217" i="21"/>
  <c r="CG183" i="21"/>
  <c r="CG184" i="21"/>
  <c r="CG85" i="21"/>
  <c r="CG84" i="21"/>
  <c r="CG249" i="21"/>
  <c r="CG250" i="21"/>
  <c r="CG19" i="21"/>
  <c r="CG18" i="21"/>
  <c r="CG313" i="21"/>
  <c r="CG314" i="21"/>
  <c r="CG309" i="21"/>
  <c r="CG16" i="21"/>
  <c r="CG17" i="21"/>
  <c r="CG347" i="21"/>
  <c r="CG342" i="21"/>
  <c r="CG346" i="21"/>
  <c r="D23" i="14"/>
  <c r="D21" i="14" s="1"/>
  <c r="D36" i="25"/>
  <c r="AN280" i="21"/>
  <c r="AN278" i="21"/>
  <c r="AN281" i="21"/>
  <c r="M281" i="21" s="1"/>
  <c r="AN279" i="21"/>
  <c r="AN276" i="21"/>
  <c r="AN277" i="21"/>
  <c r="M277" i="21" s="1"/>
  <c r="CG82" i="21"/>
  <c r="CG83" i="21"/>
  <c r="CG79" i="21"/>
  <c r="CG80" i="21"/>
  <c r="BF80" i="21" s="1"/>
  <c r="CG81" i="21"/>
  <c r="BF81" i="21" s="1"/>
  <c r="CG78" i="21"/>
  <c r="BF345" i="21"/>
  <c r="BF344" i="21"/>
  <c r="AN212" i="21"/>
  <c r="M212" i="21" s="1"/>
  <c r="AN214" i="21"/>
  <c r="AN215" i="21"/>
  <c r="AN213" i="21"/>
  <c r="M213" i="21" s="1"/>
  <c r="AN211" i="21"/>
  <c r="M211" i="21" s="1"/>
  <c r="AN210" i="21"/>
  <c r="CG45" i="21"/>
  <c r="CG50" i="21"/>
  <c r="CG47" i="21"/>
  <c r="BF47" i="21" s="1"/>
  <c r="CG48" i="21"/>
  <c r="BF48" i="21" s="1"/>
  <c r="CG49" i="21"/>
  <c r="CG212" i="21"/>
  <c r="BF212" i="21" s="1"/>
  <c r="CG213" i="21"/>
  <c r="BF213" i="21" s="1"/>
  <c r="CG215" i="21"/>
  <c r="CG210" i="21"/>
  <c r="CG211" i="21"/>
  <c r="CG214" i="21"/>
  <c r="AN245" i="21"/>
  <c r="AN246" i="21"/>
  <c r="M246" i="21" s="1"/>
  <c r="AN243" i="21"/>
  <c r="AN248" i="21"/>
  <c r="M248" i="21" s="1"/>
  <c r="AN244" i="21"/>
  <c r="M244" i="21" s="1"/>
  <c r="AN247" i="21"/>
  <c r="AN180" i="21"/>
  <c r="AN177" i="21"/>
  <c r="AN179" i="21"/>
  <c r="AN182" i="21"/>
  <c r="M182" i="21" s="1"/>
  <c r="AN181" i="21"/>
  <c r="M181" i="21" s="1"/>
  <c r="AN178" i="21"/>
  <c r="M178" i="21" s="1"/>
  <c r="AN49" i="21"/>
  <c r="M49" i="21" s="1"/>
  <c r="AN46" i="21"/>
  <c r="AN48" i="21"/>
  <c r="AN47" i="21"/>
  <c r="M47" i="21" s="1"/>
  <c r="AN45" i="21"/>
  <c r="AN50" i="21"/>
  <c r="M50" i="21" s="1"/>
  <c r="CG148" i="21"/>
  <c r="CG146" i="21"/>
  <c r="BF146" i="21" s="1"/>
  <c r="CG149" i="21"/>
  <c r="CG145" i="21"/>
  <c r="CG147" i="21"/>
  <c r="BF147" i="21" s="1"/>
  <c r="CG144" i="21"/>
  <c r="AN376" i="21"/>
  <c r="AN379" i="21"/>
  <c r="M379" i="21" s="1"/>
  <c r="AN375" i="21"/>
  <c r="AN380" i="21"/>
  <c r="M380" i="21" s="1"/>
  <c r="AN378" i="21"/>
  <c r="M378" i="21" s="1"/>
  <c r="AN377" i="21"/>
  <c r="AN80" i="21"/>
  <c r="AN79" i="21"/>
  <c r="M79" i="21" s="1"/>
  <c r="AN83" i="21"/>
  <c r="AN81" i="21"/>
  <c r="M81" i="21" s="1"/>
  <c r="AN82" i="21"/>
  <c r="M82" i="21" s="1"/>
  <c r="AN78" i="21"/>
  <c r="AN112" i="21"/>
  <c r="M112" i="21" s="1"/>
  <c r="AN116" i="21"/>
  <c r="M116" i="21" s="1"/>
  <c r="AN113" i="21"/>
  <c r="AN111" i="21"/>
  <c r="AN115" i="21"/>
  <c r="AN114" i="21"/>
  <c r="M114" i="21" s="1"/>
  <c r="AN311" i="21"/>
  <c r="M311" i="21" s="1"/>
  <c r="AN310" i="21"/>
  <c r="M310" i="21" s="1"/>
  <c r="AN314" i="21"/>
  <c r="M314" i="21" s="1"/>
  <c r="AN309" i="21"/>
  <c r="AN313" i="21"/>
  <c r="AN312" i="21"/>
  <c r="AN147" i="21"/>
  <c r="AN149" i="21"/>
  <c r="M149" i="21" s="1"/>
  <c r="AN148" i="21"/>
  <c r="M148" i="21" s="1"/>
  <c r="AN146" i="21"/>
  <c r="M146" i="21" s="1"/>
  <c r="AN145" i="21"/>
  <c r="M145" i="21" s="1"/>
  <c r="AN144" i="21"/>
  <c r="CG378" i="21"/>
  <c r="BF378" i="21" s="1"/>
  <c r="CG380" i="21"/>
  <c r="CG375" i="21"/>
  <c r="CG377" i="21"/>
  <c r="BF377" i="21" s="1"/>
  <c r="CG379" i="21"/>
  <c r="CG376" i="21"/>
  <c r="CG281" i="21"/>
  <c r="CG276" i="21"/>
  <c r="CG279" i="21"/>
  <c r="BF279" i="21" s="1"/>
  <c r="CG278" i="21"/>
  <c r="BF278" i="21" s="1"/>
  <c r="CG280" i="21"/>
  <c r="CG277" i="21"/>
  <c r="CG182" i="21"/>
  <c r="CG180" i="21"/>
  <c r="BF180" i="21" s="1"/>
  <c r="CG178" i="21"/>
  <c r="CG181" i="21"/>
  <c r="CG179" i="21"/>
  <c r="BF179" i="21" s="1"/>
  <c r="CG177" i="21"/>
  <c r="AN343" i="21"/>
  <c r="AN346" i="21"/>
  <c r="M346" i="21" s="1"/>
  <c r="AN342" i="21"/>
  <c r="AN344" i="21"/>
  <c r="M344" i="21" s="1"/>
  <c r="AN345" i="21"/>
  <c r="M345" i="21" s="1"/>
  <c r="AN347" i="21"/>
  <c r="M347" i="21" s="1"/>
  <c r="BF312" i="21"/>
  <c r="BF311" i="21"/>
  <c r="CG243" i="21"/>
  <c r="CG248" i="21"/>
  <c r="CG246" i="21"/>
  <c r="BF246" i="21" s="1"/>
  <c r="CG245" i="21"/>
  <c r="BF245" i="21" s="1"/>
  <c r="CG244" i="21"/>
  <c r="CG247" i="21"/>
  <c r="CG116" i="21"/>
  <c r="CG111" i="21"/>
  <c r="CG113" i="21"/>
  <c r="BF113" i="21" s="1"/>
  <c r="CG115" i="21"/>
  <c r="CG112" i="21"/>
  <c r="CG114" i="21"/>
  <c r="BF114" i="21" s="1"/>
  <c r="AN13" i="21"/>
  <c r="M13" i="21" s="1"/>
  <c r="AN14" i="21"/>
  <c r="M14" i="21" s="1"/>
  <c r="AN15" i="21"/>
  <c r="M15" i="21" s="1"/>
  <c r="AN12" i="21"/>
  <c r="M12" i="21" s="1"/>
  <c r="AN17" i="21"/>
  <c r="M17" i="21" s="1"/>
  <c r="AN16" i="21"/>
  <c r="M16" i="21" s="1"/>
  <c r="CG14" i="21"/>
  <c r="CG15" i="21"/>
  <c r="F34" i="25"/>
  <c r="E23" i="14"/>
  <c r="E21" i="14" s="1"/>
  <c r="E36" i="25"/>
  <c r="CG12" i="21"/>
  <c r="CG13" i="21"/>
  <c r="M376" i="21"/>
  <c r="M313" i="21"/>
  <c r="M83" i="21"/>
  <c r="M278" i="21"/>
  <c r="M280" i="21"/>
  <c r="M80" i="21"/>
  <c r="M312" i="21"/>
  <c r="M247" i="21"/>
  <c r="M377" i="21"/>
  <c r="M115" i="21"/>
  <c r="M113" i="21"/>
  <c r="M245" i="21"/>
  <c r="M279" i="21"/>
  <c r="M214" i="21"/>
  <c r="M147" i="21"/>
  <c r="M343" i="21"/>
  <c r="M179" i="21"/>
  <c r="M180" i="21"/>
  <c r="M215" i="21"/>
  <c r="M48" i="21"/>
  <c r="M46" i="21"/>
  <c r="CG46" i="21"/>
  <c r="E17" i="14"/>
  <c r="E15" i="14" s="1"/>
  <c r="F26" i="25"/>
  <c r="E30" i="25"/>
  <c r="Q13" i="11"/>
  <c r="R13" i="11"/>
  <c r="E13" i="38" l="1"/>
  <c r="E12" i="38"/>
  <c r="F13" i="38"/>
  <c r="F12" i="38"/>
  <c r="CG361" i="21"/>
  <c r="CG328" i="21"/>
  <c r="BE113" i="21"/>
  <c r="BC113" i="21" s="1"/>
  <c r="E475" i="21" s="1"/>
  <c r="BD113" i="21"/>
  <c r="CG262" i="21"/>
  <c r="BE180" i="21"/>
  <c r="BC180" i="21" s="1"/>
  <c r="E508" i="21" s="1"/>
  <c r="BD180" i="21"/>
  <c r="BE146" i="21"/>
  <c r="BC146" i="21" s="1"/>
  <c r="E491" i="21" s="1"/>
  <c r="BD146" i="21"/>
  <c r="BD213" i="21"/>
  <c r="BE213" i="21"/>
  <c r="BC213" i="21" s="1"/>
  <c r="E524" i="21" s="1"/>
  <c r="BD311" i="21"/>
  <c r="BE311" i="21"/>
  <c r="BC311" i="21" s="1"/>
  <c r="E571" i="21" s="1"/>
  <c r="BD212" i="21"/>
  <c r="BE212" i="21"/>
  <c r="BC212" i="21" s="1"/>
  <c r="E523" i="21" s="1"/>
  <c r="BD344" i="21"/>
  <c r="BE344" i="21"/>
  <c r="BC344" i="21" s="1"/>
  <c r="E587" i="21" s="1"/>
  <c r="BD377" i="21"/>
  <c r="BE377" i="21"/>
  <c r="BC377" i="21" s="1"/>
  <c r="E603" i="21" s="1"/>
  <c r="BD345" i="21"/>
  <c r="BE345" i="21"/>
  <c r="BC345" i="21" s="1"/>
  <c r="E588" i="21" s="1"/>
  <c r="CG394" i="21"/>
  <c r="AN64" i="21"/>
  <c r="BE48" i="21"/>
  <c r="BC48" i="21" s="1"/>
  <c r="E444" i="21" s="1"/>
  <c r="BD48" i="21"/>
  <c r="BD114" i="21"/>
  <c r="BE114" i="21"/>
  <c r="BC114" i="21" s="1"/>
  <c r="E476" i="21" s="1"/>
  <c r="BE245" i="21"/>
  <c r="BC245" i="21" s="1"/>
  <c r="E539" i="21" s="1"/>
  <c r="BD245" i="21"/>
  <c r="CG196" i="21"/>
  <c r="BE278" i="21"/>
  <c r="BC278" i="21" s="1"/>
  <c r="E555" i="21" s="1"/>
  <c r="BD278" i="21"/>
  <c r="BE47" i="21"/>
  <c r="BC47" i="21" s="1"/>
  <c r="E443" i="21" s="1"/>
  <c r="BD47" i="21"/>
  <c r="BE81" i="21"/>
  <c r="BC81" i="21" s="1"/>
  <c r="E460" i="21" s="1"/>
  <c r="BD81" i="21"/>
  <c r="BE246" i="21"/>
  <c r="BC246" i="21" s="1"/>
  <c r="E540" i="21" s="1"/>
  <c r="BD246" i="21"/>
  <c r="BD312" i="21"/>
  <c r="BE312" i="21"/>
  <c r="BC312" i="21" s="1"/>
  <c r="E572" i="21" s="1"/>
  <c r="BD179" i="21"/>
  <c r="BE179" i="21"/>
  <c r="BC179" i="21" s="1"/>
  <c r="E507" i="21" s="1"/>
  <c r="BD279" i="21"/>
  <c r="BE279" i="21"/>
  <c r="BC279" i="21" s="1"/>
  <c r="E556" i="21" s="1"/>
  <c r="BD378" i="21"/>
  <c r="BE378" i="21"/>
  <c r="BC378" i="21" s="1"/>
  <c r="E604" i="21" s="1"/>
  <c r="BD147" i="21"/>
  <c r="BE147" i="21"/>
  <c r="BC147" i="21" s="1"/>
  <c r="E492" i="21" s="1"/>
  <c r="BE80" i="21"/>
  <c r="BC80" i="21" s="1"/>
  <c r="E459" i="21" s="1"/>
  <c r="BD80" i="21"/>
  <c r="CG295" i="21"/>
  <c r="CG229" i="21"/>
  <c r="M22" i="32"/>
  <c r="M20" i="32" s="1"/>
  <c r="L48" i="21"/>
  <c r="K48" i="21"/>
  <c r="L149" i="21"/>
  <c r="K149" i="21"/>
  <c r="L147" i="21"/>
  <c r="K147" i="21"/>
  <c r="L279" i="21"/>
  <c r="K279" i="21"/>
  <c r="K310" i="21"/>
  <c r="L310" i="21"/>
  <c r="K79" i="21"/>
  <c r="L79" i="21"/>
  <c r="K246" i="21"/>
  <c r="L246" i="21"/>
  <c r="K378" i="21"/>
  <c r="L378" i="21"/>
  <c r="K17" i="21"/>
  <c r="L17" i="21"/>
  <c r="L114" i="21"/>
  <c r="K114" i="21"/>
  <c r="AN394" i="21"/>
  <c r="M375" i="21"/>
  <c r="L212" i="21"/>
  <c r="K212" i="21"/>
  <c r="K277" i="21"/>
  <c r="L277" i="21"/>
  <c r="K377" i="21"/>
  <c r="L377" i="21"/>
  <c r="L280" i="21"/>
  <c r="K280" i="21"/>
  <c r="L83" i="21"/>
  <c r="K83" i="21"/>
  <c r="K281" i="21"/>
  <c r="L281" i="21"/>
  <c r="K15" i="21"/>
  <c r="L15" i="21"/>
  <c r="CG130" i="21"/>
  <c r="K145" i="21"/>
  <c r="L145" i="21"/>
  <c r="L311" i="21"/>
  <c r="K311" i="21"/>
  <c r="L379" i="21"/>
  <c r="K379" i="21"/>
  <c r="L245" i="21"/>
  <c r="K245" i="21"/>
  <c r="L247" i="21"/>
  <c r="K247" i="21"/>
  <c r="K345" i="21"/>
  <c r="L345" i="21"/>
  <c r="AN130" i="21"/>
  <c r="M111" i="21"/>
  <c r="L346" i="21"/>
  <c r="K346" i="21"/>
  <c r="AN31" i="21"/>
  <c r="G26" i="25"/>
  <c r="F17" i="14"/>
  <c r="F15" i="14" s="1"/>
  <c r="F30" i="25"/>
  <c r="K46" i="21"/>
  <c r="L46" i="21"/>
  <c r="AN262" i="21"/>
  <c r="M243" i="21"/>
  <c r="K81" i="21"/>
  <c r="L81" i="21"/>
  <c r="K344" i="21"/>
  <c r="L344" i="21"/>
  <c r="L112" i="21"/>
  <c r="K112" i="21"/>
  <c r="L211" i="21"/>
  <c r="K211" i="21"/>
  <c r="L248" i="21"/>
  <c r="K248" i="21"/>
  <c r="K148" i="21"/>
  <c r="L148" i="21"/>
  <c r="K182" i="21"/>
  <c r="L182" i="21"/>
  <c r="CG97" i="21"/>
  <c r="CG64" i="21"/>
  <c r="CG163" i="21"/>
  <c r="M45" i="21"/>
  <c r="K215" i="21"/>
  <c r="L215" i="21"/>
  <c r="L116" i="21"/>
  <c r="K116" i="21"/>
  <c r="K214" i="21"/>
  <c r="L214" i="21"/>
  <c r="L113" i="21"/>
  <c r="K113" i="21"/>
  <c r="L347" i="21"/>
  <c r="K347" i="21"/>
  <c r="L82" i="21"/>
  <c r="K82" i="21"/>
  <c r="AN196" i="21"/>
  <c r="M177" i="21"/>
  <c r="AN163" i="21"/>
  <c r="M144" i="21"/>
  <c r="CG31" i="21"/>
  <c r="L49" i="21"/>
  <c r="K49" i="21"/>
  <c r="L180" i="21"/>
  <c r="K180" i="21"/>
  <c r="K179" i="21"/>
  <c r="L179" i="21"/>
  <c r="AN295" i="21"/>
  <c r="M276" i="21"/>
  <c r="L115" i="21"/>
  <c r="K115" i="21"/>
  <c r="L312" i="21"/>
  <c r="K312" i="21"/>
  <c r="K181" i="21"/>
  <c r="L181" i="21"/>
  <c r="K313" i="21"/>
  <c r="L313" i="21"/>
  <c r="L13" i="21"/>
  <c r="K13" i="21"/>
  <c r="L47" i="21"/>
  <c r="K47" i="21"/>
  <c r="K178" i="21"/>
  <c r="L178" i="21"/>
  <c r="K146" i="21"/>
  <c r="L146" i="21"/>
  <c r="K244" i="21"/>
  <c r="L244" i="21"/>
  <c r="AN328" i="21"/>
  <c r="M309" i="21"/>
  <c r="AN229" i="21"/>
  <c r="M210" i="21"/>
  <c r="AN361" i="21"/>
  <c r="M342" i="21"/>
  <c r="L376" i="21"/>
  <c r="K376" i="21"/>
  <c r="K14" i="21"/>
  <c r="L14" i="21"/>
  <c r="L50" i="21"/>
  <c r="K50" i="21"/>
  <c r="L314" i="21"/>
  <c r="K314" i="21"/>
  <c r="L343" i="21"/>
  <c r="K343" i="21"/>
  <c r="AN97" i="21"/>
  <c r="M78" i="21"/>
  <c r="K213" i="21"/>
  <c r="L213" i="21"/>
  <c r="L80" i="21"/>
  <c r="K80" i="21"/>
  <c r="K278" i="21"/>
  <c r="L278" i="21"/>
  <c r="K380" i="21"/>
  <c r="L380" i="21"/>
  <c r="L16" i="21"/>
  <c r="K16" i="21"/>
  <c r="F36" i="25"/>
  <c r="F23" i="14"/>
  <c r="F21" i="14" s="1"/>
  <c r="G34" i="25"/>
  <c r="D22" i="10"/>
  <c r="E22" i="10"/>
  <c r="F22" i="10"/>
  <c r="D23" i="10"/>
  <c r="E23" i="10"/>
  <c r="F23" i="10"/>
  <c r="G13" i="38" l="1"/>
  <c r="G12" i="38"/>
  <c r="O83" i="29"/>
  <c r="W83" i="29" s="1"/>
  <c r="G18" i="37"/>
  <c r="O82" i="29"/>
  <c r="W82" i="29" s="1"/>
  <c r="G17" i="37"/>
  <c r="O195" i="29"/>
  <c r="W195" i="29" s="1"/>
  <c r="N18" i="37"/>
  <c r="O130" i="29"/>
  <c r="W130" i="29" s="1"/>
  <c r="J17" i="37"/>
  <c r="O99" i="29"/>
  <c r="W99" i="29" s="1"/>
  <c r="H18" i="37"/>
  <c r="O50" i="29"/>
  <c r="W50" i="29" s="1"/>
  <c r="E17" i="37"/>
  <c r="O131" i="29"/>
  <c r="W131" i="29" s="1"/>
  <c r="J18" i="37"/>
  <c r="O67" i="29"/>
  <c r="W67" i="29" s="1"/>
  <c r="F18" i="37"/>
  <c r="O179" i="29"/>
  <c r="W179" i="29" s="1"/>
  <c r="M18" i="37"/>
  <c r="O178" i="29"/>
  <c r="W178" i="29" s="1"/>
  <c r="M17" i="37"/>
  <c r="O147" i="29"/>
  <c r="W147" i="29" s="1"/>
  <c r="K18" i="37"/>
  <c r="O51" i="29"/>
  <c r="W51" i="29" s="1"/>
  <c r="E18" i="37"/>
  <c r="O146" i="29"/>
  <c r="W146" i="29" s="1"/>
  <c r="K17" i="37"/>
  <c r="O114" i="29"/>
  <c r="W114" i="29" s="1"/>
  <c r="I17" i="37"/>
  <c r="O115" i="29"/>
  <c r="W115" i="29" s="1"/>
  <c r="I18" i="37"/>
  <c r="O98" i="29"/>
  <c r="W98" i="29" s="1"/>
  <c r="H17" i="37"/>
  <c r="O35" i="29"/>
  <c r="W35" i="29" s="1"/>
  <c r="D18" i="37"/>
  <c r="O34" i="29"/>
  <c r="W34" i="29" s="1"/>
  <c r="D17" i="37"/>
  <c r="O194" i="29"/>
  <c r="W194" i="29" s="1"/>
  <c r="N17" i="37"/>
  <c r="O66" i="29"/>
  <c r="W66" i="29" s="1"/>
  <c r="F17" i="37"/>
  <c r="O163" i="29"/>
  <c r="W163" i="29" s="1"/>
  <c r="L18" i="37"/>
  <c r="O162" i="29"/>
  <c r="W162" i="29" s="1"/>
  <c r="L17" i="37"/>
  <c r="F491" i="21"/>
  <c r="F604" i="21"/>
  <c r="F539" i="21"/>
  <c r="F459" i="21"/>
  <c r="F540" i="21"/>
  <c r="F476" i="21"/>
  <c r="F508" i="21"/>
  <c r="F556" i="21"/>
  <c r="F588" i="21"/>
  <c r="F587" i="21"/>
  <c r="F460" i="21"/>
  <c r="F555" i="21"/>
  <c r="F507" i="21"/>
  <c r="F444" i="21"/>
  <c r="F523" i="21"/>
  <c r="F571" i="21"/>
  <c r="F524" i="21"/>
  <c r="F443" i="21"/>
  <c r="F492" i="21"/>
  <c r="F572" i="21"/>
  <c r="F603" i="21"/>
  <c r="F475" i="21"/>
  <c r="J213" i="21"/>
  <c r="E516" i="21" s="1"/>
  <c r="J14" i="21"/>
  <c r="E419" i="21" s="1"/>
  <c r="K309" i="21"/>
  <c r="L309" i="21"/>
  <c r="M328" i="21"/>
  <c r="J113" i="21"/>
  <c r="E467" i="21" s="1"/>
  <c r="J211" i="21"/>
  <c r="E514" i="21" s="1"/>
  <c r="J15" i="21"/>
  <c r="E420" i="21" s="1"/>
  <c r="J377" i="21"/>
  <c r="E595" i="21" s="1"/>
  <c r="N9" i="37" s="1"/>
  <c r="J246" i="21"/>
  <c r="E532" i="21" s="1"/>
  <c r="J10" i="37" s="1"/>
  <c r="J314" i="21"/>
  <c r="E566" i="21" s="1"/>
  <c r="L12" i="37" s="1"/>
  <c r="J16" i="21"/>
  <c r="E421" i="21" s="1"/>
  <c r="J50" i="21"/>
  <c r="E438" i="21" s="1"/>
  <c r="J47" i="21"/>
  <c r="E435" i="21" s="1"/>
  <c r="J312" i="21"/>
  <c r="E564" i="21" s="1"/>
  <c r="L10" i="37" s="1"/>
  <c r="J180" i="21"/>
  <c r="E500" i="21" s="1"/>
  <c r="H10" i="37" s="1"/>
  <c r="K177" i="21"/>
  <c r="L177" i="21"/>
  <c r="M196" i="21"/>
  <c r="J214" i="21"/>
  <c r="E517" i="21" s="1"/>
  <c r="J182" i="21"/>
  <c r="E502" i="21" s="1"/>
  <c r="J46" i="21"/>
  <c r="E434" i="21" s="1"/>
  <c r="J346" i="21"/>
  <c r="E581" i="21" s="1"/>
  <c r="M11" i="37" s="1"/>
  <c r="J245" i="21"/>
  <c r="E531" i="21" s="1"/>
  <c r="J9" i="37" s="1"/>
  <c r="J114" i="21"/>
  <c r="E468" i="21" s="1"/>
  <c r="J147" i="21"/>
  <c r="E484" i="21" s="1"/>
  <c r="G10" i="37" s="1"/>
  <c r="J80" i="21"/>
  <c r="E451" i="21" s="1"/>
  <c r="E9" i="37" s="1"/>
  <c r="J380" i="21"/>
  <c r="E598" i="21" s="1"/>
  <c r="N12" i="37" s="1"/>
  <c r="L78" i="21"/>
  <c r="K78" i="21"/>
  <c r="M97" i="21"/>
  <c r="J244" i="21"/>
  <c r="E530" i="21" s="1"/>
  <c r="J112" i="21"/>
  <c r="E466" i="21" s="1"/>
  <c r="L111" i="21"/>
  <c r="K111" i="21"/>
  <c r="M130" i="21"/>
  <c r="J281" i="21"/>
  <c r="E550" i="21" s="1"/>
  <c r="J277" i="21"/>
  <c r="E546" i="21" s="1"/>
  <c r="J79" i="21"/>
  <c r="E450" i="21" s="1"/>
  <c r="J376" i="21"/>
  <c r="E594" i="21" s="1"/>
  <c r="N8" i="37" s="1"/>
  <c r="J13" i="21"/>
  <c r="E418" i="21" s="1"/>
  <c r="J115" i="21"/>
  <c r="E469" i="21" s="1"/>
  <c r="J49" i="21"/>
  <c r="E437" i="21" s="1"/>
  <c r="J148" i="21"/>
  <c r="E485" i="21" s="1"/>
  <c r="J344" i="21"/>
  <c r="E579" i="21" s="1"/>
  <c r="M9" i="37" s="1"/>
  <c r="J379" i="21"/>
  <c r="E597" i="21" s="1"/>
  <c r="N11" i="37" s="1"/>
  <c r="J149" i="21"/>
  <c r="E486" i="21" s="1"/>
  <c r="J278" i="21"/>
  <c r="E547" i="21" s="1"/>
  <c r="K9" i="37" s="1"/>
  <c r="M361" i="21"/>
  <c r="L342" i="21"/>
  <c r="K342" i="21"/>
  <c r="J146" i="21"/>
  <c r="E483" i="21" s="1"/>
  <c r="G9" i="37" s="1"/>
  <c r="J313" i="21"/>
  <c r="E565" i="21" s="1"/>
  <c r="L11" i="37" s="1"/>
  <c r="L276" i="21"/>
  <c r="K276" i="21"/>
  <c r="M295" i="21"/>
  <c r="J82" i="21"/>
  <c r="E453" i="21" s="1"/>
  <c r="J116" i="21"/>
  <c r="E470" i="21" s="1"/>
  <c r="J345" i="21"/>
  <c r="E580" i="21" s="1"/>
  <c r="M10" i="37" s="1"/>
  <c r="J17" i="21"/>
  <c r="E422" i="21" s="1"/>
  <c r="J310" i="21"/>
  <c r="E562" i="21" s="1"/>
  <c r="L8" i="37" s="1"/>
  <c r="J215" i="21"/>
  <c r="E518" i="21" s="1"/>
  <c r="J81" i="21"/>
  <c r="E452" i="21" s="1"/>
  <c r="E10" i="37" s="1"/>
  <c r="H26" i="25"/>
  <c r="G17" i="14"/>
  <c r="G15" i="14" s="1"/>
  <c r="G30" i="25"/>
  <c r="J311" i="21"/>
  <c r="E563" i="21" s="1"/>
  <c r="L9" i="37" s="1"/>
  <c r="J83" i="21"/>
  <c r="E454" i="21" s="1"/>
  <c r="J212" i="21"/>
  <c r="E515" i="21" s="1"/>
  <c r="J48" i="21"/>
  <c r="E436" i="21" s="1"/>
  <c r="D10" i="37" s="1"/>
  <c r="H34" i="25"/>
  <c r="G23" i="14"/>
  <c r="G21" i="14" s="1"/>
  <c r="G36" i="25"/>
  <c r="J343" i="21"/>
  <c r="E578" i="21" s="1"/>
  <c r="M8" i="37" s="1"/>
  <c r="K210" i="21"/>
  <c r="L210" i="21"/>
  <c r="M229" i="21"/>
  <c r="J178" i="21"/>
  <c r="E498" i="21" s="1"/>
  <c r="J181" i="21"/>
  <c r="E501" i="21" s="1"/>
  <c r="J179" i="21"/>
  <c r="E499" i="21" s="1"/>
  <c r="H9" i="37" s="1"/>
  <c r="J347" i="21"/>
  <c r="E582" i="21" s="1"/>
  <c r="M12" i="37" s="1"/>
  <c r="J248" i="21"/>
  <c r="E534" i="21" s="1"/>
  <c r="K12" i="21"/>
  <c r="M31" i="21"/>
  <c r="J145" i="21"/>
  <c r="E482" i="21" s="1"/>
  <c r="L375" i="21"/>
  <c r="K375" i="21"/>
  <c r="M394" i="21"/>
  <c r="J378" i="21"/>
  <c r="E596" i="21" s="1"/>
  <c r="N10" i="37" s="1"/>
  <c r="L144" i="21"/>
  <c r="K144" i="21"/>
  <c r="M163" i="21"/>
  <c r="K45" i="21"/>
  <c r="L45" i="21"/>
  <c r="M64" i="21"/>
  <c r="M262" i="21"/>
  <c r="K243" i="21"/>
  <c r="L243" i="21"/>
  <c r="J247" i="21"/>
  <c r="E533" i="21" s="1"/>
  <c r="J280" i="21"/>
  <c r="E549" i="21" s="1"/>
  <c r="J279" i="21"/>
  <c r="E548" i="21" s="1"/>
  <c r="K10" i="37" s="1"/>
  <c r="H12" i="38" l="1"/>
  <c r="H13" i="38"/>
  <c r="P179" i="29"/>
  <c r="P51" i="29"/>
  <c r="P195" i="29"/>
  <c r="P67" i="29"/>
  <c r="P194" i="29"/>
  <c r="P163" i="29"/>
  <c r="P115" i="29"/>
  <c r="P146" i="29"/>
  <c r="P98" i="29"/>
  <c r="P147" i="29"/>
  <c r="P50" i="29"/>
  <c r="P178" i="29"/>
  <c r="P66" i="29"/>
  <c r="P162" i="29"/>
  <c r="O25" i="29"/>
  <c r="W25" i="29" s="1"/>
  <c r="D8" i="37"/>
  <c r="O109" i="29"/>
  <c r="W109" i="29" s="1"/>
  <c r="I12" i="37"/>
  <c r="O41" i="29"/>
  <c r="W41" i="29" s="1"/>
  <c r="E8" i="37"/>
  <c r="O93" i="29"/>
  <c r="W93" i="29" s="1"/>
  <c r="H12" i="37"/>
  <c r="O11" i="29"/>
  <c r="W11" i="29" s="1"/>
  <c r="C10" i="37"/>
  <c r="O137" i="29"/>
  <c r="W137" i="29" s="1"/>
  <c r="K8" i="37"/>
  <c r="O105" i="29"/>
  <c r="W105" i="29" s="1"/>
  <c r="I8" i="37"/>
  <c r="O89" i="29"/>
  <c r="W89" i="29" s="1"/>
  <c r="H8" i="37"/>
  <c r="O13" i="29"/>
  <c r="W13" i="29" s="1"/>
  <c r="C12" i="37"/>
  <c r="O76" i="29"/>
  <c r="W76" i="29" s="1"/>
  <c r="G11" i="37"/>
  <c r="O141" i="29"/>
  <c r="W141" i="29" s="1"/>
  <c r="K12" i="37"/>
  <c r="O26" i="29"/>
  <c r="W26" i="29" s="1"/>
  <c r="D9" i="37"/>
  <c r="O106" i="29"/>
  <c r="W106" i="29" s="1"/>
  <c r="I9" i="37"/>
  <c r="O121" i="29"/>
  <c r="W121" i="29" s="1"/>
  <c r="J8" i="37"/>
  <c r="O59" i="29"/>
  <c r="W59" i="29" s="1"/>
  <c r="F10" i="37"/>
  <c r="O29" i="29"/>
  <c r="W29" i="29" s="1"/>
  <c r="D12" i="37"/>
  <c r="O58" i="29"/>
  <c r="W58" i="29" s="1"/>
  <c r="F9" i="37"/>
  <c r="O10" i="29"/>
  <c r="W10" i="29" s="1"/>
  <c r="C9" i="37"/>
  <c r="P114" i="29"/>
  <c r="P99" i="29"/>
  <c r="O140" i="29"/>
  <c r="W140" i="29" s="1"/>
  <c r="K11" i="37"/>
  <c r="O45" i="29"/>
  <c r="W45" i="29" s="1"/>
  <c r="E12" i="37"/>
  <c r="O61" i="29"/>
  <c r="W61" i="29" s="1"/>
  <c r="F12" i="37"/>
  <c r="O28" i="29"/>
  <c r="W28" i="29" s="1"/>
  <c r="D11" i="37"/>
  <c r="O108" i="29"/>
  <c r="W108" i="29" s="1"/>
  <c r="I11" i="37"/>
  <c r="O12" i="29"/>
  <c r="W12" i="29" s="1"/>
  <c r="C11" i="37"/>
  <c r="O107" i="29"/>
  <c r="W107" i="29" s="1"/>
  <c r="I10" i="37"/>
  <c r="O125" i="29"/>
  <c r="W125" i="29" s="1"/>
  <c r="J12" i="37"/>
  <c r="O124" i="29"/>
  <c r="W124" i="29" s="1"/>
  <c r="J11" i="37"/>
  <c r="O73" i="29"/>
  <c r="W73" i="29" s="1"/>
  <c r="G8" i="37"/>
  <c r="O44" i="29"/>
  <c r="W44" i="29" s="1"/>
  <c r="E11" i="37"/>
  <c r="O77" i="29"/>
  <c r="W77" i="29" s="1"/>
  <c r="G12" i="37"/>
  <c r="O60" i="29"/>
  <c r="W60" i="29" s="1"/>
  <c r="F11" i="37"/>
  <c r="O92" i="29"/>
  <c r="W92" i="29" s="1"/>
  <c r="H11" i="37"/>
  <c r="O9" i="29"/>
  <c r="W9" i="29" s="1"/>
  <c r="C8" i="37"/>
  <c r="O57" i="29"/>
  <c r="W57" i="29" s="1"/>
  <c r="F8" i="37"/>
  <c r="O27" i="29"/>
  <c r="O189" i="29"/>
  <c r="O91" i="29"/>
  <c r="O171" i="29"/>
  <c r="O42" i="29"/>
  <c r="O155" i="29"/>
  <c r="O43" i="29"/>
  <c r="O138" i="29"/>
  <c r="O75" i="29"/>
  <c r="O90" i="29"/>
  <c r="O156" i="29"/>
  <c r="O169" i="29"/>
  <c r="O187" i="29"/>
  <c r="O74" i="29"/>
  <c r="O185" i="29"/>
  <c r="O122" i="29"/>
  <c r="O157" i="29"/>
  <c r="O154" i="29"/>
  <c r="O188" i="29"/>
  <c r="O172" i="29"/>
  <c r="O123" i="29"/>
  <c r="O139" i="29"/>
  <c r="O173" i="29"/>
  <c r="O153" i="29"/>
  <c r="O170" i="29"/>
  <c r="O186" i="29"/>
  <c r="W186" i="29" s="1"/>
  <c r="F482" i="21"/>
  <c r="F582" i="21"/>
  <c r="F578" i="21"/>
  <c r="F518" i="21"/>
  <c r="F470" i="21"/>
  <c r="F483" i="21"/>
  <c r="F547" i="21"/>
  <c r="F437" i="21"/>
  <c r="F450" i="21"/>
  <c r="L130" i="21"/>
  <c r="J111" i="21"/>
  <c r="E465" i="21" s="1"/>
  <c r="J177" i="21"/>
  <c r="E497" i="21" s="1"/>
  <c r="L196" i="21"/>
  <c r="J309" i="21"/>
  <c r="E561" i="21" s="1"/>
  <c r="L7" i="37" s="1"/>
  <c r="L328" i="21"/>
  <c r="P143" i="29"/>
  <c r="F596" i="21"/>
  <c r="P130" i="29"/>
  <c r="F579" i="21"/>
  <c r="F466" i="21"/>
  <c r="F530" i="21"/>
  <c r="F598" i="21"/>
  <c r="F502" i="21"/>
  <c r="F438" i="21"/>
  <c r="P142" i="29"/>
  <c r="F595" i="21"/>
  <c r="P46" i="29"/>
  <c r="F467" i="21"/>
  <c r="F454" i="21"/>
  <c r="I26" i="25"/>
  <c r="H17" i="14"/>
  <c r="H15" i="14" s="1"/>
  <c r="H30" i="25"/>
  <c r="F453" i="21"/>
  <c r="F486" i="21"/>
  <c r="F469" i="21"/>
  <c r="F546" i="21"/>
  <c r="P34" i="29"/>
  <c r="F451" i="21"/>
  <c r="P94" i="29"/>
  <c r="F531" i="21"/>
  <c r="F500" i="21"/>
  <c r="F421" i="21"/>
  <c r="F420" i="21"/>
  <c r="F498" i="21"/>
  <c r="P35" i="29"/>
  <c r="F452" i="21"/>
  <c r="F562" i="21"/>
  <c r="J276" i="21"/>
  <c r="E545" i="21" s="1"/>
  <c r="L295" i="21"/>
  <c r="L361" i="21"/>
  <c r="J342" i="21"/>
  <c r="E577" i="21" s="1"/>
  <c r="M7" i="37" s="1"/>
  <c r="F419" i="21"/>
  <c r="F533" i="21"/>
  <c r="J375" i="21"/>
  <c r="E593" i="21" s="1"/>
  <c r="N7" i="37" s="1"/>
  <c r="L394" i="21"/>
  <c r="F499" i="21"/>
  <c r="H36" i="25"/>
  <c r="I34" i="25"/>
  <c r="H23" i="14"/>
  <c r="H21" i="14" s="1"/>
  <c r="F485" i="21"/>
  <c r="F418" i="21"/>
  <c r="F566" i="21"/>
  <c r="J45" i="21"/>
  <c r="E433" i="21" s="1"/>
  <c r="L64" i="21"/>
  <c r="J243" i="21"/>
  <c r="E529" i="21" s="1"/>
  <c r="J7" i="37" s="1"/>
  <c r="L262" i="21"/>
  <c r="F422" i="21"/>
  <c r="F565" i="21"/>
  <c r="F550" i="21"/>
  <c r="F484" i="21"/>
  <c r="F581" i="21"/>
  <c r="F564" i="21"/>
  <c r="F514" i="21"/>
  <c r="P83" i="29"/>
  <c r="F516" i="21"/>
  <c r="F549" i="21"/>
  <c r="L163" i="21"/>
  <c r="J144" i="21"/>
  <c r="E481" i="21" s="1"/>
  <c r="G7" i="37" s="1"/>
  <c r="F534" i="21"/>
  <c r="J210" i="21"/>
  <c r="E513" i="21" s="1"/>
  <c r="L229" i="21"/>
  <c r="F436" i="21"/>
  <c r="P131" i="29"/>
  <c r="F580" i="21"/>
  <c r="F594" i="21"/>
  <c r="F434" i="21"/>
  <c r="F517" i="21"/>
  <c r="F435" i="21"/>
  <c r="P95" i="29"/>
  <c r="F532" i="21"/>
  <c r="F548" i="21"/>
  <c r="F501" i="21"/>
  <c r="P82" i="29"/>
  <c r="F515" i="21"/>
  <c r="F563" i="21"/>
  <c r="F597" i="21"/>
  <c r="J78" i="21"/>
  <c r="E449" i="21" s="1"/>
  <c r="L97" i="21"/>
  <c r="P47" i="29"/>
  <c r="F468" i="21"/>
  <c r="I13" i="38" l="1"/>
  <c r="I12" i="38"/>
  <c r="P108" i="29"/>
  <c r="P41" i="29"/>
  <c r="P61" i="29"/>
  <c r="P89" i="29"/>
  <c r="P93" i="29"/>
  <c r="P121" i="29"/>
  <c r="P60" i="29"/>
  <c r="P186" i="29"/>
  <c r="P57" i="29"/>
  <c r="P125" i="29"/>
  <c r="P77" i="29"/>
  <c r="P45" i="29"/>
  <c r="P106" i="29"/>
  <c r="P105" i="29"/>
  <c r="P141" i="29"/>
  <c r="P58" i="29"/>
  <c r="P73" i="29"/>
  <c r="P107" i="29"/>
  <c r="P109" i="29"/>
  <c r="P137" i="29"/>
  <c r="P29" i="29"/>
  <c r="O40" i="29"/>
  <c r="W40" i="29" s="1"/>
  <c r="E7" i="37"/>
  <c r="P123" i="29"/>
  <c r="W123" i="29"/>
  <c r="P138" i="29"/>
  <c r="W138" i="29"/>
  <c r="P172" i="29"/>
  <c r="W172" i="29"/>
  <c r="P74" i="29"/>
  <c r="W74" i="29"/>
  <c r="P43" i="29"/>
  <c r="W43" i="29"/>
  <c r="O24" i="29"/>
  <c r="W24" i="29" s="1"/>
  <c r="D7" i="37"/>
  <c r="P188" i="29"/>
  <c r="W188" i="29"/>
  <c r="P187" i="29"/>
  <c r="W187" i="29"/>
  <c r="P169" i="29"/>
  <c r="W169" i="29"/>
  <c r="P42" i="29"/>
  <c r="W42" i="29"/>
  <c r="O88" i="29"/>
  <c r="W88" i="29" s="1"/>
  <c r="H7" i="37"/>
  <c r="P170" i="29"/>
  <c r="W170" i="29"/>
  <c r="P171" i="29"/>
  <c r="W171" i="29"/>
  <c r="O56" i="29"/>
  <c r="W56" i="29" s="1"/>
  <c r="F7" i="37"/>
  <c r="P90" i="29"/>
  <c r="W90" i="29"/>
  <c r="P91" i="29"/>
  <c r="W91" i="29"/>
  <c r="O136" i="29"/>
  <c r="W136" i="29" s="1"/>
  <c r="K7" i="37"/>
  <c r="P173" i="29"/>
  <c r="W173" i="29"/>
  <c r="P122" i="29"/>
  <c r="W122" i="29"/>
  <c r="P189" i="29"/>
  <c r="W189" i="29"/>
  <c r="O104" i="29"/>
  <c r="W104" i="29" s="1"/>
  <c r="I7" i="37"/>
  <c r="P139" i="29"/>
  <c r="W139" i="29"/>
  <c r="P185" i="29"/>
  <c r="W185" i="29"/>
  <c r="P75" i="29"/>
  <c r="W75" i="29"/>
  <c r="P27" i="29"/>
  <c r="W27" i="29"/>
  <c r="P155" i="29"/>
  <c r="W155" i="29"/>
  <c r="P154" i="29"/>
  <c r="E10" i="29"/>
  <c r="W154" i="29"/>
  <c r="P156" i="29"/>
  <c r="W156" i="29"/>
  <c r="P153" i="29"/>
  <c r="W153" i="29"/>
  <c r="P157" i="29"/>
  <c r="W157" i="29"/>
  <c r="O72" i="29"/>
  <c r="O184" i="29"/>
  <c r="O120" i="29"/>
  <c r="O152" i="29"/>
  <c r="O168" i="29"/>
  <c r="F497" i="21"/>
  <c r="P28" i="29"/>
  <c r="F433" i="21"/>
  <c r="F545" i="21"/>
  <c r="P76" i="29"/>
  <c r="P92" i="29"/>
  <c r="F529" i="21"/>
  <c r="P10" i="29"/>
  <c r="J26" i="25"/>
  <c r="I17" i="14"/>
  <c r="I15" i="14" s="1"/>
  <c r="I30" i="25"/>
  <c r="F449" i="21"/>
  <c r="J34" i="25"/>
  <c r="I23" i="14"/>
  <c r="I21" i="14" s="1"/>
  <c r="I36" i="25"/>
  <c r="P44" i="29"/>
  <c r="F465" i="21"/>
  <c r="P140" i="29"/>
  <c r="F593" i="21"/>
  <c r="P124" i="29"/>
  <c r="P9" i="29"/>
  <c r="E9" i="29"/>
  <c r="F577" i="21"/>
  <c r="P11" i="29"/>
  <c r="E11" i="29"/>
  <c r="F481" i="21"/>
  <c r="F561" i="21"/>
  <c r="F513" i="21"/>
  <c r="P13" i="29"/>
  <c r="E13" i="29"/>
  <c r="P12" i="29"/>
  <c r="E12" i="29"/>
  <c r="J12" i="38" l="1"/>
  <c r="J13" i="38"/>
  <c r="P104" i="29"/>
  <c r="P56" i="29"/>
  <c r="P136" i="29"/>
  <c r="P88" i="29"/>
  <c r="P120" i="29"/>
  <c r="W120" i="29"/>
  <c r="P184" i="29"/>
  <c r="W184" i="29"/>
  <c r="P72" i="29"/>
  <c r="W72" i="29"/>
  <c r="P168" i="29"/>
  <c r="W168" i="29"/>
  <c r="P152" i="29"/>
  <c r="W152" i="29"/>
  <c r="X173" i="29"/>
  <c r="X157" i="29"/>
  <c r="X189" i="29"/>
  <c r="X155" i="29"/>
  <c r="X171" i="29"/>
  <c r="X187" i="29"/>
  <c r="X186" i="29"/>
  <c r="X170" i="29"/>
  <c r="X154" i="29"/>
  <c r="X172" i="29"/>
  <c r="X188" i="29"/>
  <c r="X156" i="29"/>
  <c r="X185" i="29"/>
  <c r="X169" i="29"/>
  <c r="X153" i="29"/>
  <c r="X123" i="29"/>
  <c r="X27" i="29"/>
  <c r="X75" i="29"/>
  <c r="X74" i="29"/>
  <c r="X122" i="29"/>
  <c r="I10" i="29"/>
  <c r="X142" i="29"/>
  <c r="X46" i="29"/>
  <c r="X10" i="29"/>
  <c r="X94" i="29"/>
  <c r="X58" i="29"/>
  <c r="X106" i="29"/>
  <c r="K34" i="25"/>
  <c r="J23" i="14"/>
  <c r="J21" i="14" s="1"/>
  <c r="J36" i="25"/>
  <c r="X95" i="29"/>
  <c r="X143" i="29"/>
  <c r="X11" i="29"/>
  <c r="X47" i="29"/>
  <c r="I11" i="29"/>
  <c r="X59" i="29"/>
  <c r="X107" i="29"/>
  <c r="X108" i="29"/>
  <c r="X60" i="29"/>
  <c r="X12" i="29"/>
  <c r="I12" i="29"/>
  <c r="X121" i="29"/>
  <c r="I13" i="29"/>
  <c r="X109" i="29"/>
  <c r="X13" i="29"/>
  <c r="X25" i="29"/>
  <c r="X61" i="29"/>
  <c r="X73" i="29"/>
  <c r="X93" i="29"/>
  <c r="X105" i="29"/>
  <c r="X141" i="29"/>
  <c r="X57" i="29"/>
  <c r="X45" i="29"/>
  <c r="K26" i="25"/>
  <c r="J17" i="14"/>
  <c r="J15" i="14" s="1"/>
  <c r="J30" i="25"/>
  <c r="K13" i="38" l="1"/>
  <c r="K12" i="38"/>
  <c r="L26" i="25"/>
  <c r="K17" i="14"/>
  <c r="K15" i="14" s="1"/>
  <c r="K30" i="25"/>
  <c r="K36" i="25"/>
  <c r="L34" i="25"/>
  <c r="K23" i="14"/>
  <c r="K21" i="14" s="1"/>
  <c r="L12" i="38" l="1"/>
  <c r="L13" i="38"/>
  <c r="L17" i="14"/>
  <c r="L15" i="14" s="1"/>
  <c r="L30" i="25"/>
  <c r="L23" i="14"/>
  <c r="L21" i="14" s="1"/>
  <c r="L36" i="25"/>
  <c r="M13" i="38" l="1"/>
  <c r="M12" i="38"/>
  <c r="D425" i="21"/>
  <c r="C35" i="37" s="1"/>
  <c r="N16" i="29" l="1"/>
  <c r="U16" i="29" s="1"/>
  <c r="D609" i="21"/>
  <c r="F16" i="29"/>
  <c r="BF15" i="21" l="1"/>
  <c r="BD15" i="21" s="1"/>
  <c r="BF14" i="21"/>
  <c r="BD14" i="21" s="1"/>
  <c r="BJ31" i="21"/>
  <c r="C50" i="37" s="1"/>
  <c r="C62" i="37" s="1"/>
  <c r="D9" i="38" s="1"/>
  <c r="BH31" i="21"/>
  <c r="E9" i="38" l="1"/>
  <c r="F25" i="24"/>
  <c r="G21" i="29"/>
  <c r="H21" i="29" s="1"/>
  <c r="BE15" i="21"/>
  <c r="BC15" i="21" s="1"/>
  <c r="BE14" i="21"/>
  <c r="BC14" i="21" s="1"/>
  <c r="E427" i="21" s="1"/>
  <c r="G16" i="29"/>
  <c r="H16" i="29" s="1"/>
  <c r="F9" i="38" l="1"/>
  <c r="C16" i="30"/>
  <c r="C17" i="24"/>
  <c r="C21" i="30"/>
  <c r="C22" i="24"/>
  <c r="O18" i="29"/>
  <c r="W18" i="29" s="1"/>
  <c r="C17" i="37"/>
  <c r="F46" i="30"/>
  <c r="C12" i="25" s="1"/>
  <c r="D12" i="25" s="1"/>
  <c r="E428" i="21"/>
  <c r="G30" i="24"/>
  <c r="G37" i="24" s="1"/>
  <c r="G15" i="24"/>
  <c r="G29" i="30"/>
  <c r="G36" i="30" s="1"/>
  <c r="G14" i="30"/>
  <c r="F427" i="21"/>
  <c r="E18" i="29"/>
  <c r="G9" i="38" l="1"/>
  <c r="P18" i="29"/>
  <c r="O19" i="29"/>
  <c r="W19" i="29" s="1"/>
  <c r="C18" i="37"/>
  <c r="F428" i="21"/>
  <c r="X194" i="29"/>
  <c r="X162" i="29"/>
  <c r="X178" i="29"/>
  <c r="X50" i="29"/>
  <c r="X98" i="29"/>
  <c r="X146" i="29"/>
  <c r="X82" i="29"/>
  <c r="X130" i="29"/>
  <c r="X34" i="29"/>
  <c r="E6" i="15"/>
  <c r="J13" i="15" s="1"/>
  <c r="J24" i="15" s="1"/>
  <c r="I18" i="29"/>
  <c r="X138" i="29"/>
  <c r="X18" i="29"/>
  <c r="X42" i="29"/>
  <c r="X66" i="29"/>
  <c r="X90" i="29"/>
  <c r="X114" i="29"/>
  <c r="X126" i="29"/>
  <c r="X30" i="29"/>
  <c r="X78" i="29"/>
  <c r="C16" i="25"/>
  <c r="P24" i="29"/>
  <c r="R46" i="30"/>
  <c r="H9" i="38" l="1"/>
  <c r="P19" i="29"/>
  <c r="E19" i="29"/>
  <c r="E7" i="15"/>
  <c r="E21" i="15" s="1"/>
  <c r="F9" i="15"/>
  <c r="F20" i="15" s="1"/>
  <c r="E8" i="15"/>
  <c r="I12" i="15"/>
  <c r="I23" i="15" s="1"/>
  <c r="H11" i="15"/>
  <c r="K14" i="15"/>
  <c r="K25" i="15" s="1"/>
  <c r="G10" i="15"/>
  <c r="G21" i="15" s="1"/>
  <c r="C10" i="14"/>
  <c r="D16" i="25"/>
  <c r="D10" i="14" s="1"/>
  <c r="X125" i="29"/>
  <c r="X41" i="29"/>
  <c r="X89" i="29"/>
  <c r="X137" i="29"/>
  <c r="X29" i="29"/>
  <c r="X77" i="29"/>
  <c r="P25" i="29"/>
  <c r="P26" i="29"/>
  <c r="C7" i="14"/>
  <c r="I9" i="38" l="1"/>
  <c r="X163" i="29"/>
  <c r="X179" i="29"/>
  <c r="X195" i="29"/>
  <c r="E16" i="25"/>
  <c r="F16" i="25" s="1"/>
  <c r="X99" i="29"/>
  <c r="X147" i="29"/>
  <c r="X51" i="29"/>
  <c r="X83" i="29"/>
  <c r="X35" i="29"/>
  <c r="X131" i="29"/>
  <c r="X31" i="29"/>
  <c r="X91" i="29"/>
  <c r="X115" i="29"/>
  <c r="X79" i="29"/>
  <c r="X139" i="29"/>
  <c r="X127" i="29"/>
  <c r="X19" i="29"/>
  <c r="X43" i="29"/>
  <c r="I19" i="29"/>
  <c r="X67" i="29"/>
  <c r="E23" i="15"/>
  <c r="E24" i="15"/>
  <c r="E19" i="15"/>
  <c r="E25" i="15"/>
  <c r="E22" i="15"/>
  <c r="X26" i="29"/>
  <c r="E12" i="25"/>
  <c r="D7" i="14"/>
  <c r="J9" i="38" l="1"/>
  <c r="E10" i="14"/>
  <c r="E7" i="14"/>
  <c r="F12" i="25"/>
  <c r="F10" i="14"/>
  <c r="G16" i="25"/>
  <c r="K9" i="38" l="1"/>
  <c r="F7" i="14"/>
  <c r="G12" i="25"/>
  <c r="G10" i="14"/>
  <c r="H16" i="25"/>
  <c r="L9" i="38" l="1"/>
  <c r="G7" i="14"/>
  <c r="H12" i="25"/>
  <c r="H10" i="14"/>
  <c r="I16" i="25"/>
  <c r="M9" i="38" l="1"/>
  <c r="I10" i="14"/>
  <c r="J16" i="25"/>
  <c r="H7" i="14"/>
  <c r="I12" i="25"/>
  <c r="K16" i="25" l="1"/>
  <c r="J10" i="14"/>
  <c r="J12" i="25"/>
  <c r="I7" i="14"/>
  <c r="K12" i="25" l="1"/>
  <c r="J7" i="14"/>
  <c r="K10" i="14"/>
  <c r="L16" i="25"/>
  <c r="K7" i="14" l="1"/>
  <c r="L12" i="25"/>
  <c r="L10" i="14"/>
  <c r="L7" i="14" l="1"/>
  <c r="P40" i="29" l="1"/>
  <c r="X124" i="29" l="1"/>
  <c r="X76" i="29"/>
  <c r="X28" i="29"/>
  <c r="P59" i="29"/>
  <c r="J34" i="30" l="1"/>
  <c r="J29" i="30"/>
  <c r="J35" i="30"/>
  <c r="J32" i="30"/>
  <c r="J31" i="30"/>
  <c r="J33" i="30"/>
  <c r="J30" i="30"/>
  <c r="J28" i="30"/>
  <c r="J36" i="30" l="1"/>
  <c r="J14" i="30"/>
  <c r="H6" i="15" l="1"/>
  <c r="M13" i="15" s="1"/>
  <c r="M24" i="15" s="1"/>
  <c r="K11" i="15" l="1"/>
  <c r="K22" i="15" s="1"/>
  <c r="N14" i="15"/>
  <c r="N25" i="15" s="1"/>
  <c r="H8" i="15"/>
  <c r="L12" i="15"/>
  <c r="L23" i="15" s="1"/>
  <c r="J10" i="15"/>
  <c r="J21" i="15" s="1"/>
  <c r="H7" i="15"/>
  <c r="I9" i="15"/>
  <c r="I20" i="15" s="1"/>
  <c r="H19" i="15" l="1"/>
  <c r="H22" i="15"/>
  <c r="H24" i="15"/>
  <c r="H20" i="15"/>
  <c r="H21" i="15"/>
  <c r="H25" i="15"/>
  <c r="AQ31" i="21" l="1"/>
  <c r="E50" i="37" s="1"/>
  <c r="E62" i="37" s="1"/>
  <c r="D11" i="38" s="1"/>
  <c r="E11" i="38" s="1"/>
  <c r="F11" i="38" s="1"/>
  <c r="G11" i="38" s="1"/>
  <c r="H11" i="38" s="1"/>
  <c r="I11" i="38" s="1"/>
  <c r="J11" i="38" s="1"/>
  <c r="K11" i="38" s="1"/>
  <c r="L11" i="38" s="1"/>
  <c r="M11" i="38" s="1"/>
  <c r="L12" i="21"/>
  <c r="L31" i="21" l="1"/>
  <c r="J12" i="21"/>
  <c r="E417" i="21" s="1"/>
  <c r="O8" i="29" l="1"/>
  <c r="W8" i="29" s="1"/>
  <c r="C7" i="37"/>
  <c r="F417" i="21"/>
  <c r="E8" i="29"/>
  <c r="P8" i="29" l="1"/>
  <c r="X168" i="29"/>
  <c r="X152" i="29"/>
  <c r="X184" i="29"/>
  <c r="X24" i="29"/>
  <c r="X120" i="29"/>
  <c r="X72" i="29"/>
  <c r="X136" i="29"/>
  <c r="X40" i="29"/>
  <c r="X88" i="29"/>
  <c r="X140" i="29"/>
  <c r="X104" i="29"/>
  <c r="X44" i="29"/>
  <c r="X56" i="29"/>
  <c r="X92" i="29"/>
  <c r="F30" i="24" l="1"/>
  <c r="X9" i="29"/>
  <c r="G9" i="29"/>
  <c r="H9" i="29" s="1"/>
  <c r="C8" i="24" s="1"/>
  <c r="I9" i="29" l="1"/>
  <c r="C7" i="30"/>
  <c r="F29" i="30"/>
  <c r="F36" i="30" s="1"/>
  <c r="X8" i="29"/>
  <c r="Y6" i="29" s="1"/>
  <c r="G8" i="29"/>
  <c r="H8" i="29" s="1"/>
  <c r="C7" i="24" s="1"/>
  <c r="F15" i="24"/>
  <c r="I8" i="29" l="1"/>
  <c r="C6" i="30"/>
  <c r="F29" i="24"/>
  <c r="F37" i="24" s="1"/>
  <c r="C11" i="25" l="1"/>
  <c r="D6" i="15"/>
  <c r="D7" i="15" s="1"/>
  <c r="R36" i="30"/>
  <c r="C15" i="25"/>
  <c r="D15" i="25" l="1"/>
  <c r="C17" i="25"/>
  <c r="C9" i="14"/>
  <c r="C8" i="14" s="1"/>
  <c r="D8" i="15"/>
  <c r="F10" i="15"/>
  <c r="F21" i="15" s="1"/>
  <c r="H12" i="15"/>
  <c r="H23" i="15" s="1"/>
  <c r="I13" i="15"/>
  <c r="I24" i="15" s="1"/>
  <c r="G11" i="15"/>
  <c r="G22" i="15" s="1"/>
  <c r="E9" i="15"/>
  <c r="E20" i="15" s="1"/>
  <c r="J14" i="15"/>
  <c r="J25" i="15" s="1"/>
  <c r="C13" i="25"/>
  <c r="C6" i="14"/>
  <c r="C5" i="14" s="1"/>
  <c r="D11" i="25"/>
  <c r="C58" i="14" l="1"/>
  <c r="C56" i="14"/>
  <c r="C57" i="14"/>
  <c r="C53" i="14"/>
  <c r="D5" i="38"/>
  <c r="D20" i="15"/>
  <c r="C30" i="15" s="1"/>
  <c r="D23" i="15"/>
  <c r="C33" i="15" s="1"/>
  <c r="D25" i="15"/>
  <c r="C35" i="15" s="1"/>
  <c r="D19" i="15"/>
  <c r="C29" i="15" s="1"/>
  <c r="D24" i="15"/>
  <c r="C34" i="15" s="1"/>
  <c r="D21" i="15"/>
  <c r="C31" i="15" s="1"/>
  <c r="D22" i="15"/>
  <c r="C32" i="15" s="1"/>
  <c r="D17" i="25"/>
  <c r="E15" i="25"/>
  <c r="D9" i="14"/>
  <c r="D8" i="14" s="1"/>
  <c r="D6" i="14"/>
  <c r="D5" i="14" s="1"/>
  <c r="E5" i="38" s="1"/>
  <c r="E4" i="38" s="1"/>
  <c r="D13" i="25"/>
  <c r="E11" i="25"/>
  <c r="D7" i="38" l="1"/>
  <c r="D18" i="32"/>
  <c r="D53" i="14"/>
  <c r="D57" i="14"/>
  <c r="D56" i="14"/>
  <c r="C44" i="25"/>
  <c r="D44" i="25" s="1"/>
  <c r="E17" i="25"/>
  <c r="E9" i="14"/>
  <c r="E8" i="14" s="1"/>
  <c r="F15" i="25"/>
  <c r="E13" i="25"/>
  <c r="E6" i="14"/>
  <c r="E5" i="14" s="1"/>
  <c r="F5" i="38" s="1"/>
  <c r="F11" i="25"/>
  <c r="E53" i="14" l="1"/>
  <c r="E57" i="14"/>
  <c r="E56" i="14"/>
  <c r="C46" i="25"/>
  <c r="C47" i="25"/>
  <c r="D9" i="32" s="1"/>
  <c r="E10" i="32" s="1"/>
  <c r="G11" i="25"/>
  <c r="F13" i="25"/>
  <c r="F6" i="14"/>
  <c r="F5" i="14" s="1"/>
  <c r="G5" i="38" s="1"/>
  <c r="F17" i="25"/>
  <c r="F9" i="14"/>
  <c r="F8" i="14" s="1"/>
  <c r="G15" i="25"/>
  <c r="D47" i="25"/>
  <c r="E44" i="25"/>
  <c r="D46" i="25"/>
  <c r="F53" i="14" l="1"/>
  <c r="F57" i="14"/>
  <c r="F56" i="14"/>
  <c r="C11" i="13"/>
  <c r="D11" i="13"/>
  <c r="E9" i="32"/>
  <c r="F10" i="32" s="1"/>
  <c r="G9" i="14"/>
  <c r="G8" i="14" s="1"/>
  <c r="H15" i="25"/>
  <c r="G17" i="25"/>
  <c r="G6" i="14"/>
  <c r="G5" i="14" s="1"/>
  <c r="H5" i="38" s="1"/>
  <c r="G13" i="25"/>
  <c r="H11" i="25"/>
  <c r="E47" i="25"/>
  <c r="F44" i="25"/>
  <c r="E46" i="25"/>
  <c r="G53" i="14" l="1"/>
  <c r="G56" i="14"/>
  <c r="G57" i="14"/>
  <c r="H17" i="25"/>
  <c r="H9" i="14"/>
  <c r="H8" i="14" s="1"/>
  <c r="I15" i="25"/>
  <c r="F47" i="25"/>
  <c r="G44" i="25"/>
  <c r="H44" i="25" s="1"/>
  <c r="F46" i="25"/>
  <c r="E11" i="13"/>
  <c r="F9" i="32"/>
  <c r="G10" i="32" s="1"/>
  <c r="H6" i="14"/>
  <c r="H5" i="14" s="1"/>
  <c r="I5" i="38" s="1"/>
  <c r="I11" i="25"/>
  <c r="H13" i="25"/>
  <c r="H53" i="14" l="1"/>
  <c r="H57" i="14"/>
  <c r="H56" i="14"/>
  <c r="I17" i="25"/>
  <c r="I9" i="14"/>
  <c r="I8" i="14" s="1"/>
  <c r="J15" i="25"/>
  <c r="I13" i="25"/>
  <c r="I6" i="14"/>
  <c r="I5" i="14" s="1"/>
  <c r="J5" i="38" s="1"/>
  <c r="J11" i="25"/>
  <c r="G46" i="25"/>
  <c r="G47" i="25"/>
  <c r="G9" i="32"/>
  <c r="H10" i="32" s="1"/>
  <c r="F11" i="13"/>
  <c r="I53" i="14" l="1"/>
  <c r="I56" i="14"/>
  <c r="I57" i="14"/>
  <c r="I44" i="25"/>
  <c r="H47" i="25"/>
  <c r="H46" i="25"/>
  <c r="K15" i="25"/>
  <c r="J17" i="25"/>
  <c r="J9" i="14"/>
  <c r="J8" i="14" s="1"/>
  <c r="G11" i="13"/>
  <c r="H9" i="32"/>
  <c r="I10" i="32" s="1"/>
  <c r="J13" i="25"/>
  <c r="J6" i="14"/>
  <c r="J5" i="14" s="1"/>
  <c r="K5" i="38" s="1"/>
  <c r="K11" i="25"/>
  <c r="J53" i="14" l="1"/>
  <c r="J57" i="14"/>
  <c r="J56" i="14"/>
  <c r="J44" i="25"/>
  <c r="I46" i="25"/>
  <c r="I47" i="25"/>
  <c r="K6" i="14"/>
  <c r="K5" i="14" s="1"/>
  <c r="L5" i="38" s="1"/>
  <c r="K13" i="25"/>
  <c r="L11" i="25"/>
  <c r="L15" i="25"/>
  <c r="K9" i="14"/>
  <c r="K8" i="14" s="1"/>
  <c r="K17" i="25"/>
  <c r="I9" i="32"/>
  <c r="J10" i="32" s="1"/>
  <c r="H11" i="13"/>
  <c r="K53" i="14" l="1"/>
  <c r="K56" i="14"/>
  <c r="K57" i="14"/>
  <c r="L13" i="25"/>
  <c r="L6" i="14"/>
  <c r="L5" i="14" s="1"/>
  <c r="M5" i="38" s="1"/>
  <c r="I11" i="13"/>
  <c r="J9" i="32"/>
  <c r="K10" i="32" s="1"/>
  <c r="L17" i="25"/>
  <c r="L9" i="14"/>
  <c r="L8" i="14" s="1"/>
  <c r="K44" i="25"/>
  <c r="J47" i="25"/>
  <c r="J46" i="25"/>
  <c r="L53" i="14" l="1"/>
  <c r="L57" i="14"/>
  <c r="L56" i="14"/>
  <c r="K47" i="25"/>
  <c r="L44" i="25"/>
  <c r="K46" i="25"/>
  <c r="J11" i="13"/>
  <c r="K9" i="32"/>
  <c r="L10" i="32" s="1"/>
  <c r="L47" i="25" l="1"/>
  <c r="L46" i="25"/>
  <c r="K11" i="13"/>
  <c r="L9" i="32"/>
  <c r="M10" i="32" s="1"/>
  <c r="M9" i="32" l="1"/>
  <c r="L11" i="13"/>
  <c r="O43" i="11" l="1"/>
  <c r="N44" i="11"/>
  <c r="O42" i="11" l="1"/>
  <c r="O44" i="11" s="1"/>
  <c r="BW55" i="21"/>
  <c r="BT56" i="21"/>
  <c r="BZ92" i="21"/>
  <c r="CC20" i="21"/>
  <c r="BT91" i="21"/>
  <c r="CC56" i="21"/>
  <c r="BZ93" i="21"/>
  <c r="BZ56" i="21"/>
  <c r="CC61" i="21"/>
  <c r="CC23" i="21"/>
  <c r="BW23" i="21"/>
  <c r="CC59" i="21"/>
  <c r="BW93" i="21"/>
  <c r="CC60" i="21"/>
  <c r="BZ30" i="21"/>
  <c r="CC90" i="21"/>
  <c r="BT53" i="21"/>
  <c r="BW21" i="21"/>
  <c r="CC55" i="21"/>
  <c r="BZ94" i="21"/>
  <c r="CC28" i="21"/>
  <c r="BT23" i="21"/>
  <c r="BW57" i="21"/>
  <c r="BW28" i="21"/>
  <c r="BZ60" i="21"/>
  <c r="BZ96" i="21"/>
  <c r="BT55" i="21"/>
  <c r="BZ20" i="21"/>
  <c r="BZ58" i="21"/>
  <c r="CC57" i="21"/>
  <c r="BT54" i="21"/>
  <c r="BW25" i="21"/>
  <c r="BZ23" i="21"/>
  <c r="BZ149" i="21"/>
  <c r="CC249" i="21"/>
  <c r="CC316" i="21"/>
  <c r="BZ112" i="21"/>
  <c r="BT347" i="21"/>
  <c r="BT315" i="21"/>
  <c r="BZ182" i="21"/>
  <c r="BW281" i="21"/>
  <c r="CC381" i="21"/>
  <c r="BT50" i="21"/>
  <c r="BZ179" i="21"/>
  <c r="BZ145" i="21"/>
  <c r="BZ215" i="21"/>
  <c r="CC213" i="21"/>
  <c r="BZ250" i="21"/>
  <c r="BZ216" i="21"/>
  <c r="BW182" i="21"/>
  <c r="BZ212" i="21"/>
  <c r="BT81" i="21"/>
  <c r="BW48" i="21"/>
  <c r="BW51" i="21"/>
  <c r="CC315" i="21"/>
  <c r="CC248" i="21"/>
  <c r="BW310" i="21"/>
  <c r="BT213" i="21"/>
  <c r="BW250" i="21"/>
  <c r="CC216" i="21"/>
  <c r="CC282" i="21"/>
  <c r="CC345" i="21"/>
  <c r="BZ81" i="21"/>
  <c r="BT48" i="21"/>
  <c r="BT51" i="21"/>
  <c r="CC244" i="21"/>
  <c r="BZ150" i="21"/>
  <c r="BT148" i="21"/>
  <c r="BW213" i="21"/>
  <c r="BT250" i="21"/>
  <c r="BW216" i="21"/>
  <c r="BW184" i="21"/>
  <c r="BZ277" i="21"/>
  <c r="BW81" i="21"/>
  <c r="CC80" i="21"/>
  <c r="CC52" i="21"/>
  <c r="BW112" i="21"/>
  <c r="BZ380" i="21"/>
  <c r="BW150" i="21"/>
  <c r="CC148" i="21"/>
  <c r="BZ213" i="21"/>
  <c r="CC250" i="21"/>
  <c r="BT216" i="21"/>
  <c r="CC184" i="21"/>
  <c r="BW277" i="21"/>
  <c r="BW87" i="21"/>
  <c r="BW60" i="21"/>
  <c r="CC29" i="21"/>
  <c r="CC22" i="21"/>
  <c r="BZ59" i="21"/>
  <c r="BZ28" i="21"/>
  <c r="BT93" i="21"/>
  <c r="CC89" i="21"/>
  <c r="BZ86" i="21"/>
  <c r="BT20" i="21"/>
  <c r="BZ91" i="21"/>
  <c r="BT90" i="21"/>
  <c r="BT59" i="21"/>
  <c r="BT22" i="21"/>
  <c r="BZ21" i="21"/>
  <c r="CC54" i="21"/>
  <c r="BT62" i="21"/>
  <c r="BT61" i="21"/>
  <c r="CC58" i="21"/>
  <c r="BW94" i="21"/>
  <c r="BW20" i="21"/>
  <c r="BT24" i="21"/>
  <c r="CC94" i="21"/>
  <c r="BT30" i="21"/>
  <c r="CC87" i="21"/>
  <c r="BW58" i="21"/>
  <c r="BT63" i="21"/>
  <c r="BW22" i="21"/>
  <c r="CC88" i="21"/>
  <c r="BW86" i="21"/>
  <c r="BT21" i="21"/>
  <c r="CC92" i="21"/>
  <c r="BT27" i="21"/>
  <c r="CC145" i="21"/>
  <c r="BT215" i="21"/>
  <c r="BW211" i="21"/>
  <c r="BW113" i="21"/>
  <c r="BW314" i="21"/>
  <c r="BT179" i="21"/>
  <c r="BW244" i="21"/>
  <c r="BW212" i="21"/>
  <c r="CC81" i="21"/>
  <c r="BZ248" i="21"/>
  <c r="CC151" i="21"/>
  <c r="BT248" i="21"/>
  <c r="CC313" i="21"/>
  <c r="BW116" i="21"/>
  <c r="BW347" i="21"/>
  <c r="BZ181" i="21"/>
  <c r="BZ151" i="21"/>
  <c r="BW382" i="21"/>
  <c r="CC85" i="21"/>
  <c r="BW49" i="21"/>
  <c r="BW249" i="21"/>
  <c r="BZ379" i="21"/>
  <c r="BT118" i="21"/>
  <c r="BW313" i="21"/>
  <c r="BT116" i="21"/>
  <c r="CC347" i="21"/>
  <c r="BW181" i="21"/>
  <c r="CC182" i="21"/>
  <c r="BZ382" i="21"/>
  <c r="BT85" i="21"/>
  <c r="BT49" i="21"/>
  <c r="BW215" i="21"/>
  <c r="CC212" i="21"/>
  <c r="CC117" i="21"/>
  <c r="BW344" i="21"/>
  <c r="CC116" i="21"/>
  <c r="BZ347" i="21"/>
  <c r="BT181" i="21"/>
  <c r="BW278" i="21"/>
  <c r="BT382" i="21"/>
  <c r="BZ85" i="21"/>
  <c r="CC48" i="21"/>
  <c r="CC51" i="21"/>
  <c r="BW147" i="21"/>
  <c r="BZ79" i="21"/>
  <c r="BW117" i="21"/>
  <c r="BZ344" i="21"/>
  <c r="BZ116" i="21"/>
  <c r="CC312" i="21"/>
  <c r="CC181" i="21"/>
  <c r="BT278" i="21"/>
  <c r="CC382" i="21"/>
  <c r="BZ62" i="21"/>
  <c r="BW95" i="21"/>
  <c r="BT29" i="21"/>
  <c r="BZ95" i="21"/>
  <c r="BW91" i="21"/>
  <c r="CC30" i="21"/>
  <c r="BT92" i="21"/>
  <c r="BW92" i="21"/>
  <c r="BW89" i="21"/>
  <c r="BZ22" i="21"/>
  <c r="BT89" i="21"/>
  <c r="BZ63" i="21"/>
  <c r="BZ57" i="21"/>
  <c r="BZ88" i="21"/>
  <c r="CC27" i="21"/>
  <c r="CC53" i="21"/>
  <c r="BW29" i="21"/>
  <c r="BZ90" i="21"/>
  <c r="BT87" i="21"/>
  <c r="BW62" i="21"/>
  <c r="BZ27" i="21"/>
  <c r="BZ89" i="21"/>
  <c r="CC86" i="21"/>
  <c r="BW59" i="21"/>
  <c r="CC91" i="21"/>
  <c r="BT60" i="21"/>
  <c r="CC26" i="21"/>
  <c r="BW63" i="21"/>
  <c r="BT94" i="21"/>
  <c r="BW88" i="21"/>
  <c r="BT26" i="21"/>
  <c r="BW56" i="21"/>
  <c r="BW27" i="21"/>
  <c r="BW248" i="21"/>
  <c r="CC310" i="21"/>
  <c r="BZ349" i="21"/>
  <c r="BW246" i="21"/>
  <c r="BZ214" i="21"/>
  <c r="BW343" i="21"/>
  <c r="BW151" i="21"/>
  <c r="BW379" i="21"/>
  <c r="BW85" i="21"/>
  <c r="BZ316" i="21"/>
  <c r="BW376" i="21"/>
  <c r="BW118" i="21"/>
  <c r="BW316" i="21"/>
  <c r="CC115" i="21"/>
  <c r="BZ314" i="21"/>
  <c r="CC179" i="21"/>
  <c r="BT345" i="21"/>
  <c r="BW377" i="21"/>
  <c r="BZ84" i="21"/>
  <c r="CC50" i="21"/>
  <c r="CC349" i="21"/>
  <c r="BT348" i="21"/>
  <c r="BZ249" i="21"/>
  <c r="BT316" i="21"/>
  <c r="BZ115" i="21"/>
  <c r="CC314" i="21"/>
  <c r="BW179" i="21"/>
  <c r="BZ244" i="21"/>
  <c r="BT377" i="21"/>
  <c r="BW83" i="21"/>
  <c r="BZ50" i="21"/>
  <c r="BT113" i="21"/>
  <c r="BT46" i="21"/>
  <c r="BW180" i="21"/>
  <c r="BT146" i="21"/>
  <c r="BW115" i="21"/>
  <c r="BT314" i="21"/>
  <c r="BW279" i="21"/>
  <c r="CC247" i="21"/>
  <c r="BZ377" i="21"/>
  <c r="BZ49" i="21"/>
  <c r="CC118" i="21"/>
  <c r="BT182" i="21"/>
  <c r="BW50" i="21"/>
  <c r="BT180" i="21"/>
  <c r="CC146" i="21"/>
  <c r="BT115" i="21"/>
  <c r="BW283" i="21"/>
  <c r="BT279" i="21"/>
  <c r="BZ247" i="21"/>
  <c r="CC377" i="21"/>
  <c r="CC96" i="21"/>
  <c r="BW30" i="21"/>
  <c r="BW24" i="21"/>
  <c r="BT96" i="21"/>
  <c r="BW26" i="21"/>
  <c r="BW380" i="21"/>
  <c r="BT282" i="21"/>
  <c r="BW183" i="21"/>
  <c r="BW217" i="21"/>
  <c r="BT378" i="21"/>
  <c r="BT346" i="21"/>
  <c r="BT79" i="21"/>
  <c r="BZ48" i="21"/>
  <c r="BZ51" i="21"/>
  <c r="BW348" i="21"/>
  <c r="CC114" i="21"/>
  <c r="BZ211" i="21"/>
  <c r="CC113" i="21"/>
  <c r="BT283" i="21"/>
  <c r="CC279" i="21"/>
  <c r="BW247" i="21"/>
  <c r="CC380" i="21"/>
  <c r="CC82" i="21"/>
  <c r="BZ282" i="21"/>
  <c r="BZ180" i="21"/>
  <c r="BW146" i="21"/>
  <c r="CC112" i="21"/>
  <c r="BT312" i="21"/>
  <c r="BW315" i="21"/>
  <c r="BZ278" i="21"/>
  <c r="CC281" i="21"/>
  <c r="BT380" i="21"/>
  <c r="BT82" i="21"/>
  <c r="BZ310" i="21"/>
  <c r="BT381" i="21"/>
  <c r="BW13" i="21"/>
  <c r="BZ13" i="21"/>
  <c r="CC13" i="21"/>
  <c r="BT17" i="21"/>
  <c r="BT14" i="21"/>
  <c r="BZ19" i="21"/>
  <c r="CC15" i="21"/>
  <c r="BW96" i="21"/>
  <c r="BZ25" i="21"/>
  <c r="CC95" i="21"/>
  <c r="BZ61" i="21"/>
  <c r="BZ118" i="21"/>
  <c r="CC46" i="21"/>
  <c r="BT281" i="21"/>
  <c r="CC178" i="21"/>
  <c r="CC348" i="21"/>
  <c r="CC83" i="21"/>
  <c r="CC21" i="21"/>
  <c r="CC63" i="21"/>
  <c r="BZ55" i="21"/>
  <c r="BZ24" i="21"/>
  <c r="BZ313" i="21"/>
  <c r="BT246" i="21"/>
  <c r="BW378" i="21"/>
  <c r="CC214" i="21"/>
  <c r="BW114" i="21"/>
  <c r="BZ47" i="21"/>
  <c r="BT178" i="21"/>
  <c r="BW82" i="21"/>
  <c r="CC49" i="21"/>
  <c r="BW145" i="21"/>
  <c r="CC150" i="21"/>
  <c r="BZ148" i="21"/>
  <c r="BT349" i="21"/>
  <c r="CC246" i="21"/>
  <c r="BZ147" i="21"/>
  <c r="CC346" i="21"/>
  <c r="BT311" i="21"/>
  <c r="BZ381" i="21"/>
  <c r="BZ80" i="21"/>
  <c r="CC149" i="21"/>
  <c r="BZ114" i="21"/>
  <c r="CC211" i="21"/>
  <c r="BZ113" i="21"/>
  <c r="CC283" i="21"/>
  <c r="BZ279" i="21"/>
  <c r="BT247" i="21"/>
  <c r="BT212" i="21"/>
  <c r="BW381" i="21"/>
  <c r="BW46" i="21"/>
  <c r="BZ280" i="21"/>
  <c r="CC84" i="21"/>
  <c r="CC18" i="21"/>
  <c r="BT13" i="21"/>
  <c r="CC14" i="21"/>
  <c r="BT19" i="21"/>
  <c r="BZ17" i="21"/>
  <c r="BW18" i="21"/>
  <c r="BT16" i="21"/>
  <c r="BT95" i="21"/>
  <c r="BW53" i="21"/>
  <c r="BT88" i="21"/>
  <c r="BZ54" i="21"/>
  <c r="BW280" i="21"/>
  <c r="BW149" i="21"/>
  <c r="BZ83" i="21"/>
  <c r="CC343" i="21"/>
  <c r="BT183" i="21"/>
  <c r="BT313" i="21"/>
  <c r="BW311" i="21"/>
  <c r="BT57" i="21"/>
  <c r="BW61" i="21"/>
  <c r="BZ29" i="21"/>
  <c r="BW54" i="21"/>
  <c r="BW245" i="21"/>
  <c r="BT249" i="21"/>
  <c r="BW52" i="21"/>
  <c r="BT151" i="21"/>
  <c r="BW178" i="21"/>
  <c r="BZ281" i="21"/>
  <c r="BT83" i="21"/>
  <c r="BW47" i="21"/>
  <c r="BW312" i="21"/>
  <c r="BT117" i="21"/>
  <c r="BT344" i="21"/>
  <c r="BT280" i="21"/>
  <c r="CC245" i="21"/>
  <c r="BZ217" i="21"/>
  <c r="BZ184" i="21"/>
  <c r="BT379" i="21"/>
  <c r="CC79" i="21"/>
  <c r="BZ46" i="21"/>
  <c r="BT145" i="21"/>
  <c r="BW148" i="21"/>
  <c r="BW349" i="21"/>
  <c r="BZ246" i="21"/>
  <c r="CC147" i="21"/>
  <c r="BZ346" i="21"/>
  <c r="BZ311" i="21"/>
  <c r="CC379" i="21"/>
  <c r="BW79" i="21"/>
  <c r="CC47" i="21"/>
  <c r="BZ283" i="21"/>
  <c r="BZ18" i="21"/>
  <c r="BT15" i="21"/>
  <c r="BT18" i="21"/>
  <c r="BW14" i="21"/>
  <c r="BW17" i="21"/>
  <c r="BZ15" i="21"/>
  <c r="BZ14" i="21"/>
  <c r="AN24" i="1"/>
  <c r="CC25" i="21"/>
  <c r="CC24" i="21"/>
  <c r="CC93" i="21"/>
  <c r="BW90" i="21"/>
  <c r="BT217" i="21"/>
  <c r="BZ183" i="21"/>
  <c r="BT245" i="21"/>
  <c r="CC378" i="21"/>
  <c r="BT214" i="21"/>
  <c r="BZ348" i="21"/>
  <c r="BT147" i="21"/>
  <c r="CC62" i="21"/>
  <c r="BT28" i="21"/>
  <c r="BZ26" i="21"/>
  <c r="BT25" i="21"/>
  <c r="BW282" i="21"/>
  <c r="BZ178" i="21"/>
  <c r="BT150" i="21"/>
  <c r="BT80" i="21"/>
  <c r="BW346" i="21"/>
  <c r="BT114" i="21"/>
  <c r="BZ378" i="21"/>
  <c r="BW80" i="21"/>
  <c r="BZ52" i="21"/>
  <c r="BZ345" i="21"/>
  <c r="CC180" i="21"/>
  <c r="BZ146" i="21"/>
  <c r="BT112" i="21"/>
  <c r="BZ312" i="21"/>
  <c r="BZ315" i="21"/>
  <c r="CC278" i="21"/>
  <c r="BZ376" i="21"/>
  <c r="BW84" i="21"/>
  <c r="BT47" i="21"/>
  <c r="BZ117" i="21"/>
  <c r="CC344" i="21"/>
  <c r="CC280" i="21"/>
  <c r="BZ245" i="21"/>
  <c r="CC217" i="21"/>
  <c r="BT184" i="21"/>
  <c r="CC277" i="21"/>
  <c r="CC376" i="21"/>
  <c r="BT84" i="21"/>
  <c r="BT149" i="21"/>
  <c r="BZ343" i="21"/>
  <c r="BZ16" i="21"/>
  <c r="CC16" i="21"/>
  <c r="CC19" i="21"/>
  <c r="BW15" i="21"/>
  <c r="BW19" i="21"/>
  <c r="BW16" i="21"/>
  <c r="CC17" i="21"/>
  <c r="AN25" i="1"/>
  <c r="BT58" i="21"/>
  <c r="BZ53" i="21"/>
  <c r="BZ87" i="21"/>
  <c r="BT86" i="21"/>
  <c r="BW345" i="21"/>
  <c r="BW214" i="21"/>
  <c r="CC215" i="21"/>
  <c r="BT52" i="21"/>
  <c r="CC311" i="21"/>
  <c r="CC183" i="21"/>
  <c r="BZ258" i="21"/>
  <c r="BT223" i="21"/>
  <c r="BW389" i="21"/>
  <c r="BW357" i="21"/>
  <c r="CC284" i="21"/>
  <c r="BZ189" i="21"/>
  <c r="CC392" i="21"/>
  <c r="BT292" i="21"/>
  <c r="CC252" i="21"/>
  <c r="BT351" i="21"/>
  <c r="BW286" i="21"/>
  <c r="BT191" i="21"/>
  <c r="CC322" i="21"/>
  <c r="BZ192" i="21"/>
  <c r="BZ324" i="21"/>
  <c r="BW221" i="21"/>
  <c r="BW293" i="21"/>
  <c r="CC319" i="21"/>
  <c r="BW254" i="21"/>
  <c r="CC257" i="21"/>
  <c r="CC384" i="21"/>
  <c r="BW359" i="21"/>
  <c r="BT257" i="21"/>
  <c r="BW251" i="21"/>
  <c r="BW222" i="21"/>
  <c r="CC357" i="21"/>
  <c r="BW386" i="21"/>
  <c r="BZ190" i="21"/>
  <c r="BZ153" i="21"/>
  <c r="CC258" i="21"/>
  <c r="CC219" i="21"/>
  <c r="BT226" i="21"/>
  <c r="BW185" i="21"/>
  <c r="CC386" i="21"/>
  <c r="CC327" i="21"/>
  <c r="BT155" i="21"/>
  <c r="BT385" i="21"/>
  <c r="BW154" i="21"/>
  <c r="BZ359" i="21"/>
  <c r="CC153" i="21"/>
  <c r="BZ286" i="21"/>
  <c r="CC225" i="21"/>
  <c r="CC321" i="21"/>
  <c r="BZ319" i="21"/>
  <c r="BZ225" i="21"/>
  <c r="CC220" i="21"/>
  <c r="BT162" i="21"/>
  <c r="BZ288" i="21"/>
  <c r="BT352" i="21"/>
  <c r="BW258" i="21"/>
  <c r="BW260" i="21"/>
  <c r="BW326" i="21"/>
  <c r="BW322" i="21"/>
  <c r="CC251" i="21"/>
  <c r="BT323" i="21"/>
  <c r="BT227" i="21"/>
  <c r="BZ224" i="21"/>
  <c r="BZ323" i="21"/>
  <c r="BZ292" i="21"/>
  <c r="BT360" i="21"/>
  <c r="BW218" i="21"/>
  <c r="BT387" i="21"/>
  <c r="BZ227" i="21"/>
  <c r="BT259" i="21"/>
  <c r="BW259" i="21"/>
  <c r="BZ356" i="21"/>
  <c r="CC355" i="21"/>
  <c r="CC156" i="21"/>
  <c r="BZ157" i="21"/>
  <c r="BT190" i="21"/>
  <c r="BZ257" i="21"/>
  <c r="BT284" i="21"/>
  <c r="CC356" i="21"/>
  <c r="BW156" i="21"/>
  <c r="BZ191" i="21"/>
  <c r="CC393" i="21"/>
  <c r="BZ255" i="21"/>
  <c r="BW155" i="21"/>
  <c r="BW294" i="21"/>
  <c r="BW390" i="21"/>
  <c r="BT383" i="21"/>
  <c r="BT293" i="21"/>
  <c r="BT186" i="21"/>
  <c r="BW157" i="21"/>
  <c r="BT218" i="21"/>
  <c r="CC389" i="21"/>
  <c r="CC253" i="21"/>
  <c r="BZ391" i="21"/>
  <c r="BZ351" i="21"/>
  <c r="BZ261" i="21"/>
  <c r="BW290" i="21"/>
  <c r="CC223" i="21"/>
  <c r="CC390" i="21"/>
  <c r="BT291" i="21"/>
  <c r="BZ353" i="21"/>
  <c r="BT224" i="21"/>
  <c r="BZ159" i="21"/>
  <c r="BW292" i="21"/>
  <c r="BW261" i="21"/>
  <c r="CC154" i="21"/>
  <c r="BZ321" i="21"/>
  <c r="BT153" i="21"/>
  <c r="BW256" i="21"/>
  <c r="BT254" i="21"/>
  <c r="CC324" i="21"/>
  <c r="BW193" i="21"/>
  <c r="BW321" i="21"/>
  <c r="BZ357" i="21"/>
  <c r="BW186" i="21"/>
  <c r="BZ187" i="21"/>
  <c r="BW284" i="21"/>
  <c r="BZ326" i="21"/>
  <c r="BT158" i="21"/>
  <c r="CC352" i="21"/>
  <c r="BW391" i="21"/>
  <c r="BT286" i="21"/>
  <c r="BT228" i="21"/>
  <c r="AN23" i="1"/>
  <c r="BW318" i="21"/>
  <c r="BT152" i="21"/>
  <c r="BW188" i="21"/>
  <c r="BZ289" i="21"/>
  <c r="CC325" i="21"/>
  <c r="BT325" i="21"/>
  <c r="BT221" i="21"/>
  <c r="BW189" i="21"/>
  <c r="CC224" i="21"/>
  <c r="CC221" i="21"/>
  <c r="CC192" i="21"/>
  <c r="BW387" i="21"/>
  <c r="CC360" i="21"/>
  <c r="BW320" i="21"/>
  <c r="BZ228" i="21"/>
  <c r="BT327" i="21"/>
  <c r="BZ383" i="21"/>
  <c r="BZ285" i="21"/>
  <c r="BZ354" i="21"/>
  <c r="BZ389" i="21"/>
  <c r="BW195" i="21"/>
  <c r="CC158" i="21"/>
  <c r="CC294" i="21"/>
  <c r="BW285" i="21"/>
  <c r="BZ161" i="21"/>
  <c r="BT354" i="21"/>
  <c r="CC320" i="21"/>
  <c r="BZ318" i="21"/>
  <c r="BT261" i="21"/>
  <c r="CC287" i="21"/>
  <c r="CC160" i="21"/>
  <c r="BW393" i="21"/>
  <c r="BT288" i="21"/>
  <c r="CC152" i="21"/>
  <c r="BZ290" i="21"/>
  <c r="BT384" i="21"/>
  <c r="CC289" i="21"/>
  <c r="BW159" i="21"/>
  <c r="BW325" i="21"/>
  <c r="BZ392" i="21"/>
  <c r="BZ193" i="21"/>
  <c r="BZ254" i="21"/>
  <c r="BW354" i="21"/>
  <c r="BW351" i="21"/>
  <c r="BW227" i="21"/>
  <c r="BW220" i="21"/>
  <c r="BT220" i="21"/>
  <c r="BZ186" i="21"/>
  <c r="CC391" i="21"/>
  <c r="BZ322" i="21"/>
  <c r="CC155" i="21"/>
  <c r="BZ320" i="21"/>
  <c r="BT359" i="21"/>
  <c r="CC185" i="21"/>
  <c r="CC292" i="21"/>
  <c r="BW287" i="21"/>
  <c r="BZ218" i="21"/>
  <c r="BZ317" i="21"/>
  <c r="BT320" i="21"/>
  <c r="BW194" i="21"/>
  <c r="BZ252" i="21"/>
  <c r="BW360" i="21"/>
  <c r="BZ393" i="21"/>
  <c r="CC226" i="21"/>
  <c r="BW160" i="21"/>
  <c r="BT157" i="21"/>
  <c r="BZ325" i="21"/>
  <c r="BW289" i="21"/>
  <c r="BZ256" i="21"/>
  <c r="CC195" i="21"/>
  <c r="BT353" i="21"/>
  <c r="BT185" i="21"/>
  <c r="BZ219" i="21"/>
  <c r="CC162" i="21"/>
  <c r="BW323" i="21"/>
  <c r="BT222" i="21"/>
  <c r="BT195" i="21"/>
  <c r="BT391" i="21"/>
  <c r="BW123" i="21"/>
  <c r="CC119" i="21"/>
  <c r="CC129" i="21"/>
  <c r="BT122" i="21"/>
  <c r="BZ121" i="21"/>
  <c r="CC128" i="21"/>
  <c r="BT129" i="21"/>
  <c r="CC124" i="21"/>
  <c r="BW127" i="21"/>
  <c r="BZ384" i="21"/>
  <c r="BW356" i="21"/>
  <c r="CC188" i="21"/>
  <c r="CC218" i="21"/>
  <c r="BT322" i="21"/>
  <c r="BT321" i="21"/>
  <c r="BT251" i="21"/>
  <c r="BT386" i="21"/>
  <c r="CC358" i="21"/>
  <c r="BT189" i="21"/>
  <c r="CC351" i="21"/>
  <c r="BZ251" i="21"/>
  <c r="BT317" i="21"/>
  <c r="BT194" i="21"/>
  <c r="CC256" i="21"/>
  <c r="BW219" i="21"/>
  <c r="BW327" i="21"/>
  <c r="BW288" i="21"/>
  <c r="BZ162" i="21"/>
  <c r="CC383" i="21"/>
  <c r="CC255" i="21"/>
  <c r="BW152" i="21"/>
  <c r="BZ188" i="21"/>
  <c r="BZ128" i="21"/>
  <c r="BZ119" i="21"/>
  <c r="BW124" i="21"/>
  <c r="BW45" i="21"/>
  <c r="BW177" i="21"/>
  <c r="BW78" i="21"/>
  <c r="CC111" i="21"/>
  <c r="CC144" i="21"/>
  <c r="CC375" i="21"/>
  <c r="CC354" i="21"/>
  <c r="BW324" i="21"/>
  <c r="BZ294" i="21"/>
  <c r="BZ160" i="21"/>
  <c r="BZ327" i="21"/>
  <c r="BZ385" i="21"/>
  <c r="CC186" i="21"/>
  <c r="CC190" i="21"/>
  <c r="BZ220" i="21"/>
  <c r="CC285" i="21"/>
  <c r="BW161" i="21"/>
  <c r="BW158" i="21"/>
  <c r="BT318" i="21"/>
  <c r="BW187" i="21"/>
  <c r="CC254" i="21"/>
  <c r="CC161" i="21"/>
  <c r="BZ155" i="21"/>
  <c r="CC317" i="21"/>
  <c r="CC157" i="21"/>
  <c r="CC385" i="21"/>
  <c r="BT294" i="21"/>
  <c r="CC293" i="21"/>
  <c r="BZ156" i="21"/>
  <c r="BW121" i="21"/>
  <c r="BZ127" i="21"/>
  <c r="BT123" i="21"/>
  <c r="BZ125" i="21"/>
  <c r="BW126" i="21"/>
  <c r="BT127" i="21"/>
  <c r="CC121" i="21"/>
  <c r="BT177" i="21"/>
  <c r="CC243" i="21"/>
  <c r="CC342" i="21"/>
  <c r="CC276" i="21"/>
  <c r="BW375" i="21"/>
  <c r="BT111" i="21"/>
  <c r="CC45" i="21"/>
  <c r="CC309" i="21"/>
  <c r="BT12" i="21"/>
  <c r="BZ12" i="21"/>
  <c r="CC260" i="21"/>
  <c r="BW228" i="21"/>
  <c r="BW353" i="21"/>
  <c r="BT350" i="21"/>
  <c r="BZ259" i="21"/>
  <c r="BZ221" i="21"/>
  <c r="CC193" i="21"/>
  <c r="BW226" i="21"/>
  <c r="BW253" i="21"/>
  <c r="CC194" i="21"/>
  <c r="BT357" i="21"/>
  <c r="BW162" i="21"/>
  <c r="BZ226" i="21"/>
  <c r="CC159" i="21"/>
  <c r="BT390" i="21"/>
  <c r="CC359" i="21"/>
  <c r="BT255" i="21"/>
  <c r="BT258" i="21"/>
  <c r="BW317" i="21"/>
  <c r="CC228" i="21"/>
  <c r="BT156" i="21"/>
  <c r="BW252" i="21"/>
  <c r="BW383" i="21"/>
  <c r="CC125" i="21"/>
  <c r="BT119" i="21"/>
  <c r="BZ123" i="21"/>
  <c r="BZ45" i="21"/>
  <c r="BZ78" i="21"/>
  <c r="BT144" i="21"/>
  <c r="BW342" i="21"/>
  <c r="CC290" i="21"/>
  <c r="CC189" i="21"/>
  <c r="BT289" i="21"/>
  <c r="CC350" i="21"/>
  <c r="BW153" i="21"/>
  <c r="BW225" i="21"/>
  <c r="BW352" i="21"/>
  <c r="BZ287" i="21"/>
  <c r="BW388" i="21"/>
  <c r="CC353" i="21"/>
  <c r="BT388" i="21"/>
  <c r="BZ223" i="21"/>
  <c r="BT389" i="21"/>
  <c r="BT252" i="21"/>
  <c r="BZ158" i="21"/>
  <c r="BZ352" i="21"/>
  <c r="CC388" i="21"/>
  <c r="BT326" i="21"/>
  <c r="CC191" i="21"/>
  <c r="BT356" i="21"/>
  <c r="BZ355" i="21"/>
  <c r="BZ291" i="21"/>
  <c r="BW119" i="21"/>
  <c r="CC122" i="21"/>
  <c r="BT126" i="21"/>
  <c r="BZ124" i="21"/>
  <c r="BT128" i="21"/>
  <c r="BW125" i="21"/>
  <c r="CC127" i="21"/>
  <c r="CC126" i="21"/>
  <c r="BW243" i="21"/>
  <c r="BZ210" i="21"/>
  <c r="BT45" i="21"/>
  <c r="BZ243" i="21"/>
  <c r="CC78" i="21"/>
  <c r="BZ276" i="21"/>
  <c r="BW12" i="21"/>
  <c r="CC12" i="21"/>
  <c r="BW385" i="21"/>
  <c r="BW350" i="21"/>
  <c r="BT188" i="21"/>
  <c r="BW291" i="21"/>
  <c r="BW224" i="21"/>
  <c r="BZ195" i="21"/>
  <c r="CC286" i="21"/>
  <c r="BT193" i="21"/>
  <c r="BW191" i="21"/>
  <c r="BT219" i="21"/>
  <c r="BZ152" i="21"/>
  <c r="BW190" i="21"/>
  <c r="BZ386" i="21"/>
  <c r="BZ360" i="21"/>
  <c r="BZ253" i="21"/>
  <c r="BT290" i="21"/>
  <c r="BZ350" i="21"/>
  <c r="BT159" i="21"/>
  <c r="BT324" i="21"/>
  <c r="BZ260" i="21"/>
  <c r="CC288" i="21"/>
  <c r="CC259" i="21"/>
  <c r="BT120" i="21"/>
  <c r="BZ129" i="21"/>
  <c r="BZ126" i="21"/>
  <c r="BZ375" i="21"/>
  <c r="BT78" i="21"/>
  <c r="CC210" i="21"/>
  <c r="BW111" i="21"/>
  <c r="BW210" i="21"/>
  <c r="BW144" i="21"/>
  <c r="BZ144" i="21"/>
  <c r="BT192" i="21"/>
  <c r="BW257" i="21"/>
  <c r="BZ222" i="21"/>
  <c r="BW319" i="21"/>
  <c r="BT253" i="21"/>
  <c r="BT161" i="21"/>
  <c r="BZ194" i="21"/>
  <c r="BW355" i="21"/>
  <c r="CC323" i="21"/>
  <c r="BZ154" i="21"/>
  <c r="BT260" i="21"/>
  <c r="BT287" i="21"/>
  <c r="CC387" i="21"/>
  <c r="BZ358" i="21"/>
  <c r="BW392" i="21"/>
  <c r="CC187" i="21"/>
  <c r="BT392" i="21"/>
  <c r="CC227" i="21"/>
  <c r="BT393" i="21"/>
  <c r="BT256" i="21"/>
  <c r="BZ388" i="21"/>
  <c r="BT285" i="21"/>
  <c r="BT125" i="21"/>
  <c r="CC123" i="21"/>
  <c r="BT121" i="21"/>
  <c r="BW128" i="21"/>
  <c r="BW120" i="21"/>
  <c r="BZ122" i="21"/>
  <c r="BZ120" i="21"/>
  <c r="BW129" i="21"/>
  <c r="CC120" i="21"/>
  <c r="BW309" i="21"/>
  <c r="BZ309" i="21"/>
  <c r="BZ177" i="21"/>
  <c r="BZ342" i="21"/>
  <c r="CC177" i="21"/>
  <c r="BW276" i="21"/>
  <c r="BT376" i="21"/>
  <c r="BT309" i="21"/>
  <c r="CC222" i="21"/>
  <c r="CC318" i="21"/>
  <c r="BZ284" i="21"/>
  <c r="BT225" i="21"/>
  <c r="CC326" i="21"/>
  <c r="BW384" i="21"/>
  <c r="CC261" i="21"/>
  <c r="BT358" i="21"/>
  <c r="BW255" i="21"/>
  <c r="BW358" i="21"/>
  <c r="BT355" i="21"/>
  <c r="BZ387" i="21"/>
  <c r="BZ185" i="21"/>
  <c r="BT154" i="21"/>
  <c r="BW223" i="21"/>
  <c r="BT160" i="21"/>
  <c r="CC291" i="21"/>
  <c r="BZ390" i="21"/>
  <c r="BZ293" i="21"/>
  <c r="BW192" i="21"/>
  <c r="BT187" i="21"/>
  <c r="BT319" i="21"/>
  <c r="BT124" i="21"/>
  <c r="BW122" i="21"/>
  <c r="BZ111" i="21"/>
  <c r="BT310" i="21"/>
  <c r="BT277" i="21"/>
  <c r="BT244" i="21"/>
  <c r="BT375" i="21"/>
  <c r="BT342" i="21"/>
  <c r="BT343" i="21"/>
  <c r="BT276" i="21"/>
  <c r="BT211" i="21"/>
  <c r="BT210" i="21"/>
  <c r="AN22" i="1"/>
  <c r="BT243" i="21"/>
  <c r="CA82" i="21" l="1"/>
  <c r="CB82" i="21" s="1"/>
  <c r="CA16" i="21"/>
  <c r="CA83" i="21"/>
  <c r="BW31" i="21"/>
  <c r="BZ31" i="21"/>
  <c r="BT97" i="21"/>
  <c r="BT31" i="21"/>
  <c r="BT394" i="21"/>
  <c r="BZ328" i="21"/>
  <c r="CC64" i="21"/>
  <c r="BW97" i="21"/>
  <c r="CC31" i="21"/>
  <c r="BZ97" i="21"/>
  <c r="BT295" i="21"/>
  <c r="BW163" i="21"/>
  <c r="BZ64" i="21"/>
  <c r="BW64" i="21"/>
  <c r="BT229" i="21"/>
  <c r="CC163" i="21"/>
  <c r="BT328" i="21"/>
  <c r="BW229" i="21"/>
  <c r="BZ295" i="21"/>
  <c r="BZ394" i="21"/>
  <c r="BT262" i="21"/>
  <c r="BT361" i="21"/>
  <c r="BW328" i="21"/>
  <c r="BU219" i="21"/>
  <c r="BV219" i="21" s="1"/>
  <c r="BX81" i="21"/>
  <c r="BY81" i="21" s="1"/>
  <c r="BU149" i="21"/>
  <c r="CA386" i="21"/>
  <c r="CB386" i="21" s="1"/>
  <c r="CA118" i="21"/>
  <c r="CB118" i="21" s="1"/>
  <c r="CD311" i="21"/>
  <c r="CE311" i="21" s="1"/>
  <c r="CD227" i="21"/>
  <c r="CE227" i="21" s="1"/>
  <c r="CA88" i="21"/>
  <c r="CB88" i="21" s="1"/>
  <c r="CD284" i="21"/>
  <c r="CE284" i="21" s="1"/>
  <c r="BU260" i="21"/>
  <c r="BV260" i="21" s="1"/>
  <c r="CA288" i="21"/>
  <c r="BX383" i="21"/>
  <c r="BY383" i="21" s="1"/>
  <c r="BU248" i="21"/>
  <c r="BX177" i="21"/>
  <c r="BY177" i="21" s="1"/>
  <c r="CA144" i="21"/>
  <c r="CB144" i="21" s="1"/>
  <c r="CD150" i="21"/>
  <c r="BU215" i="21"/>
  <c r="BV215" i="21" s="1"/>
  <c r="CA47" i="21"/>
  <c r="CB47" i="21" s="1"/>
  <c r="BU224" i="21"/>
  <c r="BU382" i="21"/>
  <c r="BV382" i="21" s="1"/>
  <c r="CA160" i="21"/>
  <c r="CB160" i="21" s="1"/>
  <c r="BX375" i="21"/>
  <c r="BY375" i="21" s="1"/>
  <c r="BU319" i="21"/>
  <c r="BV319" i="21" s="1"/>
  <c r="BU148" i="21"/>
  <c r="CA195" i="21"/>
  <c r="CB195" i="21" s="1"/>
  <c r="CA87" i="21"/>
  <c r="CB87" i="21" s="1"/>
  <c r="BU252" i="21"/>
  <c r="BU375" i="21"/>
  <c r="BV375" i="21" s="1"/>
  <c r="CD315" i="21"/>
  <c r="CD180" i="21"/>
  <c r="CE180" i="21" s="1"/>
  <c r="BU223" i="21"/>
  <c r="BV223" i="21" s="1"/>
  <c r="BU225" i="21"/>
  <c r="BV225" i="21" s="1"/>
  <c r="BU244" i="21"/>
  <c r="BV244" i="21" s="1"/>
  <c r="CD148" i="21"/>
  <c r="CE148" i="21" s="1"/>
  <c r="BX290" i="21"/>
  <c r="BU288" i="21"/>
  <c r="BV288" i="21" s="1"/>
  <c r="CD212" i="21"/>
  <c r="CE212" i="21" s="1"/>
  <c r="BX185" i="21"/>
  <c r="BY185" i="21" s="1"/>
  <c r="CA315" i="21"/>
  <c r="CD223" i="21"/>
  <c r="CE223" i="21" s="1"/>
  <c r="CA187" i="21"/>
  <c r="CB187" i="21" s="1"/>
  <c r="BX58" i="21"/>
  <c r="BY58" i="21" s="1"/>
  <c r="CD244" i="21"/>
  <c r="BU314" i="21"/>
  <c r="BV314" i="21" s="1"/>
  <c r="CA228" i="21"/>
  <c r="CB228" i="21" s="1"/>
  <c r="BU157" i="21"/>
  <c r="BV157" i="21" s="1"/>
  <c r="BX314" i="21"/>
  <c r="CD355" i="21"/>
  <c r="CE355" i="21" s="1"/>
  <c r="CD247" i="21"/>
  <c r="CE247" i="21" s="1"/>
  <c r="CD217" i="21"/>
  <c r="CE217" i="21" s="1"/>
  <c r="BU220" i="21"/>
  <c r="BV220" i="21" s="1"/>
  <c r="CD358" i="21"/>
  <c r="CE358" i="21" s="1"/>
  <c r="BX144" i="21"/>
  <c r="BY144" i="21" s="1"/>
  <c r="BX386" i="21"/>
  <c r="BY386" i="21" s="1"/>
  <c r="BX219" i="21"/>
  <c r="CD47" i="21"/>
  <c r="CE47" i="21" s="1"/>
  <c r="BU355" i="21"/>
  <c r="BV355" i="21" s="1"/>
  <c r="CA252" i="21"/>
  <c r="CB252" i="21" s="1"/>
  <c r="BX351" i="21"/>
  <c r="BY351" i="21" s="1"/>
  <c r="CD354" i="21"/>
  <c r="CE354" i="21" s="1"/>
  <c r="BU255" i="21"/>
  <c r="CD80" i="21"/>
  <c r="CE80" i="21" s="1"/>
  <c r="BU261" i="21"/>
  <c r="BV261" i="21" s="1"/>
  <c r="CD319" i="21"/>
  <c r="CE319" i="21" s="1"/>
  <c r="CA355" i="21"/>
  <c r="CB355" i="21" s="1"/>
  <c r="CA346" i="21"/>
  <c r="CB346" i="21" s="1"/>
  <c r="BU227" i="21"/>
  <c r="CA243" i="21"/>
  <c r="CB243" i="21" s="1"/>
  <c r="CD379" i="21"/>
  <c r="CE379" i="21" s="1"/>
  <c r="CD393" i="21"/>
  <c r="CE393" i="21" s="1"/>
  <c r="CD185" i="21"/>
  <c r="CE185" i="21" s="1"/>
  <c r="CD323" i="21"/>
  <c r="CE323" i="21" s="1"/>
  <c r="CA162" i="21"/>
  <c r="CB162" i="21" s="1"/>
  <c r="BU326" i="21"/>
  <c r="BV326" i="21" s="1"/>
  <c r="BU256" i="21"/>
  <c r="BV256" i="21" s="1"/>
  <c r="BU152" i="21"/>
  <c r="BV152" i="21" s="1"/>
  <c r="BU183" i="21"/>
  <c r="BX292" i="21"/>
  <c r="BY292" i="21" s="1"/>
  <c r="CA224" i="21"/>
  <c r="CB224" i="21" s="1"/>
  <c r="CA377" i="21"/>
  <c r="BX159" i="21"/>
  <c r="BY159" i="21" s="1"/>
  <c r="CD255" i="21"/>
  <c r="CE255" i="21" s="1"/>
  <c r="CA345" i="21"/>
  <c r="CD391" i="21"/>
  <c r="CE391" i="21" s="1"/>
  <c r="CD283" i="21"/>
  <c r="BX194" i="21"/>
  <c r="BY194" i="21" s="1"/>
  <c r="CD87" i="21"/>
  <c r="CE87" i="21" s="1"/>
  <c r="BX191" i="21"/>
  <c r="BY191" i="21" s="1"/>
  <c r="CA62" i="21"/>
  <c r="CB62" i="21" s="1"/>
  <c r="CA13" i="21"/>
  <c r="CB13" i="21" s="1"/>
  <c r="CA114" i="21"/>
  <c r="BU359" i="21"/>
  <c r="BV359" i="21" s="1"/>
  <c r="CD221" i="21"/>
  <c r="CE221" i="21" s="1"/>
  <c r="BU279" i="21"/>
  <c r="BV279" i="21" s="1"/>
  <c r="CA375" i="21"/>
  <c r="CB375" i="21" s="1"/>
  <c r="CD378" i="21"/>
  <c r="CE378" i="21" s="1"/>
  <c r="BX55" i="21"/>
  <c r="BY55" i="21" s="1"/>
  <c r="BU347" i="21"/>
  <c r="BV347" i="21" s="1"/>
  <c r="BU358" i="21"/>
  <c r="BV358" i="21" s="1"/>
  <c r="CD193" i="21"/>
  <c r="CE193" i="21" s="1"/>
  <c r="BX389" i="21"/>
  <c r="BY389" i="21" s="1"/>
  <c r="BX160" i="21"/>
  <c r="BY160" i="21" s="1"/>
  <c r="CD195" i="21"/>
  <c r="CE195" i="21" s="1"/>
  <c r="CD359" i="21"/>
  <c r="CE359" i="21" s="1"/>
  <c r="BX216" i="21"/>
  <c r="BY216" i="21" s="1"/>
  <c r="CA221" i="21"/>
  <c r="CB221" i="21" s="1"/>
  <c r="CD224" i="21"/>
  <c r="CE224" i="21" s="1"/>
  <c r="CA188" i="21"/>
  <c r="CB188" i="21" s="1"/>
  <c r="CA381" i="21"/>
  <c r="BU383" i="21"/>
  <c r="BV383" i="21" s="1"/>
  <c r="BU161" i="21"/>
  <c r="BV161" i="21" s="1"/>
  <c r="BX217" i="21"/>
  <c r="BY217" i="21" s="1"/>
  <c r="CD248" i="21"/>
  <c r="CE248" i="21" s="1"/>
  <c r="BU78" i="21"/>
  <c r="BV78" i="21" s="1"/>
  <c r="BX377" i="21"/>
  <c r="BU290" i="21"/>
  <c r="BV290" i="21" s="1"/>
  <c r="BX212" i="21"/>
  <c r="BY212" i="21" s="1"/>
  <c r="CA217" i="21"/>
  <c r="CB217" i="21" s="1"/>
  <c r="BU216" i="21"/>
  <c r="BV216" i="21" s="1"/>
  <c r="BU146" i="21"/>
  <c r="BV146" i="21" s="1"/>
  <c r="CD160" i="21"/>
  <c r="CE160" i="21" s="1"/>
  <c r="BX54" i="21"/>
  <c r="BY54" i="21" s="1"/>
  <c r="BX387" i="21"/>
  <c r="BY387" i="21" s="1"/>
  <c r="CA247" i="21"/>
  <c r="CB247" i="21" s="1"/>
  <c r="BX261" i="21"/>
  <c r="BY261" i="21" s="1"/>
  <c r="CD149" i="21"/>
  <c r="CE149" i="21" s="1"/>
  <c r="CA319" i="21"/>
  <c r="BX225" i="21"/>
  <c r="BY225" i="21" s="1"/>
  <c r="BU325" i="21"/>
  <c r="BV325" i="21" s="1"/>
  <c r="BX63" i="21"/>
  <c r="BY63" i="21" s="1"/>
  <c r="CD226" i="21"/>
  <c r="BX250" i="21"/>
  <c r="BY250" i="21" s="1"/>
  <c r="CD52" i="21"/>
  <c r="CE52" i="21" s="1"/>
  <c r="CD320" i="21"/>
  <c r="CE320" i="21" s="1"/>
  <c r="BU310" i="21"/>
  <c r="BV310" i="21" s="1"/>
  <c r="CA48" i="21"/>
  <c r="CB48" i="21" s="1"/>
  <c r="BX382" i="21"/>
  <c r="BY382" i="21" s="1"/>
  <c r="BX393" i="21"/>
  <c r="BY393" i="21" s="1"/>
  <c r="CA292" i="21"/>
  <c r="CB292" i="21" s="1"/>
  <c r="CD390" i="21"/>
  <c r="CE390" i="21" s="1"/>
  <c r="BU126" i="21"/>
  <c r="BV126" i="21" s="1"/>
  <c r="CA211" i="21"/>
  <c r="CB211" i="21" s="1"/>
  <c r="CD261" i="21"/>
  <c r="CE261" i="21" s="1"/>
  <c r="BX326" i="21"/>
  <c r="BY326" i="21" s="1"/>
  <c r="CA261" i="21"/>
  <c r="CB261" i="21" s="1"/>
  <c r="CD216" i="21"/>
  <c r="CE216" i="21" s="1"/>
  <c r="CA354" i="21"/>
  <c r="CB354" i="21" s="1"/>
  <c r="BX227" i="21"/>
  <c r="BY227" i="21" s="1"/>
  <c r="BU378" i="21"/>
  <c r="BV378" i="21" s="1"/>
  <c r="BX215" i="21"/>
  <c r="BY215" i="21" s="1"/>
  <c r="CD82" i="21"/>
  <c r="BX343" i="21"/>
  <c r="BY343" i="21" s="1"/>
  <c r="CA244" i="21"/>
  <c r="CB244" i="21" s="1"/>
  <c r="CA347" i="21"/>
  <c r="CB347" i="21" s="1"/>
  <c r="BX350" i="21"/>
  <c r="BY350" i="21" s="1"/>
  <c r="BX247" i="21"/>
  <c r="BY247" i="21" s="1"/>
  <c r="CD49" i="21"/>
  <c r="CD245" i="21"/>
  <c r="CE245" i="21" s="1"/>
  <c r="BX311" i="21"/>
  <c r="BY311" i="21" s="1"/>
  <c r="BX347" i="21"/>
  <c r="BY347" i="21" s="1"/>
  <c r="BX146" i="21"/>
  <c r="BY146" i="21" s="1"/>
  <c r="CD211" i="21"/>
  <c r="CE211" i="21" s="1"/>
  <c r="CD326" i="21"/>
  <c r="CE326" i="21" s="1"/>
  <c r="BU292" i="21"/>
  <c r="BV292" i="21" s="1"/>
  <c r="BX223" i="21"/>
  <c r="BY223" i="21" s="1"/>
  <c r="BX61" i="21"/>
  <c r="BY61" i="21" s="1"/>
  <c r="BU153" i="21"/>
  <c r="CA390" i="21"/>
  <c r="CB390" i="21" s="1"/>
  <c r="CD279" i="21"/>
  <c r="CE279" i="21" s="1"/>
  <c r="CA343" i="21"/>
  <c r="CB343" i="21" s="1"/>
  <c r="BU186" i="21"/>
  <c r="CA379" i="21"/>
  <c r="CB379" i="21" s="1"/>
  <c r="BU317" i="21"/>
  <c r="BV317" i="21" s="1"/>
  <c r="BU190" i="21"/>
  <c r="BV190" i="21" s="1"/>
  <c r="BU86" i="21"/>
  <c r="BV86" i="21" s="1"/>
  <c r="BX116" i="21"/>
  <c r="BY116" i="21" s="1"/>
  <c r="BX380" i="21"/>
  <c r="BY380" i="21" s="1"/>
  <c r="CA155" i="21"/>
  <c r="CB155" i="21" s="1"/>
  <c r="CA161" i="21"/>
  <c r="CB161" i="21" s="1"/>
  <c r="CA318" i="21"/>
  <c r="CB318" i="21" s="1"/>
  <c r="CD276" i="21"/>
  <c r="CE276" i="21" s="1"/>
  <c r="CA149" i="21"/>
  <c r="CB149" i="21" s="1"/>
  <c r="CD243" i="21"/>
  <c r="CE243" i="21" s="1"/>
  <c r="BX157" i="21"/>
  <c r="BY157" i="21" s="1"/>
  <c r="BX228" i="21"/>
  <c r="BY228" i="21" s="1"/>
  <c r="CA177" i="21"/>
  <c r="CB177" i="21" s="1"/>
  <c r="BU322" i="21"/>
  <c r="BU377" i="21"/>
  <c r="BV377" i="21" s="1"/>
  <c r="CA153" i="21"/>
  <c r="CB153" i="21" s="1"/>
  <c r="CD84" i="21"/>
  <c r="CE84" i="21" s="1"/>
  <c r="BX119" i="21"/>
  <c r="BY119" i="21" s="1"/>
  <c r="BU350" i="21"/>
  <c r="BV350" i="21" s="1"/>
  <c r="BU177" i="21"/>
  <c r="BV177" i="21" s="1"/>
  <c r="BX60" i="21"/>
  <c r="BY60" i="21" s="1"/>
  <c r="CD156" i="21"/>
  <c r="CA96" i="21"/>
  <c r="CB96" i="21" s="1"/>
  <c r="BX355" i="21"/>
  <c r="BY355" i="21" s="1"/>
  <c r="CD260" i="21"/>
  <c r="CE260" i="21" s="1"/>
  <c r="CA249" i="21"/>
  <c r="CB249" i="21" s="1"/>
  <c r="CA220" i="21"/>
  <c r="CB220" i="21" s="1"/>
  <c r="CA180" i="21"/>
  <c r="CB180" i="21" s="1"/>
  <c r="CA257" i="21"/>
  <c r="CB257" i="21" s="1"/>
  <c r="BX379" i="21"/>
  <c r="CD153" i="21"/>
  <c r="CE153" i="21" s="1"/>
  <c r="CD312" i="21"/>
  <c r="CE312" i="21" s="1"/>
  <c r="BU327" i="21"/>
  <c r="BV327" i="21" s="1"/>
  <c r="BU160" i="21"/>
  <c r="BV160" i="21" s="1"/>
  <c r="BX257" i="21"/>
  <c r="BY257" i="21" s="1"/>
  <c r="CA210" i="21"/>
  <c r="CB210" i="21" s="1"/>
  <c r="CA260" i="21"/>
  <c r="CB260" i="21" s="1"/>
  <c r="CD389" i="21"/>
  <c r="BU284" i="21"/>
  <c r="BV284" i="21" s="1"/>
  <c r="BX319" i="21"/>
  <c r="BY319" i="21" s="1"/>
  <c r="CD146" i="21"/>
  <c r="CE146" i="21" s="1"/>
  <c r="BU318" i="21"/>
  <c r="CA311" i="21"/>
  <c r="CB311" i="21" s="1"/>
  <c r="CA113" i="21"/>
  <c r="CB113" i="21" s="1"/>
  <c r="BX145" i="21"/>
  <c r="BY145" i="21" s="1"/>
  <c r="CD289" i="21"/>
  <c r="CE289" i="21" s="1"/>
  <c r="CA50" i="21"/>
  <c r="CB50" i="21" s="1"/>
  <c r="CD294" i="21"/>
  <c r="CE294" i="21" s="1"/>
  <c r="CD213" i="21"/>
  <c r="CE213" i="21" s="1"/>
  <c r="BU81" i="21"/>
  <c r="BV81" i="21" s="1"/>
  <c r="CA356" i="21"/>
  <c r="CB356" i="21" s="1"/>
  <c r="BU280" i="21"/>
  <c r="BV280" i="21" s="1"/>
  <c r="CA312" i="21"/>
  <c r="CB312" i="21" s="1"/>
  <c r="BU311" i="21"/>
  <c r="BU221" i="21"/>
  <c r="BV221" i="21" s="1"/>
  <c r="BX150" i="21"/>
  <c r="CA92" i="21"/>
  <c r="CB92" i="21" s="1"/>
  <c r="CD382" i="21"/>
  <c r="CE382" i="21" s="1"/>
  <c r="CA219" i="21"/>
  <c r="CB219" i="21" s="1"/>
  <c r="CA179" i="21"/>
  <c r="CB179" i="21" s="1"/>
  <c r="BX117" i="21"/>
  <c r="BY117" i="21" s="1"/>
  <c r="CD327" i="21"/>
  <c r="CE327" i="21" s="1"/>
  <c r="BX288" i="21"/>
  <c r="BY288" i="21" s="1"/>
  <c r="CD386" i="21"/>
  <c r="CE386" i="21" s="1"/>
  <c r="CA156" i="21"/>
  <c r="CB156" i="21" s="1"/>
  <c r="BX255" i="21"/>
  <c r="BY255" i="21" s="1"/>
  <c r="CA245" i="21"/>
  <c r="CB245" i="21" s="1"/>
  <c r="BX318" i="21"/>
  <c r="BY318" i="21" s="1"/>
  <c r="BX312" i="21"/>
  <c r="BY312" i="21" s="1"/>
  <c r="CA248" i="21"/>
  <c r="CD350" i="21"/>
  <c r="BX211" i="21"/>
  <c r="CA342" i="21"/>
  <c r="CB342" i="21" s="1"/>
  <c r="BX259" i="21"/>
  <c r="BY259" i="21" s="1"/>
  <c r="CD125" i="21"/>
  <c r="CE125" i="21" s="1"/>
  <c r="BX161" i="21"/>
  <c r="BY161" i="21" s="1"/>
  <c r="CA327" i="21"/>
  <c r="CB327" i="21" s="1"/>
  <c r="BU127" i="21"/>
  <c r="CD346" i="21"/>
  <c r="CE346" i="21" s="1"/>
  <c r="CA326" i="21"/>
  <c r="CA95" i="21"/>
  <c r="CB95" i="21" s="1"/>
  <c r="BU379" i="21"/>
  <c r="CA378" i="21"/>
  <c r="CB378" i="21" s="1"/>
  <c r="BU312" i="21"/>
  <c r="BV312" i="21" s="1"/>
  <c r="BX260" i="21"/>
  <c r="BY260" i="21" s="1"/>
  <c r="BU320" i="21"/>
  <c r="BV320" i="21" s="1"/>
  <c r="CA152" i="21"/>
  <c r="CB152" i="21" s="1"/>
  <c r="CA94" i="21"/>
  <c r="CB94" i="21" s="1"/>
  <c r="BU193" i="21"/>
  <c r="BV193" i="21" s="1"/>
  <c r="CD96" i="21"/>
  <c r="CE96" i="21" s="1"/>
  <c r="BU386" i="21"/>
  <c r="BV386" i="21" s="1"/>
  <c r="CD117" i="21"/>
  <c r="CE117" i="21" s="1"/>
  <c r="BX124" i="21"/>
  <c r="BY124" i="21" s="1"/>
  <c r="BU226" i="21"/>
  <c r="CD321" i="21"/>
  <c r="CE321" i="21" s="1"/>
  <c r="BX92" i="21"/>
  <c r="BY92" i="21" s="1"/>
  <c r="BU281" i="21"/>
  <c r="BV281" i="21" s="1"/>
  <c r="BU84" i="21"/>
  <c r="BV84" i="21" s="1"/>
  <c r="CD21" i="21"/>
  <c r="CE21" i="21" s="1"/>
  <c r="BX83" i="21"/>
  <c r="BY83" i="21" s="1"/>
  <c r="BU315" i="21"/>
  <c r="BV315" i="21" s="1"/>
  <c r="BX310" i="21"/>
  <c r="CD385" i="21"/>
  <c r="CE385" i="21" s="1"/>
  <c r="BX224" i="21"/>
  <c r="BY224" i="21" s="1"/>
  <c r="BU145" i="21"/>
  <c r="BV145" i="21" s="1"/>
  <c r="BX193" i="21"/>
  <c r="BY193" i="21" s="1"/>
  <c r="CA393" i="21"/>
  <c r="CB393" i="21" s="1"/>
  <c r="CA225" i="21"/>
  <c r="CB225" i="21" s="1"/>
  <c r="BU343" i="21"/>
  <c r="BV343" i="21" s="1"/>
  <c r="CD46" i="21"/>
  <c r="CA216" i="21"/>
  <c r="CB216" i="21" s="1"/>
  <c r="BX188" i="21"/>
  <c r="BY188" i="21" s="1"/>
  <c r="CD310" i="21"/>
  <c r="CE310" i="21" s="1"/>
  <c r="BU257" i="21"/>
  <c r="BV257" i="21" s="1"/>
  <c r="CA145" i="21"/>
  <c r="CB145" i="21" s="1"/>
  <c r="CA89" i="21"/>
  <c r="CB89" i="21" s="1"/>
  <c r="CD161" i="21"/>
  <c r="CE161" i="21" s="1"/>
  <c r="BX346" i="21"/>
  <c r="BU188" i="21"/>
  <c r="BV188" i="21" s="1"/>
  <c r="CA91" i="21"/>
  <c r="CB91" i="21" s="1"/>
  <c r="BX148" i="21"/>
  <c r="BY148" i="21" s="1"/>
  <c r="CA93" i="21"/>
  <c r="CB93" i="21" s="1"/>
  <c r="CD351" i="21"/>
  <c r="CE351" i="21" s="1"/>
  <c r="BX248" i="21"/>
  <c r="BY248" i="21" s="1"/>
  <c r="BX320" i="21"/>
  <c r="BY320" i="21" s="1"/>
  <c r="CA212" i="21"/>
  <c r="CD45" i="21"/>
  <c r="CE45" i="21" s="1"/>
  <c r="BU287" i="21"/>
  <c r="BV287" i="21" s="1"/>
  <c r="BU185" i="21"/>
  <c r="BV185" i="21" s="1"/>
  <c r="CD145" i="21"/>
  <c r="BX53" i="21"/>
  <c r="BY53" i="21" s="1"/>
  <c r="CD157" i="21"/>
  <c r="CE157" i="21" s="1"/>
  <c r="BX221" i="21"/>
  <c r="BY221" i="21" s="1"/>
  <c r="CD259" i="21"/>
  <c r="CE259" i="21" s="1"/>
  <c r="CD318" i="21"/>
  <c r="CE318" i="21" s="1"/>
  <c r="BX276" i="21"/>
  <c r="BY276" i="21" s="1"/>
  <c r="CA259" i="21"/>
  <c r="BX256" i="21"/>
  <c r="BY256" i="21" s="1"/>
  <c r="CD188" i="21"/>
  <c r="CE188" i="21" s="1"/>
  <c r="CD58" i="21"/>
  <c r="CE58" i="21" s="1"/>
  <c r="BU61" i="21"/>
  <c r="BV61" i="21" s="1"/>
  <c r="BX283" i="21"/>
  <c r="BU391" i="21"/>
  <c r="BV391" i="21" s="1"/>
  <c r="BU192" i="21"/>
  <c r="BV192" i="21" s="1"/>
  <c r="CD121" i="21"/>
  <c r="CE121" i="21" s="1"/>
  <c r="BX26" i="21"/>
  <c r="BU28" i="21"/>
  <c r="BV28" i="21" s="1"/>
  <c r="BX153" i="21"/>
  <c r="BY153" i="21" s="1"/>
  <c r="CD251" i="21"/>
  <c r="CE251" i="21" s="1"/>
  <c r="CD343" i="21"/>
  <c r="BU351" i="21"/>
  <c r="BV351" i="21" s="1"/>
  <c r="CA387" i="21"/>
  <c r="CB387" i="21" s="1"/>
  <c r="BU390" i="21"/>
  <c r="BV390" i="21" s="1"/>
  <c r="CA223" i="21"/>
  <c r="BX85" i="21"/>
  <c r="BY85" i="21" s="1"/>
  <c r="BU276" i="21"/>
  <c r="BV276" i="21" s="1"/>
  <c r="CD256" i="21"/>
  <c r="CE256" i="21" s="1"/>
  <c r="BX359" i="21"/>
  <c r="BY359" i="21" s="1"/>
  <c r="BX358" i="21"/>
  <c r="BY358" i="21" s="1"/>
  <c r="CA215" i="21"/>
  <c r="CB215" i="21" s="1"/>
  <c r="CA294" i="21"/>
  <c r="CB294" i="21" s="1"/>
  <c r="BU150" i="21"/>
  <c r="BV150" i="21" s="1"/>
  <c r="BX323" i="21"/>
  <c r="BY323" i="21" s="1"/>
  <c r="BX284" i="21"/>
  <c r="BY284" i="21" s="1"/>
  <c r="CA382" i="21"/>
  <c r="CB382" i="21" s="1"/>
  <c r="CD144" i="21"/>
  <c r="CE144" i="21" s="1"/>
  <c r="CA251" i="21"/>
  <c r="CB251" i="21" s="1"/>
  <c r="CD383" i="21"/>
  <c r="CE383" i="21" s="1"/>
  <c r="CD314" i="21"/>
  <c r="CE314" i="21" s="1"/>
  <c r="CD375" i="21"/>
  <c r="CE375" i="21" s="1"/>
  <c r="BX327" i="21"/>
  <c r="BY327" i="21" s="1"/>
  <c r="BU346" i="21"/>
  <c r="BV346" i="21" s="1"/>
  <c r="BX243" i="21"/>
  <c r="BY243" i="21" s="1"/>
  <c r="BU249" i="21"/>
  <c r="BU251" i="21"/>
  <c r="BV251" i="21" s="1"/>
  <c r="BU217" i="21"/>
  <c r="BV217" i="21" s="1"/>
  <c r="CA157" i="21"/>
  <c r="CB157" i="21" s="1"/>
  <c r="BU323" i="21"/>
  <c r="BV323" i="21" s="1"/>
  <c r="CA383" i="21"/>
  <c r="CB383" i="21" s="1"/>
  <c r="CA323" i="21"/>
  <c r="CB323" i="21" s="1"/>
  <c r="CD152" i="21"/>
  <c r="CE152" i="21" s="1"/>
  <c r="CD287" i="21"/>
  <c r="CE287" i="21" s="1"/>
  <c r="BX57" i="21"/>
  <c r="BY57" i="21" s="1"/>
  <c r="CA320" i="21"/>
  <c r="CD187" i="21"/>
  <c r="CE187" i="21" s="1"/>
  <c r="CA358" i="21"/>
  <c r="CB358" i="21" s="1"/>
  <c r="BX251" i="21"/>
  <c r="BY251" i="21" s="1"/>
  <c r="BX94" i="21"/>
  <c r="BY94" i="21" s="1"/>
  <c r="CA146" i="21"/>
  <c r="CB146" i="21" s="1"/>
  <c r="BU121" i="21"/>
  <c r="BV121" i="21" s="1"/>
  <c r="BX59" i="21"/>
  <c r="BY59" i="21" s="1"/>
  <c r="CD387" i="21"/>
  <c r="CE387" i="21" s="1"/>
  <c r="BX385" i="21"/>
  <c r="BY385" i="21" s="1"/>
  <c r="CD122" i="21"/>
  <c r="CE122" i="21" s="1"/>
  <c r="CD381" i="21"/>
  <c r="CE381" i="21" s="1"/>
  <c r="CA185" i="21"/>
  <c r="CB185" i="21" s="1"/>
  <c r="CD220" i="21"/>
  <c r="CE220" i="21" s="1"/>
  <c r="BX342" i="21"/>
  <c r="BU228" i="21"/>
  <c r="BV228" i="21" s="1"/>
  <c r="CD177" i="21"/>
  <c r="CE177" i="21" s="1"/>
  <c r="CA389" i="21"/>
  <c r="CB389" i="21" s="1"/>
  <c r="BX245" i="21"/>
  <c r="BY245" i="21" s="1"/>
  <c r="CD123" i="21"/>
  <c r="CE123" i="21" s="1"/>
  <c r="CD225" i="21"/>
  <c r="CE225" i="21" s="1"/>
  <c r="BX252" i="21"/>
  <c r="BY252" i="21" s="1"/>
  <c r="BX180" i="21"/>
  <c r="CA385" i="21"/>
  <c r="CB385" i="21" s="1"/>
  <c r="BX179" i="21"/>
  <c r="CD228" i="21"/>
  <c r="CE228" i="21" s="1"/>
  <c r="CA85" i="21"/>
  <c r="CB85" i="21" s="1"/>
  <c r="BX149" i="21"/>
  <c r="BY149" i="21" s="1"/>
  <c r="CD162" i="21"/>
  <c r="CE162" i="21" s="1"/>
  <c r="BU180" i="21"/>
  <c r="BV180" i="21" s="1"/>
  <c r="BX79" i="21"/>
  <c r="CA227" i="21"/>
  <c r="CB227" i="21" s="1"/>
  <c r="CD51" i="21"/>
  <c r="CE51" i="21" s="1"/>
  <c r="CD347" i="21"/>
  <c r="CE347" i="21" s="1"/>
  <c r="BX315" i="21"/>
  <c r="BY315" i="21" s="1"/>
  <c r="CA280" i="21"/>
  <c r="CB280" i="21" s="1"/>
  <c r="BU111" i="21"/>
  <c r="BV111" i="21" s="1"/>
  <c r="BU162" i="21"/>
  <c r="BV162" i="21" s="1"/>
  <c r="CD322" i="21"/>
  <c r="CE322" i="21" s="1"/>
  <c r="BX62" i="21"/>
  <c r="BY62" i="21" s="1"/>
  <c r="CD288" i="21"/>
  <c r="CE288" i="21" s="1"/>
  <c r="BU211" i="21"/>
  <c r="BV211" i="21" s="1"/>
  <c r="CD357" i="21"/>
  <c r="CE357" i="21" s="1"/>
  <c r="BX280" i="21"/>
  <c r="BY280" i="21" s="1"/>
  <c r="BU294" i="21"/>
  <c r="BV294" i="21" s="1"/>
  <c r="BX278" i="21"/>
  <c r="BY278" i="21" s="1"/>
  <c r="CA184" i="21"/>
  <c r="BX246" i="21"/>
  <c r="BY246" i="21" s="1"/>
  <c r="BX182" i="21"/>
  <c r="BU123" i="21"/>
  <c r="BV123" i="21" s="1"/>
  <c r="BU82" i="21"/>
  <c r="BV82" i="21" s="1"/>
  <c r="CA23" i="21"/>
  <c r="CB23" i="21" s="1"/>
  <c r="CA350" i="21"/>
  <c r="CB350" i="21" s="1"/>
  <c r="BX80" i="21"/>
  <c r="BY80" i="21" s="1"/>
  <c r="CA24" i="21"/>
  <c r="BU156" i="21"/>
  <c r="BU342" i="21"/>
  <c r="BV342" i="21" s="1"/>
  <c r="CA148" i="21"/>
  <c r="CB148" i="21" s="1"/>
  <c r="CA78" i="21"/>
  <c r="CB78" i="21" s="1"/>
  <c r="BU195" i="21"/>
  <c r="BV195" i="21" s="1"/>
  <c r="BX349" i="21"/>
  <c r="BY349" i="21" s="1"/>
  <c r="BX51" i="21"/>
  <c r="BY51" i="21" s="1"/>
  <c r="BU122" i="21"/>
  <c r="CA348" i="21"/>
  <c r="CB348" i="21" s="1"/>
  <c r="CD20" i="21"/>
  <c r="CE20" i="21" s="1"/>
  <c r="BX22" i="21"/>
  <c r="BY22" i="21" s="1"/>
  <c r="BU92" i="21"/>
  <c r="BV92" i="21" s="1"/>
  <c r="CD158" i="21"/>
  <c r="CE158" i="21" s="1"/>
  <c r="BX286" i="21"/>
  <c r="BY286" i="21" s="1"/>
  <c r="CA352" i="21"/>
  <c r="CB352" i="21" s="1"/>
  <c r="CD118" i="21"/>
  <c r="CD17" i="21"/>
  <c r="CE17" i="21" s="1"/>
  <c r="CA376" i="21"/>
  <c r="BX282" i="21"/>
  <c r="BY282" i="21" s="1"/>
  <c r="BU48" i="21"/>
  <c r="CD89" i="21"/>
  <c r="CE89" i="21" s="1"/>
  <c r="BX294" i="21"/>
  <c r="BY294" i="21" s="1"/>
  <c r="BU26" i="21"/>
  <c r="BV26" i="21" s="1"/>
  <c r="BX381" i="21"/>
  <c r="BU253" i="21"/>
  <c r="BV253" i="21" s="1"/>
  <c r="CA151" i="21"/>
  <c r="CB151" i="21" s="1"/>
  <c r="CA58" i="21"/>
  <c r="CB58" i="21" s="1"/>
  <c r="BX17" i="21"/>
  <c r="BY17" i="21" s="1"/>
  <c r="BX210" i="21"/>
  <c r="BY210" i="21" s="1"/>
  <c r="CA45" i="21"/>
  <c r="CB45" i="21" s="1"/>
  <c r="BU158" i="21"/>
  <c r="BV158" i="21" s="1"/>
  <c r="BU289" i="21"/>
  <c r="BV289" i="21" s="1"/>
  <c r="BU16" i="21"/>
  <c r="BV16" i="21" s="1"/>
  <c r="CD129" i="21"/>
  <c r="CE129" i="21" s="1"/>
  <c r="CD155" i="21"/>
  <c r="CE155" i="21" s="1"/>
  <c r="BU392" i="21"/>
  <c r="BV392" i="21" s="1"/>
  <c r="BX87" i="21"/>
  <c r="BY87" i="21" s="1"/>
  <c r="CD292" i="21"/>
  <c r="CE292" i="21" s="1"/>
  <c r="CD54" i="21"/>
  <c r="CE54" i="21" s="1"/>
  <c r="BX88" i="21"/>
  <c r="BU155" i="21"/>
  <c r="BV155" i="21" s="1"/>
  <c r="BU13" i="21"/>
  <c r="BV13" i="21" s="1"/>
  <c r="BX353" i="21"/>
  <c r="BY353" i="21" s="1"/>
  <c r="BX321" i="21"/>
  <c r="BY321" i="21" s="1"/>
  <c r="BU345" i="21"/>
  <c r="BV345" i="21" s="1"/>
  <c r="CD55" i="21"/>
  <c r="CE55" i="21" s="1"/>
  <c r="CD14" i="21"/>
  <c r="CE14" i="21" s="1"/>
  <c r="BX345" i="21"/>
  <c r="BY345" i="21" s="1"/>
  <c r="CA191" i="21"/>
  <c r="CB191" i="21" s="1"/>
  <c r="BU95" i="21"/>
  <c r="BV95" i="21" s="1"/>
  <c r="BU356" i="21"/>
  <c r="BV356" i="21" s="1"/>
  <c r="BX220" i="21"/>
  <c r="BY220" i="21" s="1"/>
  <c r="BX112" i="21"/>
  <c r="BY112" i="21" s="1"/>
  <c r="BU349" i="21"/>
  <c r="BV349" i="21" s="1"/>
  <c r="CA61" i="21"/>
  <c r="CB61" i="21" s="1"/>
  <c r="CD24" i="21"/>
  <c r="BX348" i="21"/>
  <c r="BY348" i="21" s="1"/>
  <c r="BU51" i="21"/>
  <c r="CD345" i="21"/>
  <c r="CE345" i="21" s="1"/>
  <c r="BX313" i="21"/>
  <c r="BY313" i="21" s="1"/>
  <c r="CA26" i="21"/>
  <c r="CB26" i="21" s="1"/>
  <c r="CB83" i="21"/>
  <c r="CD29" i="21"/>
  <c r="CE29" i="21" s="1"/>
  <c r="CA322" i="21"/>
  <c r="BX162" i="21"/>
  <c r="BY162" i="21" s="1"/>
  <c r="BU385" i="21"/>
  <c r="BV385" i="21" s="1"/>
  <c r="CD191" i="21"/>
  <c r="CE191" i="21" s="1"/>
  <c r="BU282" i="21"/>
  <c r="BV282" i="21" s="1"/>
  <c r="CA147" i="21"/>
  <c r="CB147" i="21" s="1"/>
  <c r="BU254" i="21"/>
  <c r="BV254" i="21" s="1"/>
  <c r="BX125" i="21"/>
  <c r="BY125" i="21" s="1"/>
  <c r="CD258" i="21"/>
  <c r="CA28" i="21"/>
  <c r="CB28" i="21" s="1"/>
  <c r="BX156" i="21"/>
  <c r="BY156" i="21" s="1"/>
  <c r="CD179" i="21"/>
  <c r="CE179" i="21" s="1"/>
  <c r="BX118" i="21"/>
  <c r="BY118" i="21" s="1"/>
  <c r="BU246" i="21"/>
  <c r="BV246" i="21" s="1"/>
  <c r="BU52" i="21"/>
  <c r="BV52" i="21" s="1"/>
  <c r="BU384" i="21"/>
  <c r="BV384" i="21" s="1"/>
  <c r="CD12" i="21"/>
  <c r="CE12" i="21" s="1"/>
  <c r="BX52" i="21"/>
  <c r="BY52" i="21" s="1"/>
  <c r="BX222" i="21"/>
  <c r="BY222" i="21" s="1"/>
  <c r="BU116" i="21"/>
  <c r="BV116" i="21" s="1"/>
  <c r="BU250" i="21"/>
  <c r="BV250" i="21" s="1"/>
  <c r="BX277" i="21"/>
  <c r="BY277" i="21" s="1"/>
  <c r="CA29" i="21"/>
  <c r="CB29" i="21" s="1"/>
  <c r="CA218" i="21"/>
  <c r="CB218" i="21" s="1"/>
  <c r="BU352" i="21"/>
  <c r="BV352" i="21" s="1"/>
  <c r="CA384" i="21"/>
  <c r="CB384" i="21" s="1"/>
  <c r="BX155" i="21"/>
  <c r="BU17" i="21"/>
  <c r="BV17" i="21" s="1"/>
  <c r="BX121" i="21"/>
  <c r="BY121" i="21" s="1"/>
  <c r="CA250" i="21"/>
  <c r="CB250" i="21" s="1"/>
  <c r="CD116" i="21"/>
  <c r="CE116" i="21" s="1"/>
  <c r="BX122" i="21"/>
  <c r="BY122" i="21" s="1"/>
  <c r="CA279" i="21"/>
  <c r="BU178" i="21"/>
  <c r="BV178" i="21" s="1"/>
  <c r="BX186" i="21"/>
  <c r="BY186" i="21" s="1"/>
  <c r="BX95" i="21"/>
  <c r="BY95" i="21" s="1"/>
  <c r="BX16" i="21"/>
  <c r="BY16" i="21" s="1"/>
  <c r="CD280" i="21"/>
  <c r="CE280" i="21" s="1"/>
  <c r="BU286" i="21"/>
  <c r="BV286" i="21" s="1"/>
  <c r="CA309" i="21"/>
  <c r="CB309" i="21" s="1"/>
  <c r="CA246" i="21"/>
  <c r="CB246" i="21" s="1"/>
  <c r="BX18" i="21"/>
  <c r="BY18" i="21" s="1"/>
  <c r="CD192" i="21"/>
  <c r="CE192" i="21" s="1"/>
  <c r="CD90" i="21"/>
  <c r="CE90" i="21" s="1"/>
  <c r="CA49" i="21"/>
  <c r="CB49" i="21" s="1"/>
  <c r="CA253" i="21"/>
  <c r="CB253" i="21" s="1"/>
  <c r="BX20" i="21"/>
  <c r="BY20" i="21" s="1"/>
  <c r="CA258" i="21"/>
  <c r="CB258" i="21" s="1"/>
  <c r="CA317" i="21"/>
  <c r="CD115" i="21"/>
  <c r="CE115" i="21" s="1"/>
  <c r="BU54" i="21"/>
  <c r="BV54" i="21" s="1"/>
  <c r="CA255" i="21"/>
  <c r="CB255" i="21" s="1"/>
  <c r="BU179" i="21"/>
  <c r="BV179" i="21" s="1"/>
  <c r="CA290" i="21"/>
  <c r="CB290" i="21" s="1"/>
  <c r="CA281" i="21"/>
  <c r="CB281" i="21" s="1"/>
  <c r="CD13" i="21"/>
  <c r="CE13" i="21" s="1"/>
  <c r="BU57" i="21"/>
  <c r="BV57" i="21" s="1"/>
  <c r="CD222" i="21"/>
  <c r="CE222" i="21" s="1"/>
  <c r="CA190" i="21"/>
  <c r="BU89" i="21"/>
  <c r="BV89" i="21" s="1"/>
  <c r="BU357" i="21"/>
  <c r="BV357" i="21" s="1"/>
  <c r="CA353" i="21"/>
  <c r="CB353" i="21" s="1"/>
  <c r="BX354" i="21"/>
  <c r="BY354" i="21" s="1"/>
  <c r="BU191" i="21"/>
  <c r="BV191" i="21" s="1"/>
  <c r="BU144" i="21"/>
  <c r="BV144" i="21" s="1"/>
  <c r="CD286" i="21"/>
  <c r="CE286" i="21" s="1"/>
  <c r="CA282" i="21"/>
  <c r="BX258" i="21"/>
  <c r="BY258" i="21" s="1"/>
  <c r="CD384" i="21"/>
  <c r="CE384" i="21" s="1"/>
  <c r="CA124" i="21"/>
  <c r="CB124" i="21" s="1"/>
  <c r="BX356" i="21"/>
  <c r="BY356" i="21" s="1"/>
  <c r="CD348" i="21"/>
  <c r="CE348" i="21" s="1"/>
  <c r="CD30" i="21"/>
  <c r="CE30" i="21" s="1"/>
  <c r="CA86" i="21"/>
  <c r="CB86" i="21" s="1"/>
  <c r="BU213" i="21"/>
  <c r="BV213" i="21" s="1"/>
  <c r="BX93" i="21"/>
  <c r="BY93" i="21" s="1"/>
  <c r="CA313" i="21"/>
  <c r="CB313" i="21" s="1"/>
  <c r="BU63" i="21"/>
  <c r="BV63" i="21" s="1"/>
  <c r="BU90" i="21"/>
  <c r="BV90" i="21" s="1"/>
  <c r="BX25" i="21"/>
  <c r="BY25" i="21" s="1"/>
  <c r="BX86" i="21"/>
  <c r="BY86" i="21" s="1"/>
  <c r="CD281" i="21"/>
  <c r="CE281" i="21" s="1"/>
  <c r="CA189" i="21"/>
  <c r="CB189" i="21" s="1"/>
  <c r="BU80" i="21"/>
  <c r="BV80" i="21" s="1"/>
  <c r="BX47" i="21"/>
  <c r="BY47" i="21" s="1"/>
  <c r="BX24" i="21"/>
  <c r="BY24" i="21" s="1"/>
  <c r="CA117" i="21"/>
  <c r="CB117" i="21" s="1"/>
  <c r="BX49" i="21"/>
  <c r="BY49" i="21" s="1"/>
  <c r="BU218" i="21"/>
  <c r="BV218" i="21" s="1"/>
  <c r="BX388" i="21"/>
  <c r="BY388" i="21" s="1"/>
  <c r="BU22" i="21"/>
  <c r="BU181" i="21"/>
  <c r="BV181" i="21" s="1"/>
  <c r="BX113" i="21"/>
  <c r="BY113" i="21" s="1"/>
  <c r="BU125" i="21"/>
  <c r="BV125" i="21" s="1"/>
  <c r="BU47" i="21"/>
  <c r="BV47" i="21" s="1"/>
  <c r="BU245" i="21"/>
  <c r="BV245" i="21" s="1"/>
  <c r="CD83" i="21"/>
  <c r="BU56" i="21"/>
  <c r="BV56" i="21" s="1"/>
  <c r="BX181" i="21"/>
  <c r="BY181" i="21" s="1"/>
  <c r="CD25" i="21"/>
  <c r="CE25" i="21" s="1"/>
  <c r="BU278" i="21"/>
  <c r="BV278" i="21" s="1"/>
  <c r="CA325" i="21"/>
  <c r="CB325" i="21" s="1"/>
  <c r="CA53" i="21"/>
  <c r="CB53" i="21" s="1"/>
  <c r="CD79" i="21"/>
  <c r="CE79" i="21" s="1"/>
  <c r="BU30" i="21"/>
  <c r="BX82" i="21"/>
  <c r="BY82" i="21" s="1"/>
  <c r="CD324" i="21"/>
  <c r="CE324" i="21" s="1"/>
  <c r="BU159" i="21"/>
  <c r="BV159" i="21" s="1"/>
  <c r="CD114" i="21"/>
  <c r="CE114" i="21" s="1"/>
  <c r="BU243" i="21"/>
  <c r="BV243" i="21" s="1"/>
  <c r="BX352" i="21"/>
  <c r="BY352" i="21" s="1"/>
  <c r="CA111" i="21"/>
  <c r="CB111" i="21" s="1"/>
  <c r="BU60" i="21"/>
  <c r="BV60" i="21" s="1"/>
  <c r="CD22" i="21"/>
  <c r="CE22" i="21" s="1"/>
  <c r="CD184" i="21"/>
  <c r="CD186" i="21"/>
  <c r="CE186" i="21" s="1"/>
  <c r="CD147" i="21"/>
  <c r="CE147" i="21" s="1"/>
  <c r="CA213" i="21"/>
  <c r="CB213" i="21" s="1"/>
  <c r="CA21" i="21"/>
  <c r="CB21" i="21" s="1"/>
  <c r="CD349" i="21"/>
  <c r="CE349" i="21" s="1"/>
  <c r="CA316" i="21"/>
  <c r="CB316" i="21" s="1"/>
  <c r="CA125" i="21"/>
  <c r="CB125" i="21" s="1"/>
  <c r="CA63" i="21"/>
  <c r="BU79" i="21"/>
  <c r="BV79" i="21" s="1"/>
  <c r="BU129" i="21"/>
  <c r="BV129" i="21" s="1"/>
  <c r="BX322" i="21"/>
  <c r="BY322" i="21" s="1"/>
  <c r="CA324" i="21"/>
  <c r="CB324" i="21" s="1"/>
  <c r="BU393" i="21"/>
  <c r="BV393" i="21" s="1"/>
  <c r="BX189" i="21"/>
  <c r="BY189" i="21" s="1"/>
  <c r="BU147" i="21"/>
  <c r="BV147" i="21" s="1"/>
  <c r="CA293" i="21"/>
  <c r="CB293" i="21" s="1"/>
  <c r="BU360" i="21"/>
  <c r="BV360" i="21" s="1"/>
  <c r="CD189" i="21"/>
  <c r="CE189" i="21" s="1"/>
  <c r="BX317" i="21"/>
  <c r="BY317" i="21" s="1"/>
  <c r="CA119" i="21"/>
  <c r="CB119" i="21" s="1"/>
  <c r="BX29" i="21"/>
  <c r="BY29" i="21" s="1"/>
  <c r="CA256" i="21"/>
  <c r="CB256" i="21" s="1"/>
  <c r="CD392" i="21"/>
  <c r="CE392" i="21" s="1"/>
  <c r="BX151" i="21"/>
  <c r="BY151" i="21" s="1"/>
  <c r="BU321" i="21"/>
  <c r="BV321" i="21" s="1"/>
  <c r="BU112" i="21"/>
  <c r="BV112" i="21" s="1"/>
  <c r="CA182" i="21"/>
  <c r="CB182" i="21" s="1"/>
  <c r="CA310" i="21"/>
  <c r="CB310" i="21" s="1"/>
  <c r="CA154" i="21"/>
  <c r="CB154" i="21" s="1"/>
  <c r="CD57" i="21"/>
  <c r="CE57" i="21" s="1"/>
  <c r="CA289" i="21"/>
  <c r="CB289" i="21" s="1"/>
  <c r="BU120" i="21"/>
  <c r="BV120" i="21" s="1"/>
  <c r="BU344" i="21"/>
  <c r="BV344" i="21" s="1"/>
  <c r="CD27" i="21"/>
  <c r="CE27" i="21" s="1"/>
  <c r="CD128" i="21"/>
  <c r="CE128" i="21" s="1"/>
  <c r="CD214" i="21"/>
  <c r="CE214" i="21" s="1"/>
  <c r="CD178" i="21"/>
  <c r="CE178" i="21" s="1"/>
  <c r="CD78" i="21"/>
  <c r="CE78" i="21" s="1"/>
  <c r="CA193" i="21"/>
  <c r="CB193" i="21" s="1"/>
  <c r="CA283" i="21"/>
  <c r="CB283" i="21" s="1"/>
  <c r="CD190" i="21"/>
  <c r="CE190" i="21" s="1"/>
  <c r="BU59" i="21"/>
  <c r="BV59" i="21" s="1"/>
  <c r="BX91" i="21"/>
  <c r="BY91" i="21" s="1"/>
  <c r="BU387" i="21"/>
  <c r="BV387" i="21" s="1"/>
  <c r="BX187" i="21"/>
  <c r="BY187" i="21" s="1"/>
  <c r="BX254" i="21"/>
  <c r="BY254" i="21" s="1"/>
  <c r="CA222" i="21"/>
  <c r="CB222" i="21" s="1"/>
  <c r="BX23" i="21"/>
  <c r="BY23" i="21" s="1"/>
  <c r="CD309" i="21"/>
  <c r="CE309" i="21" s="1"/>
  <c r="BX46" i="21"/>
  <c r="BY46" i="21" s="1"/>
  <c r="BU49" i="21"/>
  <c r="BV49" i="21" s="1"/>
  <c r="CD126" i="21"/>
  <c r="CE126" i="21" s="1"/>
  <c r="BU21" i="21"/>
  <c r="BV21" i="21" s="1"/>
  <c r="CA286" i="21"/>
  <c r="CB286" i="21" s="1"/>
  <c r="CA178" i="21"/>
  <c r="CB178" i="21" s="1"/>
  <c r="CD124" i="21"/>
  <c r="CE124" i="21" s="1"/>
  <c r="CA277" i="21"/>
  <c r="CB277" i="21" s="1"/>
  <c r="BU115" i="21"/>
  <c r="BV115" i="21" s="1"/>
  <c r="BU88" i="21"/>
  <c r="BV88" i="21" s="1"/>
  <c r="BX357" i="21"/>
  <c r="BY357" i="21" s="1"/>
  <c r="CA84" i="21"/>
  <c r="CB84" i="21" s="1"/>
  <c r="BU29" i="21"/>
  <c r="BV29" i="21" s="1"/>
  <c r="CA285" i="21"/>
  <c r="CB285" i="21" s="1"/>
  <c r="CA127" i="21"/>
  <c r="CB127" i="21" s="1"/>
  <c r="BU381" i="21"/>
  <c r="BV381" i="21" s="1"/>
  <c r="BU151" i="21"/>
  <c r="BV151" i="21" s="1"/>
  <c r="BU15" i="21"/>
  <c r="CD388" i="21"/>
  <c r="CE388" i="21" s="1"/>
  <c r="CD376" i="21"/>
  <c r="CE376" i="21" s="1"/>
  <c r="CD91" i="21"/>
  <c r="CE91" i="21" s="1"/>
  <c r="BX120" i="21"/>
  <c r="BY120" i="21" s="1"/>
  <c r="CD181" i="21"/>
  <c r="CE181" i="21" s="1"/>
  <c r="BU50" i="21"/>
  <c r="BV50" i="21" s="1"/>
  <c r="CD50" i="21"/>
  <c r="CE50" i="21" s="1"/>
  <c r="BU214" i="21"/>
  <c r="BV214" i="21" s="1"/>
  <c r="CD120" i="21"/>
  <c r="CE120" i="21" s="1"/>
  <c r="CA254" i="21"/>
  <c r="CB254" i="21" s="1"/>
  <c r="CA380" i="21"/>
  <c r="CA59" i="21"/>
  <c r="CB59" i="21" s="1"/>
  <c r="CD48" i="21"/>
  <c r="CE48" i="21" s="1"/>
  <c r="BU324" i="21"/>
  <c r="BV324" i="21" s="1"/>
  <c r="BU187" i="21"/>
  <c r="BV187" i="21" s="1"/>
  <c r="CA186" i="21"/>
  <c r="CB186" i="21" s="1"/>
  <c r="CA27" i="21"/>
  <c r="CB27" i="21" s="1"/>
  <c r="BX152" i="21"/>
  <c r="BY152" i="21" s="1"/>
  <c r="BX360" i="21"/>
  <c r="BU277" i="21"/>
  <c r="BV277" i="21" s="1"/>
  <c r="BU119" i="21"/>
  <c r="BV119" i="21" s="1"/>
  <c r="BX190" i="21"/>
  <c r="BY190" i="21" s="1"/>
  <c r="CA276" i="21"/>
  <c r="CB276" i="21" s="1"/>
  <c r="BX226" i="21"/>
  <c r="BY226" i="21" s="1"/>
  <c r="CD353" i="21"/>
  <c r="CE353" i="21" s="1"/>
  <c r="BU94" i="21"/>
  <c r="BX178" i="21"/>
  <c r="CD86" i="21"/>
  <c r="CE86" i="21" s="1"/>
  <c r="CA15" i="21"/>
  <c r="CB15" i="21" s="1"/>
  <c r="BU154" i="21"/>
  <c r="BV154" i="21" s="1"/>
  <c r="CD291" i="21"/>
  <c r="CE291" i="21" s="1"/>
  <c r="CA278" i="21"/>
  <c r="CB278" i="21" s="1"/>
  <c r="BX128" i="21"/>
  <c r="BY128" i="21" s="1"/>
  <c r="CA150" i="21"/>
  <c r="CA56" i="21"/>
  <c r="CB56" i="21" s="1"/>
  <c r="BU91" i="21"/>
  <c r="BV91" i="21" s="1"/>
  <c r="BX324" i="21"/>
  <c r="BY324" i="21" s="1"/>
  <c r="BX30" i="21"/>
  <c r="BY30" i="21" s="1"/>
  <c r="CD377" i="21"/>
  <c r="CE377" i="21" s="1"/>
  <c r="CD218" i="21"/>
  <c r="CE218" i="21" s="1"/>
  <c r="CD254" i="21"/>
  <c r="CE254" i="21" s="1"/>
  <c r="BX96" i="21"/>
  <c r="BY96" i="21" s="1"/>
  <c r="BU20" i="21"/>
  <c r="BV20" i="21" s="1"/>
  <c r="CA52" i="21"/>
  <c r="CB52" i="21" s="1"/>
  <c r="CD282" i="21"/>
  <c r="CE282" i="21" s="1"/>
  <c r="CD278" i="21"/>
  <c r="CE278" i="21" s="1"/>
  <c r="BU114" i="21"/>
  <c r="BV114" i="21" s="1"/>
  <c r="BU27" i="21"/>
  <c r="BV27" i="21" s="1"/>
  <c r="BU222" i="21"/>
  <c r="BV222" i="21" s="1"/>
  <c r="BU210" i="21"/>
  <c r="BV210" i="21" s="1"/>
  <c r="BU285" i="21"/>
  <c r="CD60" i="21"/>
  <c r="CE60" i="21" s="1"/>
  <c r="CD215" i="21"/>
  <c r="CE215" i="21" s="1"/>
  <c r="CD154" i="21"/>
  <c r="CE154" i="21" s="1"/>
  <c r="CD194" i="21"/>
  <c r="CE194" i="21" s="1"/>
  <c r="CD293" i="21"/>
  <c r="CE293" i="21" s="1"/>
  <c r="BU24" i="21"/>
  <c r="BV24" i="21" s="1"/>
  <c r="BX45" i="21"/>
  <c r="BY45" i="21" s="1"/>
  <c r="CA291" i="21"/>
  <c r="CB291" i="21" s="1"/>
  <c r="BX192" i="21"/>
  <c r="BY192" i="21" s="1"/>
  <c r="CD56" i="21"/>
  <c r="CE56" i="21" s="1"/>
  <c r="BX56" i="21"/>
  <c r="BY56" i="21" s="1"/>
  <c r="CA79" i="21"/>
  <c r="CB79" i="21" s="1"/>
  <c r="CD95" i="21"/>
  <c r="CE95" i="21" s="1"/>
  <c r="CA115" i="21"/>
  <c r="CB115" i="21" s="1"/>
  <c r="BX15" i="21"/>
  <c r="BY15" i="21" s="1"/>
  <c r="CA46" i="21"/>
  <c r="CD119" i="21"/>
  <c r="CE119" i="21" s="1"/>
  <c r="CA284" i="21"/>
  <c r="CB284" i="21" s="1"/>
  <c r="BX384" i="21"/>
  <c r="BY384" i="21" s="1"/>
  <c r="CA359" i="21"/>
  <c r="CB359" i="21" s="1"/>
  <c r="CA116" i="21"/>
  <c r="CB116" i="21" s="1"/>
  <c r="CD277" i="21"/>
  <c r="CE277" i="21" s="1"/>
  <c r="BU62" i="21"/>
  <c r="BV62" i="21" s="1"/>
  <c r="CA121" i="21"/>
  <c r="CB121" i="21" s="1"/>
  <c r="BX285" i="21"/>
  <c r="BY285" i="21" s="1"/>
  <c r="BU376" i="21"/>
  <c r="BV376" i="21" s="1"/>
  <c r="CD59" i="21"/>
  <c r="CE59" i="21" s="1"/>
  <c r="CD19" i="21"/>
  <c r="CE19" i="21" s="1"/>
  <c r="BX183" i="21"/>
  <c r="BY183" i="21" s="1"/>
  <c r="CD92" i="21"/>
  <c r="CE92" i="21" s="1"/>
  <c r="CA226" i="21"/>
  <c r="BX195" i="21"/>
  <c r="BY195" i="21" s="1"/>
  <c r="CA388" i="21"/>
  <c r="CB388" i="21" s="1"/>
  <c r="BU12" i="21"/>
  <c r="BV12" i="21" s="1"/>
  <c r="CD342" i="21"/>
  <c r="CE342" i="21" s="1"/>
  <c r="BU194" i="21"/>
  <c r="BV194" i="21" s="1"/>
  <c r="CA392" i="21"/>
  <c r="CB392" i="21" s="1"/>
  <c r="CA51" i="21"/>
  <c r="CB51" i="21" s="1"/>
  <c r="BU184" i="21"/>
  <c r="BV184" i="21" s="1"/>
  <c r="CA14" i="21"/>
  <c r="CB14" i="21" s="1"/>
  <c r="BX249" i="21"/>
  <c r="BY249" i="21" s="1"/>
  <c r="BX158" i="21"/>
  <c r="BY158" i="21" s="1"/>
  <c r="CA158" i="21"/>
  <c r="CB158" i="21" s="1"/>
  <c r="BX127" i="21"/>
  <c r="BY127" i="21" s="1"/>
  <c r="CA80" i="21"/>
  <c r="CB80" i="21" s="1"/>
  <c r="BX378" i="21"/>
  <c r="BY378" i="21" s="1"/>
  <c r="BX129" i="21"/>
  <c r="BY129" i="21" s="1"/>
  <c r="BX147" i="21"/>
  <c r="BY147" i="21" s="1"/>
  <c r="BX316" i="21"/>
  <c r="BY316" i="21" s="1"/>
  <c r="BU14" i="21"/>
  <c r="BV14" i="21" s="1"/>
  <c r="CA321" i="21"/>
  <c r="CB321" i="21" s="1"/>
  <c r="BX114" i="21"/>
  <c r="BY114" i="21" s="1"/>
  <c r="BX50" i="21"/>
  <c r="BY50" i="21" s="1"/>
  <c r="CD94" i="21"/>
  <c r="CE94" i="21" s="1"/>
  <c r="CD23" i="21"/>
  <c r="CE23" i="21" s="1"/>
  <c r="CD290" i="21"/>
  <c r="CE290" i="21" s="1"/>
  <c r="CD380" i="21"/>
  <c r="CE380" i="21" s="1"/>
  <c r="CA55" i="21"/>
  <c r="CB55" i="21" s="1"/>
  <c r="CD113" i="21"/>
  <c r="CE113" i="21" s="1"/>
  <c r="BU259" i="21"/>
  <c r="BV259" i="21" s="1"/>
  <c r="CD285" i="21"/>
  <c r="CE285" i="21" s="1"/>
  <c r="BU83" i="21"/>
  <c r="BV83" i="21" s="1"/>
  <c r="BX84" i="21"/>
  <c r="BY84" i="21" s="1"/>
  <c r="CA18" i="21"/>
  <c r="CB18" i="21" s="1"/>
  <c r="CD253" i="21"/>
  <c r="CE253" i="21" s="1"/>
  <c r="CA194" i="21"/>
  <c r="CB194" i="21" s="1"/>
  <c r="BU291" i="21"/>
  <c r="BV291" i="21" s="1"/>
  <c r="BU128" i="21"/>
  <c r="BV128" i="21" s="1"/>
  <c r="CA19" i="21"/>
  <c r="CB19" i="21" s="1"/>
  <c r="CA287" i="21"/>
  <c r="CB287" i="21" s="1"/>
  <c r="BX154" i="21"/>
  <c r="BY154" i="21" s="1"/>
  <c r="BU118" i="21"/>
  <c r="BV118" i="21" s="1"/>
  <c r="BX244" i="21"/>
  <c r="BY244" i="21" s="1"/>
  <c r="BU53" i="21"/>
  <c r="BV53" i="21" s="1"/>
  <c r="BU316" i="21"/>
  <c r="BV316" i="21" s="1"/>
  <c r="CA126" i="21"/>
  <c r="CB126" i="21" s="1"/>
  <c r="CD18" i="21"/>
  <c r="CE18" i="21" s="1"/>
  <c r="CA129" i="21"/>
  <c r="CB129" i="21" s="1"/>
  <c r="CD28" i="21"/>
  <c r="CE28" i="21" s="1"/>
  <c r="BU212" i="21"/>
  <c r="BV212" i="21" s="1"/>
  <c r="BX281" i="21"/>
  <c r="BY281" i="21" s="1"/>
  <c r="CD252" i="21"/>
  <c r="CE252" i="21" s="1"/>
  <c r="CD352" i="21"/>
  <c r="CE352" i="21" s="1"/>
  <c r="CD210" i="21"/>
  <c r="CE210" i="21" s="1"/>
  <c r="CA391" i="21"/>
  <c r="CB391" i="21" s="1"/>
  <c r="CA159" i="21"/>
  <c r="CB159" i="21" s="1"/>
  <c r="BX78" i="21"/>
  <c r="BY78" i="21" s="1"/>
  <c r="CD53" i="21"/>
  <c r="CE53" i="21" s="1"/>
  <c r="BU93" i="21"/>
  <c r="BV93" i="21" s="1"/>
  <c r="BX27" i="21"/>
  <c r="BY27" i="21" s="1"/>
  <c r="BU258" i="21"/>
  <c r="BV258" i="21" s="1"/>
  <c r="BX126" i="21"/>
  <c r="BY126" i="21" s="1"/>
  <c r="CA192" i="21"/>
  <c r="CB192" i="21" s="1"/>
  <c r="CA360" i="21"/>
  <c r="CB360" i="21" s="1"/>
  <c r="BX325" i="21"/>
  <c r="BY325" i="21" s="1"/>
  <c r="CA12" i="21"/>
  <c r="CB12" i="21" s="1"/>
  <c r="CA314" i="21"/>
  <c r="CB314" i="21" s="1"/>
  <c r="BU85" i="21"/>
  <c r="BV85" i="21" s="1"/>
  <c r="BX391" i="21"/>
  <c r="BY391" i="21" s="1"/>
  <c r="CD81" i="21"/>
  <c r="CE81" i="21" s="1"/>
  <c r="CD112" i="21"/>
  <c r="CE112" i="21" s="1"/>
  <c r="BX13" i="21"/>
  <c r="BY13" i="21" s="1"/>
  <c r="CA90" i="21"/>
  <c r="CB90" i="21" s="1"/>
  <c r="BU46" i="21"/>
  <c r="BV46" i="21" s="1"/>
  <c r="CD63" i="21"/>
  <c r="CE63" i="21" s="1"/>
  <c r="BU87" i="21"/>
  <c r="BV87" i="21" s="1"/>
  <c r="CD16" i="21"/>
  <c r="CE16" i="21" s="1"/>
  <c r="CD183" i="21"/>
  <c r="CE183" i="21" s="1"/>
  <c r="CD159" i="21"/>
  <c r="CE159" i="21" s="1"/>
  <c r="BX48" i="21"/>
  <c r="BY48" i="21" s="1"/>
  <c r="CA123" i="21"/>
  <c r="CB123" i="21" s="1"/>
  <c r="CA22" i="21"/>
  <c r="CB22" i="21" s="1"/>
  <c r="CD88" i="21"/>
  <c r="CE88" i="21" s="1"/>
  <c r="BX287" i="21"/>
  <c r="BY287" i="21" s="1"/>
  <c r="CD61" i="21"/>
  <c r="CE61" i="21" s="1"/>
  <c r="CD356" i="21"/>
  <c r="CE356" i="21" s="1"/>
  <c r="CA30" i="21"/>
  <c r="CB30" i="21" s="1"/>
  <c r="BU113" i="21"/>
  <c r="BV113" i="21" s="1"/>
  <c r="BX218" i="21"/>
  <c r="BY218" i="21" s="1"/>
  <c r="BU380" i="21"/>
  <c r="BV380" i="21" s="1"/>
  <c r="CD111" i="21"/>
  <c r="CE111" i="21" s="1"/>
  <c r="CA351" i="21"/>
  <c r="CB351" i="21" s="1"/>
  <c r="CD62" i="21"/>
  <c r="CE62" i="21" s="1"/>
  <c r="CA122" i="21"/>
  <c r="CB122" i="21" s="1"/>
  <c r="BX115" i="21"/>
  <c r="BY115" i="21" s="1"/>
  <c r="CD26" i="21"/>
  <c r="CE26" i="21" s="1"/>
  <c r="BU182" i="21"/>
  <c r="BV182" i="21" s="1"/>
  <c r="CA120" i="21"/>
  <c r="CB120" i="21" s="1"/>
  <c r="BU55" i="21"/>
  <c r="BV55" i="21" s="1"/>
  <c r="BX291" i="21"/>
  <c r="BY291" i="21" s="1"/>
  <c r="CA17" i="21"/>
  <c r="CB17" i="21" s="1"/>
  <c r="BU313" i="21"/>
  <c r="BV313" i="21" s="1"/>
  <c r="BX392" i="21"/>
  <c r="BY392" i="21" s="1"/>
  <c r="CA57" i="21"/>
  <c r="CB57" i="21" s="1"/>
  <c r="BX89" i="21"/>
  <c r="BY89" i="21" s="1"/>
  <c r="BU247" i="21"/>
  <c r="BV247" i="21" s="1"/>
  <c r="CA112" i="21"/>
  <c r="CB112" i="21" s="1"/>
  <c r="BX253" i="21"/>
  <c r="BY253" i="21" s="1"/>
  <c r="CD127" i="21"/>
  <c r="CE127" i="21" s="1"/>
  <c r="BX19" i="21"/>
  <c r="BY19" i="21" s="1"/>
  <c r="BX344" i="21"/>
  <c r="BY344" i="21" s="1"/>
  <c r="BX12" i="21"/>
  <c r="BY12" i="21" s="1"/>
  <c r="BU354" i="21"/>
  <c r="BV354" i="21" s="1"/>
  <c r="CA81" i="21"/>
  <c r="CB81" i="21" s="1"/>
  <c r="CD249" i="21"/>
  <c r="CE249" i="21" s="1"/>
  <c r="CA60" i="21"/>
  <c r="CB60" i="21" s="1"/>
  <c r="BU96" i="21"/>
  <c r="BV96" i="21" s="1"/>
  <c r="CD313" i="21"/>
  <c r="CE313" i="21" s="1"/>
  <c r="BU293" i="21"/>
  <c r="BV293" i="21" s="1"/>
  <c r="CA214" i="21"/>
  <c r="CB214" i="21" s="1"/>
  <c r="CA183" i="21"/>
  <c r="CB183" i="21" s="1"/>
  <c r="CD15" i="21"/>
  <c r="CE15" i="21" s="1"/>
  <c r="BX21" i="21"/>
  <c r="BY21" i="21" s="1"/>
  <c r="CD360" i="21"/>
  <c r="CE360" i="21" s="1"/>
  <c r="BU353" i="21"/>
  <c r="BV353" i="21" s="1"/>
  <c r="CD85" i="21"/>
  <c r="CE85" i="21" s="1"/>
  <c r="BU58" i="21"/>
  <c r="BV58" i="21" s="1"/>
  <c r="CD325" i="21"/>
  <c r="CE325" i="21" s="1"/>
  <c r="BX14" i="21"/>
  <c r="BY14" i="21" s="1"/>
  <c r="CD316" i="21"/>
  <c r="CE316" i="21" s="1"/>
  <c r="BU45" i="21"/>
  <c r="BV45" i="21" s="1"/>
  <c r="BU309" i="21"/>
  <c r="BV309" i="21" s="1"/>
  <c r="CD250" i="21"/>
  <c r="CE250" i="21" s="1"/>
  <c r="CA357" i="21"/>
  <c r="CB357" i="21" s="1"/>
  <c r="BU25" i="21"/>
  <c r="BV25" i="21" s="1"/>
  <c r="BX390" i="21"/>
  <c r="BY390" i="21" s="1"/>
  <c r="BX90" i="21"/>
  <c r="BY90" i="21" s="1"/>
  <c r="CA181" i="21"/>
  <c r="CB181" i="21" s="1"/>
  <c r="BX213" i="21"/>
  <c r="BY213" i="21" s="1"/>
  <c r="BX28" i="21"/>
  <c r="BY28" i="21" s="1"/>
  <c r="CD246" i="21"/>
  <c r="CE246" i="21" s="1"/>
  <c r="BU348" i="21"/>
  <c r="BV348" i="21" s="1"/>
  <c r="CA344" i="21"/>
  <c r="CB344" i="21" s="1"/>
  <c r="BU124" i="21"/>
  <c r="BV124" i="21" s="1"/>
  <c r="BU19" i="21"/>
  <c r="BV19" i="21" s="1"/>
  <c r="CD257" i="21"/>
  <c r="CE257" i="21" s="1"/>
  <c r="BU388" i="21"/>
  <c r="BV388" i="21" s="1"/>
  <c r="BX111" i="21"/>
  <c r="BY111" i="21" s="1"/>
  <c r="BU117" i="21"/>
  <c r="BV117" i="21" s="1"/>
  <c r="CD219" i="21"/>
  <c r="CE219" i="21" s="1"/>
  <c r="BX289" i="21"/>
  <c r="BY289" i="21" s="1"/>
  <c r="BX293" i="21"/>
  <c r="BY293" i="21" s="1"/>
  <c r="CD93" i="21"/>
  <c r="CE93" i="21" s="1"/>
  <c r="CA25" i="21"/>
  <c r="CB25" i="21" s="1"/>
  <c r="BX279" i="21"/>
  <c r="BY279" i="21" s="1"/>
  <c r="CA349" i="21"/>
  <c r="CB349" i="21" s="1"/>
  <c r="BX376" i="21"/>
  <c r="BY376" i="21" s="1"/>
  <c r="CD317" i="21"/>
  <c r="CE317" i="21" s="1"/>
  <c r="BU18" i="21"/>
  <c r="BV18" i="21" s="1"/>
  <c r="BX123" i="21"/>
  <c r="BY123" i="21" s="1"/>
  <c r="BU189" i="21"/>
  <c r="BV189" i="21" s="1"/>
  <c r="BX214" i="21"/>
  <c r="BY214" i="21" s="1"/>
  <c r="CA128" i="21"/>
  <c r="CB128" i="21" s="1"/>
  <c r="BU389" i="21"/>
  <c r="BV389" i="21" s="1"/>
  <c r="CD344" i="21"/>
  <c r="CE344" i="21" s="1"/>
  <c r="CA54" i="21"/>
  <c r="CB54" i="21" s="1"/>
  <c r="BU283" i="21"/>
  <c r="BV283" i="21" s="1"/>
  <c r="BU23" i="21"/>
  <c r="BV23" i="21" s="1"/>
  <c r="CD151" i="21"/>
  <c r="CE151" i="21" s="1"/>
  <c r="CD182" i="21"/>
  <c r="CE182" i="21" s="1"/>
  <c r="BX309" i="21"/>
  <c r="BY309" i="21" s="1"/>
  <c r="BX184" i="21"/>
  <c r="BY184" i="21" s="1"/>
  <c r="CA20" i="21"/>
  <c r="CB20" i="21" s="1"/>
  <c r="BZ361" i="21"/>
  <c r="BV285" i="21"/>
  <c r="CC196" i="21"/>
  <c r="CC229" i="21"/>
  <c r="BT64" i="21"/>
  <c r="BT130" i="21"/>
  <c r="BV255" i="21"/>
  <c r="CC295" i="21"/>
  <c r="CB16" i="21"/>
  <c r="CB315" i="21"/>
  <c r="BY79" i="21"/>
  <c r="CC97" i="21"/>
  <c r="CE226" i="21"/>
  <c r="BV153" i="21"/>
  <c r="CE389" i="21"/>
  <c r="BY155" i="21"/>
  <c r="CE258" i="21"/>
  <c r="BW361" i="21"/>
  <c r="BY342" i="21"/>
  <c r="CC262" i="21"/>
  <c r="CC394" i="21"/>
  <c r="BY219" i="21"/>
  <c r="BV149" i="21"/>
  <c r="BY346" i="21"/>
  <c r="BZ229" i="21"/>
  <c r="BT163" i="21"/>
  <c r="BY360" i="21"/>
  <c r="CE156" i="21"/>
  <c r="CB319" i="21"/>
  <c r="CB190" i="21"/>
  <c r="BZ130" i="21"/>
  <c r="BW295" i="21"/>
  <c r="BZ163" i="21"/>
  <c r="BZ262" i="21"/>
  <c r="BV156" i="21"/>
  <c r="CB226" i="21"/>
  <c r="CB259" i="21"/>
  <c r="CC130" i="21"/>
  <c r="BY290" i="21"/>
  <c r="BV186" i="21"/>
  <c r="CE24" i="21"/>
  <c r="BV15" i="21"/>
  <c r="BW130" i="21"/>
  <c r="BV252" i="21"/>
  <c r="BV127" i="21"/>
  <c r="BV318" i="21"/>
  <c r="BV322" i="21"/>
  <c r="CB320" i="21"/>
  <c r="CB345" i="21"/>
  <c r="BZ196" i="21"/>
  <c r="BW262" i="21"/>
  <c r="BW196" i="21"/>
  <c r="CB376" i="21"/>
  <c r="CB223" i="21"/>
  <c r="CE350" i="21"/>
  <c r="BW394" i="21"/>
  <c r="BV122" i="21"/>
  <c r="CB317" i="21"/>
  <c r="CB322" i="21"/>
  <c r="CB326" i="21"/>
  <c r="BV224" i="21"/>
  <c r="BV227" i="21"/>
  <c r="CB288" i="21"/>
  <c r="BV226" i="21"/>
  <c r="BT196" i="21"/>
  <c r="CE283" i="21"/>
  <c r="CB24" i="21"/>
  <c r="CE46" i="21"/>
  <c r="CC361" i="21"/>
  <c r="CB46" i="21"/>
  <c r="BV249" i="21"/>
  <c r="BV183" i="21"/>
  <c r="CE343" i="21"/>
  <c r="BV379" i="21"/>
  <c r="CB114" i="21"/>
  <c r="CB184" i="21"/>
  <c r="BY381" i="21"/>
  <c r="CE83" i="21"/>
  <c r="CC328" i="21"/>
  <c r="CE150" i="21"/>
  <c r="BY178" i="21"/>
  <c r="CB381" i="21"/>
  <c r="CB279" i="21"/>
  <c r="BV311" i="21"/>
  <c r="CE49" i="21"/>
  <c r="CB282" i="21"/>
  <c r="BV94" i="21"/>
  <c r="CE145" i="21"/>
  <c r="BY150" i="21"/>
  <c r="CE315" i="21"/>
  <c r="CE82" i="21"/>
  <c r="CE118" i="21"/>
  <c r="BY179" i="21"/>
  <c r="CB63" i="21"/>
  <c r="CB380" i="21"/>
  <c r="BY180" i="21"/>
  <c r="BY377" i="21"/>
  <c r="BV30" i="21"/>
  <c r="BY26" i="21"/>
  <c r="BY283" i="21"/>
  <c r="CE184" i="21"/>
  <c r="BV148" i="21"/>
  <c r="CB377" i="21"/>
  <c r="BY379" i="21"/>
  <c r="BY314" i="21"/>
  <c r="BV22" i="21"/>
  <c r="CB150" i="21"/>
  <c r="CB212" i="21"/>
  <c r="BV248" i="21"/>
  <c r="CE244" i="21"/>
  <c r="BY182" i="21"/>
  <c r="BY211" i="21"/>
  <c r="BV51" i="21"/>
  <c r="BY310" i="21"/>
  <c r="BY88" i="21"/>
  <c r="CB248" i="21"/>
  <c r="BV48" i="21"/>
  <c r="BF16" i="21" l="1"/>
  <c r="BE16" i="21" s="1"/>
  <c r="BC16" i="21" s="1"/>
  <c r="BF183" i="21"/>
  <c r="BD183" i="21" s="1"/>
  <c r="BF315" i="21"/>
  <c r="BF348" i="21"/>
  <c r="BF381" i="21"/>
  <c r="BF19" i="21"/>
  <c r="BE19" i="21" s="1"/>
  <c r="BC19" i="21" s="1"/>
  <c r="E432" i="21" s="1"/>
  <c r="BF349" i="21"/>
  <c r="BD349" i="21" s="1"/>
  <c r="BF282" i="21"/>
  <c r="BE282" i="21" s="1"/>
  <c r="BC282" i="21" s="1"/>
  <c r="E559" i="21" s="1"/>
  <c r="BF150" i="21"/>
  <c r="BD150" i="21" s="1"/>
  <c r="BF382" i="21"/>
  <c r="BF316" i="21"/>
  <c r="BF151" i="21"/>
  <c r="BF249" i="21"/>
  <c r="BF283" i="21"/>
  <c r="BF51" i="21"/>
  <c r="BF250" i="21"/>
  <c r="BF52" i="21"/>
  <c r="BF85" i="21"/>
  <c r="BF117" i="21"/>
  <c r="BF216" i="21"/>
  <c r="BF184" i="21"/>
  <c r="BF84" i="21"/>
  <c r="BF217" i="21"/>
  <c r="BF118" i="21"/>
  <c r="BF18" i="21"/>
  <c r="BE18" i="21" s="1"/>
  <c r="BC18" i="21" s="1"/>
  <c r="E431" i="21" s="1"/>
  <c r="BF346" i="21"/>
  <c r="BE346" i="21" s="1"/>
  <c r="BC346" i="21" s="1"/>
  <c r="E589" i="21" s="1"/>
  <c r="BF17" i="21"/>
  <c r="BE17" i="21" s="1"/>
  <c r="BC17" i="21" s="1"/>
  <c r="E430" i="21" s="1"/>
  <c r="BF46" i="21"/>
  <c r="BE46" i="21" s="1"/>
  <c r="BC46" i="21" s="1"/>
  <c r="E442" i="21" s="1"/>
  <c r="BF82" i="21"/>
  <c r="BD82" i="21" s="1"/>
  <c r="BF280" i="21"/>
  <c r="BD280" i="21" s="1"/>
  <c r="BF248" i="21"/>
  <c r="BE248" i="21" s="1"/>
  <c r="BC248" i="21" s="1"/>
  <c r="E542" i="21" s="1"/>
  <c r="BF314" i="21"/>
  <c r="BE314" i="21" s="1"/>
  <c r="BC314" i="21" s="1"/>
  <c r="E574" i="21" s="1"/>
  <c r="BF49" i="21"/>
  <c r="BF313" i="21"/>
  <c r="BF45" i="21"/>
  <c r="BD45" i="21" s="1"/>
  <c r="BF83" i="21"/>
  <c r="BF347" i="21"/>
  <c r="BF215" i="21"/>
  <c r="BF115" i="21"/>
  <c r="BF116" i="21"/>
  <c r="BF214" i="21"/>
  <c r="BF380" i="21"/>
  <c r="BF247" i="21"/>
  <c r="BF50" i="21"/>
  <c r="BF149" i="21"/>
  <c r="BF148" i="21"/>
  <c r="BF281" i="21"/>
  <c r="BF144" i="21"/>
  <c r="BD144" i="21" s="1"/>
  <c r="BF181" i="21"/>
  <c r="BF182" i="21"/>
  <c r="BF379" i="21"/>
  <c r="BF343" i="21"/>
  <c r="BF78" i="21"/>
  <c r="BF178" i="21"/>
  <c r="BF111" i="21"/>
  <c r="BF13" i="21"/>
  <c r="BF177" i="21"/>
  <c r="BF79" i="21"/>
  <c r="BF145" i="21"/>
  <c r="BF112" i="21"/>
  <c r="BF310" i="21"/>
  <c r="BE310" i="21" s="1"/>
  <c r="BC310" i="21" s="1"/>
  <c r="E570" i="21" s="1"/>
  <c r="BY328" i="21"/>
  <c r="BF211" i="21"/>
  <c r="BE211" i="21" s="1"/>
  <c r="BC211" i="21" s="1"/>
  <c r="E522" i="21" s="1"/>
  <c r="BD310" i="21"/>
  <c r="BV361" i="21"/>
  <c r="BF342" i="21"/>
  <c r="BV394" i="21"/>
  <c r="BF375" i="21"/>
  <c r="BD343" i="21"/>
  <c r="BE343" i="21"/>
  <c r="BC343" i="21" s="1"/>
  <c r="E586" i="21" s="1"/>
  <c r="BV97" i="21"/>
  <c r="CB295" i="21"/>
  <c r="BV262" i="21"/>
  <c r="BF243" i="21"/>
  <c r="BV64" i="21"/>
  <c r="CB328" i="21"/>
  <c r="BF277" i="21"/>
  <c r="CE229" i="21"/>
  <c r="CB64" i="21"/>
  <c r="BV130" i="21"/>
  <c r="BV295" i="21"/>
  <c r="BF276" i="21"/>
  <c r="CB229" i="21"/>
  <c r="BF244" i="21"/>
  <c r="CB130" i="21"/>
  <c r="BY262" i="21"/>
  <c r="BY229" i="21"/>
  <c r="CB196" i="21"/>
  <c r="BY394" i="21"/>
  <c r="BV163" i="21"/>
  <c r="BY196" i="21"/>
  <c r="BY361" i="21"/>
  <c r="BY130" i="21"/>
  <c r="BV328" i="21"/>
  <c r="BF309" i="21"/>
  <c r="CE361" i="21"/>
  <c r="CB97" i="21"/>
  <c r="CE262" i="21"/>
  <c r="CB394" i="21"/>
  <c r="CB163" i="21"/>
  <c r="CE130" i="21"/>
  <c r="BV31" i="21"/>
  <c r="D50" i="37" s="1"/>
  <c r="BF376" i="21"/>
  <c r="CE394" i="21"/>
  <c r="BV196" i="21"/>
  <c r="CB31" i="21"/>
  <c r="CE196" i="21"/>
  <c r="BY295" i="21"/>
  <c r="CE295" i="21"/>
  <c r="BY163" i="21"/>
  <c r="CE328" i="21"/>
  <c r="BY97" i="21"/>
  <c r="CE64" i="21"/>
  <c r="CB262" i="21"/>
  <c r="CE97" i="21"/>
  <c r="CB361" i="21"/>
  <c r="BY31" i="21"/>
  <c r="BY64" i="21"/>
  <c r="BV229" i="21"/>
  <c r="BF210" i="21"/>
  <c r="CE31" i="21"/>
  <c r="CE163" i="21"/>
  <c r="BD16" i="21" l="1"/>
  <c r="BE183" i="21"/>
  <c r="BC183" i="21" s="1"/>
  <c r="E511" i="21" s="1"/>
  <c r="O102" i="29" s="1"/>
  <c r="D51" i="37"/>
  <c r="D61" i="37"/>
  <c r="D58" i="37"/>
  <c r="D53" i="37"/>
  <c r="D54" i="37"/>
  <c r="D55" i="37"/>
  <c r="D57" i="37"/>
  <c r="D60" i="37"/>
  <c r="D52" i="37"/>
  <c r="D56" i="37"/>
  <c r="D59" i="37"/>
  <c r="BD19" i="21"/>
  <c r="BD282" i="21"/>
  <c r="BD381" i="21"/>
  <c r="BE381" i="21"/>
  <c r="BC381" i="21" s="1"/>
  <c r="E607" i="21" s="1"/>
  <c r="BE349" i="21"/>
  <c r="BC349" i="21" s="1"/>
  <c r="E592" i="21" s="1"/>
  <c r="O183" i="29" s="1"/>
  <c r="BD348" i="21"/>
  <c r="BE348" i="21"/>
  <c r="BC348" i="21" s="1"/>
  <c r="E591" i="21" s="1"/>
  <c r="BE315" i="21"/>
  <c r="BC315" i="21" s="1"/>
  <c r="E575" i="21" s="1"/>
  <c r="BD315" i="21"/>
  <c r="BD18" i="21"/>
  <c r="BE150" i="21"/>
  <c r="BC150" i="21" s="1"/>
  <c r="E495" i="21" s="1"/>
  <c r="F495" i="21" s="1"/>
  <c r="BE382" i="21"/>
  <c r="BC382" i="21" s="1"/>
  <c r="E608" i="21" s="1"/>
  <c r="BD382" i="21"/>
  <c r="BE316" i="21"/>
  <c r="BC316" i="21" s="1"/>
  <c r="E576" i="21" s="1"/>
  <c r="BD316" i="21"/>
  <c r="BD118" i="21"/>
  <c r="BE118" i="21"/>
  <c r="BC118" i="21" s="1"/>
  <c r="E480" i="21" s="1"/>
  <c r="BD217" i="21"/>
  <c r="BE217" i="21"/>
  <c r="BC217" i="21" s="1"/>
  <c r="E528" i="21" s="1"/>
  <c r="BD52" i="21"/>
  <c r="BE52" i="21"/>
  <c r="BC52" i="21" s="1"/>
  <c r="E448" i="21" s="1"/>
  <c r="BD85" i="21"/>
  <c r="BE85" i="21"/>
  <c r="BC85" i="21" s="1"/>
  <c r="E464" i="21" s="1"/>
  <c r="BD84" i="21"/>
  <c r="BE84" i="21"/>
  <c r="BC84" i="21" s="1"/>
  <c r="E463" i="21" s="1"/>
  <c r="BD250" i="21"/>
  <c r="BE250" i="21"/>
  <c r="BC250" i="21" s="1"/>
  <c r="E544" i="21" s="1"/>
  <c r="BE184" i="21"/>
  <c r="BC184" i="21" s="1"/>
  <c r="E512" i="21" s="1"/>
  <c r="BD184" i="21"/>
  <c r="BD51" i="21"/>
  <c r="BE51" i="21"/>
  <c r="BC51" i="21" s="1"/>
  <c r="E447" i="21" s="1"/>
  <c r="BD249" i="21"/>
  <c r="BE249" i="21"/>
  <c r="BC249" i="21" s="1"/>
  <c r="E543" i="21" s="1"/>
  <c r="O150" i="29"/>
  <c r="K21" i="37"/>
  <c r="F559" i="21"/>
  <c r="BE216" i="21"/>
  <c r="BC216" i="21" s="1"/>
  <c r="E527" i="21" s="1"/>
  <c r="BD216" i="21"/>
  <c r="BD151" i="21"/>
  <c r="BE151" i="21"/>
  <c r="BC151" i="21" s="1"/>
  <c r="E496" i="21" s="1"/>
  <c r="BE283" i="21"/>
  <c r="BC283" i="21" s="1"/>
  <c r="E560" i="21" s="1"/>
  <c r="BD283" i="21"/>
  <c r="BD117" i="21"/>
  <c r="BE117" i="21"/>
  <c r="BC117" i="21" s="1"/>
  <c r="E479" i="21" s="1"/>
  <c r="O23" i="29"/>
  <c r="F432" i="21"/>
  <c r="C22" i="37"/>
  <c r="O22" i="29"/>
  <c r="C21" i="37"/>
  <c r="F431" i="21"/>
  <c r="BD17" i="21"/>
  <c r="BE12" i="21"/>
  <c r="BC12" i="21" s="1"/>
  <c r="E425" i="21" s="1"/>
  <c r="O16" i="29" s="1"/>
  <c r="W16" i="29" s="1"/>
  <c r="BD12" i="21"/>
  <c r="BD46" i="21"/>
  <c r="E429" i="21"/>
  <c r="BD346" i="21"/>
  <c r="BE280" i="21"/>
  <c r="BC280" i="21" s="1"/>
  <c r="E557" i="21" s="1"/>
  <c r="O148" i="29" s="1"/>
  <c r="BE144" i="21"/>
  <c r="BC144" i="21" s="1"/>
  <c r="E489" i="21" s="1"/>
  <c r="BD314" i="21"/>
  <c r="BD248" i="21"/>
  <c r="BE82" i="21"/>
  <c r="BC82" i="21" s="1"/>
  <c r="E461" i="21" s="1"/>
  <c r="O52" i="29" s="1"/>
  <c r="BF64" i="21"/>
  <c r="BE45" i="21"/>
  <c r="BC45" i="21" s="1"/>
  <c r="E441" i="21" s="1"/>
  <c r="BF163" i="21"/>
  <c r="BD313" i="21"/>
  <c r="BE313" i="21"/>
  <c r="BC313" i="21" s="1"/>
  <c r="E573" i="21" s="1"/>
  <c r="BE182" i="21"/>
  <c r="BC182" i="21" s="1"/>
  <c r="E510" i="21" s="1"/>
  <c r="BD182" i="21"/>
  <c r="BD149" i="21"/>
  <c r="BE149" i="21"/>
  <c r="BC149" i="21" s="1"/>
  <c r="E494" i="21" s="1"/>
  <c r="BE49" i="21"/>
  <c r="BC49" i="21" s="1"/>
  <c r="E445" i="21" s="1"/>
  <c r="BD49" i="21"/>
  <c r="BD181" i="21"/>
  <c r="BE181" i="21"/>
  <c r="BC181" i="21" s="1"/>
  <c r="E509" i="21" s="1"/>
  <c r="BE50" i="21"/>
  <c r="BC50" i="21" s="1"/>
  <c r="E446" i="21" s="1"/>
  <c r="BD50" i="21"/>
  <c r="BE116" i="21"/>
  <c r="BC116" i="21" s="1"/>
  <c r="E478" i="21" s="1"/>
  <c r="BD116" i="21"/>
  <c r="BE247" i="21"/>
  <c r="BC247" i="21" s="1"/>
  <c r="E541" i="21" s="1"/>
  <c r="BD247" i="21"/>
  <c r="BE115" i="21"/>
  <c r="BC115" i="21" s="1"/>
  <c r="E477" i="21" s="1"/>
  <c r="BD115" i="21"/>
  <c r="F589" i="21"/>
  <c r="O180" i="29"/>
  <c r="M19" i="37"/>
  <c r="BF31" i="21"/>
  <c r="BE281" i="21"/>
  <c r="BC281" i="21" s="1"/>
  <c r="E558" i="21" s="1"/>
  <c r="BD281" i="21"/>
  <c r="BE380" i="21"/>
  <c r="BC380" i="21" s="1"/>
  <c r="E606" i="21" s="1"/>
  <c r="BD380" i="21"/>
  <c r="BD215" i="21"/>
  <c r="BE215" i="21"/>
  <c r="BC215" i="21" s="1"/>
  <c r="E526" i="21" s="1"/>
  <c r="F574" i="21"/>
  <c r="O165" i="29"/>
  <c r="L20" i="37"/>
  <c r="BD211" i="21"/>
  <c r="BD148" i="21"/>
  <c r="BE148" i="21"/>
  <c r="BC148" i="21" s="1"/>
  <c r="E493" i="21" s="1"/>
  <c r="BE347" i="21"/>
  <c r="BC347" i="21" s="1"/>
  <c r="E590" i="21" s="1"/>
  <c r="BD347" i="21"/>
  <c r="BE379" i="21"/>
  <c r="BC379" i="21" s="1"/>
  <c r="E605" i="21" s="1"/>
  <c r="BD379" i="21"/>
  <c r="F542" i="21"/>
  <c r="O133" i="29"/>
  <c r="J20" i="37"/>
  <c r="BE83" i="21"/>
  <c r="BC83" i="21" s="1"/>
  <c r="E462" i="21" s="1"/>
  <c r="BD83" i="21"/>
  <c r="BD214" i="21"/>
  <c r="BE214" i="21"/>
  <c r="BC214" i="21" s="1"/>
  <c r="E525" i="21" s="1"/>
  <c r="O21" i="29"/>
  <c r="F430" i="21"/>
  <c r="C20" i="37"/>
  <c r="BD178" i="21"/>
  <c r="BE178" i="21"/>
  <c r="BC178" i="21" s="1"/>
  <c r="E506" i="21" s="1"/>
  <c r="BE78" i="21"/>
  <c r="BD78" i="21"/>
  <c r="BF97" i="21"/>
  <c r="BE112" i="21"/>
  <c r="BC112" i="21" s="1"/>
  <c r="E474" i="21" s="1"/>
  <c r="BD112" i="21"/>
  <c r="BD145" i="21"/>
  <c r="BE145" i="21"/>
  <c r="BC145" i="21" s="1"/>
  <c r="E490" i="21" s="1"/>
  <c r="BD79" i="21"/>
  <c r="BE79" i="21"/>
  <c r="BC79" i="21" s="1"/>
  <c r="E458" i="21" s="1"/>
  <c r="BF196" i="21"/>
  <c r="BE177" i="21"/>
  <c r="BD177" i="21"/>
  <c r="BD13" i="21"/>
  <c r="BE13" i="21"/>
  <c r="BC13" i="21" s="1"/>
  <c r="E426" i="21" s="1"/>
  <c r="BE111" i="21"/>
  <c r="BF130" i="21"/>
  <c r="BD111" i="21"/>
  <c r="O33" i="29"/>
  <c r="D16" i="37"/>
  <c r="F442" i="21"/>
  <c r="BD244" i="21"/>
  <c r="BE244" i="21"/>
  <c r="BC244" i="21" s="1"/>
  <c r="E538" i="21" s="1"/>
  <c r="BD276" i="21"/>
  <c r="BF295" i="21"/>
  <c r="BE276" i="21"/>
  <c r="BF262" i="21"/>
  <c r="BD243" i="21"/>
  <c r="BE243" i="21"/>
  <c r="BF361" i="21"/>
  <c r="BE342" i="21"/>
  <c r="BD342" i="21"/>
  <c r="F522" i="21"/>
  <c r="I16" i="37"/>
  <c r="O113" i="29"/>
  <c r="BD376" i="21"/>
  <c r="BE376" i="21"/>
  <c r="BC376" i="21" s="1"/>
  <c r="E602" i="21" s="1"/>
  <c r="BF328" i="21"/>
  <c r="BD309" i="21"/>
  <c r="BE309" i="21"/>
  <c r="F586" i="21"/>
  <c r="M16" i="37"/>
  <c r="O177" i="29"/>
  <c r="L16" i="37"/>
  <c r="F570" i="21"/>
  <c r="O161" i="29"/>
  <c r="BD375" i="21"/>
  <c r="BF394" i="21"/>
  <c r="BE375" i="21"/>
  <c r="BF229" i="21"/>
  <c r="BD210" i="21"/>
  <c r="BE210" i="21"/>
  <c r="BD277" i="21"/>
  <c r="BE277" i="21"/>
  <c r="BC277" i="21" s="1"/>
  <c r="E554" i="21" s="1"/>
  <c r="H21" i="37" l="1"/>
  <c r="F511" i="21"/>
  <c r="G21" i="37"/>
  <c r="D62" i="37"/>
  <c r="D10" i="38" s="1"/>
  <c r="D14" i="38" s="1"/>
  <c r="D16" i="38" s="1"/>
  <c r="O20" i="29"/>
  <c r="P20" i="29" s="1"/>
  <c r="F429" i="21"/>
  <c r="O86" i="29"/>
  <c r="W86" i="29" s="1"/>
  <c r="X86" i="29" s="1"/>
  <c r="F592" i="21"/>
  <c r="M22" i="37"/>
  <c r="F575" i="21"/>
  <c r="O166" i="29"/>
  <c r="L21" i="37"/>
  <c r="O182" i="29"/>
  <c r="M21" i="37"/>
  <c r="F591" i="21"/>
  <c r="O198" i="29"/>
  <c r="N21" i="37"/>
  <c r="F607" i="21"/>
  <c r="O199" i="29"/>
  <c r="N22" i="37"/>
  <c r="F608" i="21"/>
  <c r="W183" i="29"/>
  <c r="X183" i="29" s="1"/>
  <c r="P183" i="29"/>
  <c r="O167" i="29"/>
  <c r="F576" i="21"/>
  <c r="L22" i="37"/>
  <c r="O70" i="29"/>
  <c r="F479" i="21"/>
  <c r="F21" i="37"/>
  <c r="O38" i="29"/>
  <c r="D21" i="37"/>
  <c r="F447" i="21"/>
  <c r="F464" i="21"/>
  <c r="O55" i="29"/>
  <c r="E22" i="37"/>
  <c r="I21" i="37"/>
  <c r="F527" i="21"/>
  <c r="O118" i="29"/>
  <c r="F448" i="21"/>
  <c r="O39" i="29"/>
  <c r="D22" i="37"/>
  <c r="H22" i="37"/>
  <c r="F512" i="21"/>
  <c r="O103" i="29"/>
  <c r="J22" i="37"/>
  <c r="F544" i="21"/>
  <c r="O135" i="29"/>
  <c r="F528" i="21"/>
  <c r="O119" i="29"/>
  <c r="I22" i="37"/>
  <c r="W150" i="29"/>
  <c r="X150" i="29" s="1"/>
  <c r="P150" i="29"/>
  <c r="O151" i="29"/>
  <c r="F560" i="21"/>
  <c r="K22" i="37"/>
  <c r="J21" i="37"/>
  <c r="O134" i="29"/>
  <c r="F543" i="21"/>
  <c r="E21" i="37"/>
  <c r="O54" i="29"/>
  <c r="E22" i="29" s="1"/>
  <c r="I22" i="29" s="1"/>
  <c r="F463" i="21"/>
  <c r="F480" i="21"/>
  <c r="O71" i="29"/>
  <c r="F22" i="37"/>
  <c r="W102" i="29"/>
  <c r="X102" i="29" s="1"/>
  <c r="P102" i="29"/>
  <c r="F496" i="21"/>
  <c r="O87" i="29"/>
  <c r="G22" i="37"/>
  <c r="W23" i="29"/>
  <c r="X23" i="29" s="1"/>
  <c r="P23" i="29"/>
  <c r="W22" i="29"/>
  <c r="X22" i="29" s="1"/>
  <c r="P22" i="29"/>
  <c r="F557" i="21"/>
  <c r="E19" i="37"/>
  <c r="C19" i="37"/>
  <c r="F461" i="21"/>
  <c r="K19" i="37"/>
  <c r="BE64" i="21"/>
  <c r="BE31" i="21"/>
  <c r="F525" i="21"/>
  <c r="O116" i="29"/>
  <c r="I19" i="37"/>
  <c r="O100" i="29"/>
  <c r="H19" i="37"/>
  <c r="F509" i="21"/>
  <c r="W52" i="29"/>
  <c r="X52" i="29" s="1"/>
  <c r="P52" i="29"/>
  <c r="F558" i="21"/>
  <c r="O149" i="29"/>
  <c r="K20" i="37"/>
  <c r="O132" i="29"/>
  <c r="J19" i="37"/>
  <c r="F541" i="21"/>
  <c r="F606" i="21"/>
  <c r="O197" i="29"/>
  <c r="N20" i="37"/>
  <c r="W165" i="29"/>
  <c r="X165" i="29" s="1"/>
  <c r="P165" i="29"/>
  <c r="F445" i="21"/>
  <c r="O36" i="29"/>
  <c r="D19" i="37"/>
  <c r="W21" i="29"/>
  <c r="X21" i="29" s="1"/>
  <c r="P21" i="29"/>
  <c r="O164" i="29"/>
  <c r="L19" i="37"/>
  <c r="F573" i="21"/>
  <c r="O53" i="29"/>
  <c r="E20" i="37"/>
  <c r="F462" i="21"/>
  <c r="O196" i="29"/>
  <c r="N19" i="37"/>
  <c r="F605" i="21"/>
  <c r="O85" i="29"/>
  <c r="G20" i="37"/>
  <c r="F494" i="21"/>
  <c r="W20" i="29"/>
  <c r="X20" i="29" s="1"/>
  <c r="E20" i="29"/>
  <c r="I20" i="29" s="1"/>
  <c r="O68" i="29"/>
  <c r="F477" i="21"/>
  <c r="F19" i="37"/>
  <c r="O117" i="29"/>
  <c r="F526" i="21"/>
  <c r="I20" i="37"/>
  <c r="W180" i="29"/>
  <c r="X180" i="29" s="1"/>
  <c r="P180" i="29"/>
  <c r="F478" i="21"/>
  <c r="O69" i="29"/>
  <c r="F20" i="37"/>
  <c r="BE163" i="21"/>
  <c r="W133" i="29"/>
  <c r="X133" i="29" s="1"/>
  <c r="P133" i="29"/>
  <c r="O181" i="29"/>
  <c r="M20" i="37"/>
  <c r="F590" i="21"/>
  <c r="W148" i="29"/>
  <c r="X148" i="29" s="1"/>
  <c r="P148" i="29"/>
  <c r="O84" i="29"/>
  <c r="G19" i="37"/>
  <c r="F493" i="21"/>
  <c r="F446" i="21"/>
  <c r="O37" i="29"/>
  <c r="E21" i="29" s="1"/>
  <c r="I21" i="29" s="1"/>
  <c r="D20" i="37"/>
  <c r="F510" i="21"/>
  <c r="O101" i="29"/>
  <c r="H20" i="37"/>
  <c r="BC111" i="21"/>
  <c r="E473" i="21" s="1"/>
  <c r="BE130" i="21"/>
  <c r="O32" i="29"/>
  <c r="D15" i="37"/>
  <c r="F441" i="21"/>
  <c r="F474" i="21"/>
  <c r="O65" i="29"/>
  <c r="F16" i="37"/>
  <c r="O49" i="29"/>
  <c r="E16" i="37"/>
  <c r="F458" i="21"/>
  <c r="O17" i="29"/>
  <c r="E17" i="29" s="1"/>
  <c r="I17" i="29" s="1"/>
  <c r="C16" i="37"/>
  <c r="F426" i="21"/>
  <c r="F490" i="21"/>
  <c r="O81" i="29"/>
  <c r="G16" i="37"/>
  <c r="BE97" i="21"/>
  <c r="BC78" i="21"/>
  <c r="E457" i="21" s="1"/>
  <c r="F425" i="21"/>
  <c r="C15" i="37"/>
  <c r="W33" i="29"/>
  <c r="X33" i="29" s="1"/>
  <c r="P33" i="29"/>
  <c r="H16" i="37"/>
  <c r="F506" i="21"/>
  <c r="O97" i="29"/>
  <c r="BC177" i="21"/>
  <c r="E505" i="21" s="1"/>
  <c r="BE196" i="21"/>
  <c r="F489" i="21"/>
  <c r="O80" i="29"/>
  <c r="G15" i="37"/>
  <c r="K16" i="37"/>
  <c r="F554" i="21"/>
  <c r="O145" i="29"/>
  <c r="N16" i="37"/>
  <c r="F602" i="21"/>
  <c r="O193" i="29"/>
  <c r="BE229" i="21"/>
  <c r="BC210" i="21"/>
  <c r="E521" i="21" s="1"/>
  <c r="BE262" i="21"/>
  <c r="BC243" i="21"/>
  <c r="E537" i="21" s="1"/>
  <c r="P177" i="29"/>
  <c r="W177" i="29"/>
  <c r="X177" i="29" s="1"/>
  <c r="BE295" i="21"/>
  <c r="BC276" i="21"/>
  <c r="E553" i="21" s="1"/>
  <c r="BE328" i="21"/>
  <c r="BC309" i="21"/>
  <c r="E569" i="21" s="1"/>
  <c r="P113" i="29"/>
  <c r="W113" i="29"/>
  <c r="X113" i="29" s="1"/>
  <c r="BE394" i="21"/>
  <c r="BC375" i="21"/>
  <c r="E601" i="21" s="1"/>
  <c r="BE361" i="21"/>
  <c r="BC342" i="21"/>
  <c r="E585" i="21" s="1"/>
  <c r="O129" i="29"/>
  <c r="F538" i="21"/>
  <c r="J16" i="37"/>
  <c r="P161" i="29"/>
  <c r="W161" i="29"/>
  <c r="X161" i="29" s="1"/>
  <c r="E7" i="38" l="1"/>
  <c r="E18" i="32"/>
  <c r="E10" i="38"/>
  <c r="F10" i="38" s="1"/>
  <c r="D13" i="32"/>
  <c r="P86" i="29"/>
  <c r="E23" i="29"/>
  <c r="I23" i="29" s="1"/>
  <c r="W198" i="29"/>
  <c r="X198" i="29" s="1"/>
  <c r="P198" i="29"/>
  <c r="W182" i="29"/>
  <c r="X182" i="29" s="1"/>
  <c r="P182" i="29"/>
  <c r="W166" i="29"/>
  <c r="X166" i="29" s="1"/>
  <c r="P166" i="29"/>
  <c r="W199" i="29"/>
  <c r="X199" i="29" s="1"/>
  <c r="P199" i="29"/>
  <c r="W167" i="29"/>
  <c r="X167" i="29" s="1"/>
  <c r="P167" i="29"/>
  <c r="W134" i="29"/>
  <c r="X134" i="29" s="1"/>
  <c r="P134" i="29"/>
  <c r="W119" i="29"/>
  <c r="X119" i="29" s="1"/>
  <c r="P119" i="29"/>
  <c r="W70" i="29"/>
  <c r="X70" i="29" s="1"/>
  <c r="P70" i="29"/>
  <c r="W55" i="29"/>
  <c r="X55" i="29" s="1"/>
  <c r="P55" i="29"/>
  <c r="W71" i="29"/>
  <c r="X71" i="29" s="1"/>
  <c r="P71" i="29"/>
  <c r="W135" i="29"/>
  <c r="X135" i="29" s="1"/>
  <c r="P135" i="29"/>
  <c r="W39" i="29"/>
  <c r="X39" i="29" s="1"/>
  <c r="P39" i="29"/>
  <c r="W151" i="29"/>
  <c r="X151" i="29" s="1"/>
  <c r="P151" i="29"/>
  <c r="W87" i="29"/>
  <c r="X87" i="29" s="1"/>
  <c r="P87" i="29"/>
  <c r="W54" i="29"/>
  <c r="X54" i="29" s="1"/>
  <c r="P54" i="29"/>
  <c r="W118" i="29"/>
  <c r="X118" i="29" s="1"/>
  <c r="P118" i="29"/>
  <c r="W38" i="29"/>
  <c r="X38" i="29" s="1"/>
  <c r="P38" i="29"/>
  <c r="W103" i="29"/>
  <c r="X103" i="29" s="1"/>
  <c r="P103" i="29"/>
  <c r="W196" i="29"/>
  <c r="X196" i="29" s="1"/>
  <c r="P196" i="29"/>
  <c r="W37" i="29"/>
  <c r="X37" i="29" s="1"/>
  <c r="P37" i="29"/>
  <c r="W197" i="29"/>
  <c r="X197" i="29" s="1"/>
  <c r="P197" i="29"/>
  <c r="W181" i="29"/>
  <c r="X181" i="29" s="1"/>
  <c r="P181" i="29"/>
  <c r="W53" i="29"/>
  <c r="X53" i="29" s="1"/>
  <c r="P53" i="29"/>
  <c r="W36" i="29"/>
  <c r="X36" i="29" s="1"/>
  <c r="P36" i="29"/>
  <c r="W84" i="29"/>
  <c r="X84" i="29" s="1"/>
  <c r="P84" i="29"/>
  <c r="W117" i="29"/>
  <c r="X117" i="29" s="1"/>
  <c r="P117" i="29"/>
  <c r="W132" i="29"/>
  <c r="X132" i="29" s="1"/>
  <c r="P132" i="29"/>
  <c r="W100" i="29"/>
  <c r="X100" i="29" s="1"/>
  <c r="P100" i="29"/>
  <c r="G609" i="21"/>
  <c r="W101" i="29"/>
  <c r="X101" i="29" s="1"/>
  <c r="P101" i="29"/>
  <c r="W85" i="29"/>
  <c r="X85" i="29" s="1"/>
  <c r="P85" i="29"/>
  <c r="W69" i="29"/>
  <c r="X69" i="29" s="1"/>
  <c r="P69" i="29"/>
  <c r="W164" i="29"/>
  <c r="X164" i="29" s="1"/>
  <c r="P164" i="29"/>
  <c r="W149" i="29"/>
  <c r="X149" i="29" s="1"/>
  <c r="P149" i="29"/>
  <c r="W116" i="29"/>
  <c r="X116" i="29" s="1"/>
  <c r="P116" i="29"/>
  <c r="W68" i="29"/>
  <c r="X68" i="29" s="1"/>
  <c r="P68" i="29"/>
  <c r="W81" i="29"/>
  <c r="X81" i="29" s="1"/>
  <c r="P81" i="29"/>
  <c r="W80" i="29"/>
  <c r="X80" i="29" s="1"/>
  <c r="P80" i="29"/>
  <c r="W65" i="29"/>
  <c r="X65" i="29" s="1"/>
  <c r="P65" i="29"/>
  <c r="X16" i="29"/>
  <c r="P16" i="29"/>
  <c r="H15" i="37"/>
  <c r="F505" i="21"/>
  <c r="O96" i="29"/>
  <c r="W17" i="29"/>
  <c r="X17" i="29" s="1"/>
  <c r="P17" i="29"/>
  <c r="W97" i="29"/>
  <c r="X97" i="29" s="1"/>
  <c r="P97" i="29"/>
  <c r="O48" i="29"/>
  <c r="F457" i="21"/>
  <c r="E15" i="37"/>
  <c r="W32" i="29"/>
  <c r="X32" i="29" s="1"/>
  <c r="P32" i="29"/>
  <c r="W49" i="29"/>
  <c r="X49" i="29" s="1"/>
  <c r="P49" i="29"/>
  <c r="F473" i="21"/>
  <c r="F15" i="37"/>
  <c r="O64" i="29"/>
  <c r="F569" i="21"/>
  <c r="L15" i="37"/>
  <c r="O160" i="29"/>
  <c r="K15" i="37"/>
  <c r="F553" i="21"/>
  <c r="O144" i="29"/>
  <c r="W193" i="29"/>
  <c r="X193" i="29" s="1"/>
  <c r="P193" i="29"/>
  <c r="I15" i="37"/>
  <c r="F521" i="21"/>
  <c r="O112" i="29"/>
  <c r="W129" i="29"/>
  <c r="X129" i="29" s="1"/>
  <c r="P129" i="29"/>
  <c r="M15" i="37"/>
  <c r="F585" i="21"/>
  <c r="O176" i="29"/>
  <c r="N15" i="37"/>
  <c r="F601" i="21"/>
  <c r="O192" i="29"/>
  <c r="P145" i="29"/>
  <c r="W145" i="29"/>
  <c r="X145" i="29" s="1"/>
  <c r="J15" i="37"/>
  <c r="F537" i="21"/>
  <c r="O128" i="29"/>
  <c r="E14" i="38" l="1"/>
  <c r="E16" i="38" s="1"/>
  <c r="F4" i="38" s="1"/>
  <c r="F18" i="32" s="1"/>
  <c r="D16" i="32"/>
  <c r="G10" i="38"/>
  <c r="F14" i="38"/>
  <c r="F16" i="38" s="1"/>
  <c r="D14" i="32"/>
  <c r="E15" i="32"/>
  <c r="W48" i="29"/>
  <c r="X48" i="29" s="1"/>
  <c r="P48" i="29"/>
  <c r="P96" i="29"/>
  <c r="W96" i="29"/>
  <c r="X96" i="29" s="1"/>
  <c r="W64" i="29"/>
  <c r="X64" i="29" s="1"/>
  <c r="P64" i="29"/>
  <c r="P176" i="29"/>
  <c r="W176" i="29"/>
  <c r="X176" i="29" s="1"/>
  <c r="P128" i="29"/>
  <c r="W128" i="29"/>
  <c r="X128" i="29" s="1"/>
  <c r="P144" i="29"/>
  <c r="W144" i="29"/>
  <c r="X144" i="29" s="1"/>
  <c r="P192" i="29"/>
  <c r="W192" i="29"/>
  <c r="X192" i="29" s="1"/>
  <c r="P160" i="29"/>
  <c r="W160" i="29"/>
  <c r="X160" i="29" s="1"/>
  <c r="P112" i="29"/>
  <c r="P6" i="29" s="1"/>
  <c r="E16" i="29"/>
  <c r="I16" i="29" s="1"/>
  <c r="I6" i="29" s="1"/>
  <c r="C51" i="25" s="1"/>
  <c r="W112" i="29"/>
  <c r="X112" i="29" s="1"/>
  <c r="F609" i="21"/>
  <c r="Z6" i="29" l="1"/>
  <c r="C21" i="25" s="1"/>
  <c r="D21" i="25" s="1"/>
  <c r="G4" i="38"/>
  <c r="G18" i="32" s="1"/>
  <c r="D17" i="32"/>
  <c r="C10" i="13" s="1"/>
  <c r="C9" i="13" s="1"/>
  <c r="C30" i="13"/>
  <c r="E13" i="32"/>
  <c r="E16" i="32"/>
  <c r="H10" i="38"/>
  <c r="G14" i="38"/>
  <c r="G16" i="38" s="1"/>
  <c r="X6" i="29"/>
  <c r="D11" i="32"/>
  <c r="E12" i="32" s="1"/>
  <c r="C13" i="13"/>
  <c r="C12" i="13" s="1"/>
  <c r="D51" i="25"/>
  <c r="H4" i="38" l="1"/>
  <c r="H18" i="32" s="1"/>
  <c r="F7" i="38"/>
  <c r="E17" i="32"/>
  <c r="D10" i="13" s="1"/>
  <c r="I10" i="38"/>
  <c r="H14" i="38"/>
  <c r="H16" i="38" s="1"/>
  <c r="F15" i="32"/>
  <c r="E14" i="32"/>
  <c r="D30" i="13" s="1"/>
  <c r="C20" i="25"/>
  <c r="C12" i="14" s="1"/>
  <c r="D13" i="13"/>
  <c r="D12" i="13" s="1"/>
  <c r="E51" i="25"/>
  <c r="E11" i="32"/>
  <c r="F12" i="32" s="1"/>
  <c r="C13" i="14"/>
  <c r="I4" i="38" l="1"/>
  <c r="I18" i="32" s="1"/>
  <c r="D9" i="13"/>
  <c r="G7" i="38"/>
  <c r="F13" i="32"/>
  <c r="F14" i="32" s="1"/>
  <c r="E30" i="13" s="1"/>
  <c r="F16" i="32"/>
  <c r="J10" i="38"/>
  <c r="I14" i="38"/>
  <c r="I16" i="38" s="1"/>
  <c r="D20" i="25"/>
  <c r="E20" i="25" s="1"/>
  <c r="E12" i="14" s="1"/>
  <c r="C22" i="25"/>
  <c r="C11" i="14"/>
  <c r="E13" i="13"/>
  <c r="E12" i="13" s="1"/>
  <c r="F11" i="32"/>
  <c r="G12" i="32" s="1"/>
  <c r="F51" i="25"/>
  <c r="D13" i="14"/>
  <c r="E21" i="25"/>
  <c r="J4" i="38" l="1"/>
  <c r="J18" i="32" s="1"/>
  <c r="C54" i="14"/>
  <c r="C64" i="14"/>
  <c r="C65" i="14" s="1"/>
  <c r="F17" i="32"/>
  <c r="E10" i="13" s="1"/>
  <c r="E9" i="13" s="1"/>
  <c r="G15" i="32"/>
  <c r="K10" i="38"/>
  <c r="J14" i="38"/>
  <c r="J16" i="38" s="1"/>
  <c r="C14" i="14"/>
  <c r="C55" i="14" s="1"/>
  <c r="F20" i="25"/>
  <c r="G20" i="25" s="1"/>
  <c r="D22" i="25"/>
  <c r="D12" i="14"/>
  <c r="D11" i="14" s="1"/>
  <c r="G51" i="25"/>
  <c r="G11" i="32"/>
  <c r="H12" i="32" s="1"/>
  <c r="F13" i="13"/>
  <c r="F12" i="13" s="1"/>
  <c r="E13" i="14"/>
  <c r="E11" i="14" s="1"/>
  <c r="F21" i="25"/>
  <c r="E22" i="25"/>
  <c r="K4" i="38" l="1"/>
  <c r="K18" i="32" s="1"/>
  <c r="D64" i="14"/>
  <c r="D54" i="14"/>
  <c r="E64" i="14"/>
  <c r="E54" i="14"/>
  <c r="G13" i="32"/>
  <c r="G16" i="32"/>
  <c r="L10" i="38"/>
  <c r="K14" i="38"/>
  <c r="K16" i="38" s="1"/>
  <c r="L4" i="38" s="1"/>
  <c r="L18" i="32" s="1"/>
  <c r="C36" i="14"/>
  <c r="C40" i="14" s="1"/>
  <c r="C59" i="14" s="1"/>
  <c r="E14" i="14"/>
  <c r="D14" i="14"/>
  <c r="D55" i="14" s="1"/>
  <c r="F12" i="14"/>
  <c r="F22" i="25"/>
  <c r="H20" i="25"/>
  <c r="G12" i="14"/>
  <c r="F13" i="14"/>
  <c r="G21" i="25"/>
  <c r="G22" i="25" s="1"/>
  <c r="H11" i="32"/>
  <c r="I12" i="32" s="1"/>
  <c r="H51" i="25"/>
  <c r="G13" i="13"/>
  <c r="G12" i="13" s="1"/>
  <c r="E55" i="14" l="1"/>
  <c r="E36" i="14"/>
  <c r="G17" i="32"/>
  <c r="H7" i="38"/>
  <c r="G14" i="32"/>
  <c r="F30" i="13" s="1"/>
  <c r="H15" i="32"/>
  <c r="M10" i="38"/>
  <c r="M14" i="38" s="1"/>
  <c r="M16" i="38" s="1"/>
  <c r="L14" i="38"/>
  <c r="L16" i="38" s="1"/>
  <c r="M4" i="38" s="1"/>
  <c r="M18" i="32" s="1"/>
  <c r="D4" i="34"/>
  <c r="D5" i="34" s="1"/>
  <c r="C41" i="14"/>
  <c r="D36" i="14"/>
  <c r="F11" i="14"/>
  <c r="I11" i="32"/>
  <c r="J12" i="32" s="1"/>
  <c r="I51" i="25"/>
  <c r="H13" i="13"/>
  <c r="H12" i="13" s="1"/>
  <c r="I20" i="25"/>
  <c r="H12" i="14"/>
  <c r="G13" i="14"/>
  <c r="G11" i="14" s="1"/>
  <c r="H21" i="25"/>
  <c r="F10" i="13" l="1"/>
  <c r="F9" i="13" s="1"/>
  <c r="F64" i="14"/>
  <c r="F54" i="14"/>
  <c r="G64" i="14"/>
  <c r="G54" i="14"/>
  <c r="H16" i="32"/>
  <c r="H13" i="32"/>
  <c r="C42" i="14"/>
  <c r="C60" i="14" s="1"/>
  <c r="F4" i="34"/>
  <c r="F5" i="34" s="1"/>
  <c r="E4" i="34"/>
  <c r="E5" i="34" s="1"/>
  <c r="G14" i="14"/>
  <c r="F14" i="14"/>
  <c r="H13" i="14"/>
  <c r="H11" i="14" s="1"/>
  <c r="I21" i="25"/>
  <c r="J11" i="32"/>
  <c r="K12" i="32" s="1"/>
  <c r="I13" i="13"/>
  <c r="I12" i="13" s="1"/>
  <c r="J51" i="25"/>
  <c r="J20" i="25"/>
  <c r="I12" i="14"/>
  <c r="H22" i="25"/>
  <c r="H64" i="14" l="1"/>
  <c r="H54" i="14"/>
  <c r="F36" i="14"/>
  <c r="G4" i="34" s="1"/>
  <c r="G5" i="34" s="1"/>
  <c r="F55" i="14"/>
  <c r="G36" i="14"/>
  <c r="H4" i="34" s="1"/>
  <c r="H5" i="34" s="1"/>
  <c r="G55" i="14"/>
  <c r="H17" i="32"/>
  <c r="H14" i="32"/>
  <c r="G30" i="13" s="1"/>
  <c r="I15" i="32"/>
  <c r="I7" i="38"/>
  <c r="D6" i="32"/>
  <c r="D5" i="32" s="1"/>
  <c r="C45" i="14"/>
  <c r="C46" i="14" s="1"/>
  <c r="C47" i="14" s="1"/>
  <c r="H14" i="14"/>
  <c r="H55" i="14" s="1"/>
  <c r="I13" i="14"/>
  <c r="I11" i="14" s="1"/>
  <c r="J21" i="25"/>
  <c r="J22" i="25" s="1"/>
  <c r="K11" i="32"/>
  <c r="L12" i="32" s="1"/>
  <c r="J13" i="13"/>
  <c r="J12" i="13" s="1"/>
  <c r="K51" i="25"/>
  <c r="K20" i="25"/>
  <c r="J12" i="14"/>
  <c r="I22" i="25"/>
  <c r="G10" i="13" l="1"/>
  <c r="G9" i="13" s="1"/>
  <c r="I64" i="14"/>
  <c r="I54" i="14"/>
  <c r="I13" i="32"/>
  <c r="I16" i="32"/>
  <c r="D23" i="32"/>
  <c r="D29" i="32"/>
  <c r="C48" i="14"/>
  <c r="C35" i="13" s="1"/>
  <c r="C33" i="13" s="1"/>
  <c r="H36" i="14"/>
  <c r="I14" i="14"/>
  <c r="I55" i="14" s="1"/>
  <c r="K12" i="14"/>
  <c r="L20" i="25"/>
  <c r="L51" i="25"/>
  <c r="K13" i="13"/>
  <c r="K12" i="13" s="1"/>
  <c r="L11" i="32"/>
  <c r="M12" i="32" s="1"/>
  <c r="K21" i="25"/>
  <c r="K22" i="25" s="1"/>
  <c r="J13" i="14"/>
  <c r="J11" i="14" s="1"/>
  <c r="J64" i="14" l="1"/>
  <c r="J54" i="14"/>
  <c r="I17" i="32"/>
  <c r="J7" i="38"/>
  <c r="J15" i="32"/>
  <c r="I14" i="32"/>
  <c r="H30" i="13" s="1"/>
  <c r="D36" i="13"/>
  <c r="I36" i="14"/>
  <c r="J4" i="34" s="1"/>
  <c r="J5" i="34" s="1"/>
  <c r="I4" i="34"/>
  <c r="I5" i="34" s="1"/>
  <c r="J14" i="14"/>
  <c r="M11" i="32"/>
  <c r="L13" i="13"/>
  <c r="L12" i="13" s="1"/>
  <c r="L12" i="14"/>
  <c r="L21" i="25"/>
  <c r="L13" i="14" s="1"/>
  <c r="K13" i="14"/>
  <c r="K11" i="14" s="1"/>
  <c r="H10" i="13" l="1"/>
  <c r="H9" i="13" s="1"/>
  <c r="K64" i="14"/>
  <c r="K54" i="14"/>
  <c r="J36" i="14"/>
  <c r="K4" i="34" s="1"/>
  <c r="K5" i="34" s="1"/>
  <c r="J55" i="14"/>
  <c r="J16" i="32"/>
  <c r="J13" i="32"/>
  <c r="K14" i="14"/>
  <c r="L22" i="25"/>
  <c r="L11" i="14"/>
  <c r="K36" i="14" l="1"/>
  <c r="L4" i="34" s="1"/>
  <c r="L5" i="34" s="1"/>
  <c r="K55" i="14"/>
  <c r="L64" i="14"/>
  <c r="L54" i="14"/>
  <c r="J17" i="32"/>
  <c r="I10" i="13" s="1"/>
  <c r="K7" i="38"/>
  <c r="K15" i="32"/>
  <c r="J14" i="32"/>
  <c r="I30" i="13" s="1"/>
  <c r="L14" i="14"/>
  <c r="I9" i="13" l="1"/>
  <c r="L36" i="14"/>
  <c r="M4" i="34" s="1"/>
  <c r="M5" i="34" s="1"/>
  <c r="L55" i="14"/>
  <c r="K16" i="32"/>
  <c r="K13" i="32"/>
  <c r="K17" i="32" l="1"/>
  <c r="L7" i="38"/>
  <c r="L15" i="32"/>
  <c r="K14" i="32"/>
  <c r="J30" i="13" s="1"/>
  <c r="E13" i="10"/>
  <c r="J10" i="13" l="1"/>
  <c r="J9" i="13" s="1"/>
  <c r="L13" i="32"/>
  <c r="L16" i="32"/>
  <c r="E27" i="32"/>
  <c r="L17" i="32" l="1"/>
  <c r="K10" i="13" s="1"/>
  <c r="L14" i="32"/>
  <c r="K30" i="13" s="1"/>
  <c r="M15" i="32"/>
  <c r="M7" i="38"/>
  <c r="E14" i="10"/>
  <c r="K9" i="13" l="1"/>
  <c r="M16" i="32"/>
  <c r="M13" i="32"/>
  <c r="M14" i="32" s="1"/>
  <c r="L30" i="13" s="1"/>
  <c r="F27" i="32"/>
  <c r="M17" i="32" l="1"/>
  <c r="E15" i="10"/>
  <c r="L10" i="13" l="1"/>
  <c r="L9" i="13" s="1"/>
  <c r="G27" i="32"/>
  <c r="E16" i="10" l="1"/>
  <c r="H27" i="32" l="1"/>
  <c r="E17" i="10" l="1"/>
  <c r="I27" i="32" l="1"/>
  <c r="E18" i="10" l="1"/>
  <c r="J27" i="32" l="1"/>
  <c r="E19" i="10" l="1"/>
  <c r="K27" i="32" l="1"/>
  <c r="E20" i="10" l="1"/>
  <c r="L27" i="32" l="1"/>
  <c r="E21" i="10" l="1"/>
  <c r="M27" i="32" l="1"/>
  <c r="E12" i="10"/>
  <c r="F12" i="10" s="1"/>
  <c r="C12" i="10" l="1"/>
  <c r="D27" i="32"/>
  <c r="D25" i="32" s="1"/>
  <c r="D30" i="32" s="1"/>
  <c r="E32" i="32" s="1"/>
  <c r="C31" i="13"/>
  <c r="F13" i="10"/>
  <c r="D13" i="10"/>
  <c r="C29" i="13"/>
  <c r="C28" i="13" s="1"/>
  <c r="D33" i="32" l="1"/>
  <c r="C8" i="13"/>
  <c r="C7" i="13" s="1"/>
  <c r="C6" i="13" s="1"/>
  <c r="D8" i="34" s="1"/>
  <c r="C13" i="10"/>
  <c r="D38" i="14"/>
  <c r="D37" i="14" s="1"/>
  <c r="D31" i="13"/>
  <c r="D29" i="13" s="1"/>
  <c r="F14" i="10"/>
  <c r="D14" i="10"/>
  <c r="C5" i="13" l="1"/>
  <c r="C39" i="13" s="1"/>
  <c r="E38" i="14"/>
  <c r="E37" i="14" s="1"/>
  <c r="C14" i="10"/>
  <c r="E31" i="13"/>
  <c r="E29" i="13" s="1"/>
  <c r="D15" i="10"/>
  <c r="F15" i="10"/>
  <c r="D58" i="14"/>
  <c r="D65" i="14"/>
  <c r="D40" i="14"/>
  <c r="D41" i="14" l="1"/>
  <c r="D42" i="14" s="1"/>
  <c r="D59" i="14"/>
  <c r="F31" i="13"/>
  <c r="F29" i="13" s="1"/>
  <c r="F16" i="10"/>
  <c r="D16" i="10"/>
  <c r="C15" i="10"/>
  <c r="F38" i="14"/>
  <c r="F37" i="14" s="1"/>
  <c r="E58" i="14"/>
  <c r="E65" i="14"/>
  <c r="E40" i="14"/>
  <c r="D17" i="10" l="1"/>
  <c r="G31" i="13"/>
  <c r="G29" i="13" s="1"/>
  <c r="F17" i="10"/>
  <c r="F58" i="14"/>
  <c r="F65" i="14"/>
  <c r="F40" i="14"/>
  <c r="G38" i="14"/>
  <c r="G37" i="14" s="1"/>
  <c r="C16" i="10"/>
  <c r="E59" i="14"/>
  <c r="E41" i="14"/>
  <c r="E42" i="14" s="1"/>
  <c r="E6" i="32"/>
  <c r="E5" i="32" s="1"/>
  <c r="E23" i="32" s="1"/>
  <c r="D60" i="14"/>
  <c r="D45" i="14"/>
  <c r="D48" i="14" s="1"/>
  <c r="D35" i="13" s="1"/>
  <c r="E36" i="13" l="1"/>
  <c r="D33" i="13"/>
  <c r="D28" i="13" s="1"/>
  <c r="G58" i="14"/>
  <c r="G65" i="14"/>
  <c r="G40" i="14"/>
  <c r="F59" i="14"/>
  <c r="F41" i="14"/>
  <c r="F42" i="14" s="1"/>
  <c r="D46" i="14"/>
  <c r="D47" i="14" s="1"/>
  <c r="E29" i="32"/>
  <c r="E25" i="32" s="1"/>
  <c r="E30" i="32" s="1"/>
  <c r="D8" i="13" s="1"/>
  <c r="F18" i="10"/>
  <c r="H31" i="13"/>
  <c r="H29" i="13" s="1"/>
  <c r="D18" i="10"/>
  <c r="E60" i="14"/>
  <c r="F6" i="32"/>
  <c r="E45" i="14"/>
  <c r="E48" i="14" s="1"/>
  <c r="E35" i="13" s="1"/>
  <c r="H38" i="14"/>
  <c r="H37" i="14" s="1"/>
  <c r="C17" i="10"/>
  <c r="F5" i="32" l="1"/>
  <c r="F36" i="13"/>
  <c r="E33" i="13"/>
  <c r="E28" i="13" s="1"/>
  <c r="F60" i="14"/>
  <c r="G6" i="32"/>
  <c r="F45" i="14"/>
  <c r="I38" i="14"/>
  <c r="I37" i="14" s="1"/>
  <c r="C18" i="10"/>
  <c r="G59" i="14"/>
  <c r="G41" i="14"/>
  <c r="G42" i="14" s="1"/>
  <c r="H58" i="14"/>
  <c r="H65" i="14"/>
  <c r="H40" i="14"/>
  <c r="F19" i="10"/>
  <c r="D19" i="10"/>
  <c r="I31" i="13"/>
  <c r="I29" i="13" s="1"/>
  <c r="F29" i="32"/>
  <c r="F25" i="32" s="1"/>
  <c r="E46" i="14"/>
  <c r="E47" i="14" s="1"/>
  <c r="F32" i="32"/>
  <c r="D7" i="13"/>
  <c r="D6" i="13" s="1"/>
  <c r="E33" i="32"/>
  <c r="I58" i="14" l="1"/>
  <c r="I65" i="14"/>
  <c r="I40" i="14"/>
  <c r="F20" i="10"/>
  <c r="J31" i="13"/>
  <c r="J29" i="13" s="1"/>
  <c r="D20" i="10"/>
  <c r="F48" i="14"/>
  <c r="F35" i="13" s="1"/>
  <c r="G29" i="32"/>
  <c r="G25" i="32" s="1"/>
  <c r="F46" i="14"/>
  <c r="F47" i="14" s="1"/>
  <c r="H41" i="14"/>
  <c r="H42" i="14" s="1"/>
  <c r="H59" i="14"/>
  <c r="G5" i="32"/>
  <c r="G23" i="32" s="1"/>
  <c r="G60" i="14"/>
  <c r="H6" i="32"/>
  <c r="G45" i="14"/>
  <c r="F30" i="32"/>
  <c r="F33" i="32" s="1"/>
  <c r="D5" i="13"/>
  <c r="D39" i="13" s="1"/>
  <c r="E8" i="34"/>
  <c r="D9" i="34" s="1"/>
  <c r="D11" i="34" s="1"/>
  <c r="J38" i="14"/>
  <c r="J37" i="14" s="1"/>
  <c r="C19" i="10"/>
  <c r="F23" i="32"/>
  <c r="G30" i="32" l="1"/>
  <c r="H32" i="32" s="1"/>
  <c r="G36" i="13"/>
  <c r="F33" i="13"/>
  <c r="F28" i="13" s="1"/>
  <c r="H5" i="32"/>
  <c r="H23" i="32" s="1"/>
  <c r="F21" i="10"/>
  <c r="L31" i="13" s="1"/>
  <c r="L29" i="13" s="1"/>
  <c r="K31" i="13"/>
  <c r="K29" i="13" s="1"/>
  <c r="D21" i="10"/>
  <c r="K38" i="14"/>
  <c r="K37" i="14" s="1"/>
  <c r="C20" i="10"/>
  <c r="I41" i="14"/>
  <c r="I42" i="14" s="1"/>
  <c r="I59" i="14"/>
  <c r="J58" i="14"/>
  <c r="J65" i="14"/>
  <c r="J40" i="14"/>
  <c r="G32" i="32"/>
  <c r="E8" i="13"/>
  <c r="E7" i="13" s="1"/>
  <c r="E6" i="13" s="1"/>
  <c r="H60" i="14"/>
  <c r="H45" i="14"/>
  <c r="I6" i="32"/>
  <c r="I5" i="32" s="1"/>
  <c r="I23" i="32" s="1"/>
  <c r="G48" i="14"/>
  <c r="G35" i="13" s="1"/>
  <c r="H29" i="32"/>
  <c r="H25" i="32" s="1"/>
  <c r="G46" i="14"/>
  <c r="G47" i="14" s="1"/>
  <c r="G33" i="32" l="1"/>
  <c r="I60" i="14"/>
  <c r="J6" i="32"/>
  <c r="J5" i="32" s="1"/>
  <c r="J23" i="32" s="1"/>
  <c r="I45" i="14"/>
  <c r="I48" i="14" s="1"/>
  <c r="I35" i="13" s="1"/>
  <c r="F8" i="34"/>
  <c r="E9" i="34" s="1"/>
  <c r="E11" i="34" s="1"/>
  <c r="E5" i="13"/>
  <c r="E39" i="13" s="1"/>
  <c r="K58" i="14"/>
  <c r="K65" i="14"/>
  <c r="K40" i="14"/>
  <c r="C21" i="10"/>
  <c r="L38" i="14"/>
  <c r="L37" i="14" s="1"/>
  <c r="J41" i="14"/>
  <c r="J42" i="14" s="1"/>
  <c r="J59" i="14"/>
  <c r="F8" i="13"/>
  <c r="H36" i="13"/>
  <c r="G33" i="13"/>
  <c r="G28" i="13" s="1"/>
  <c r="H48" i="14"/>
  <c r="H35" i="13" s="1"/>
  <c r="I29" i="32"/>
  <c r="I25" i="32" s="1"/>
  <c r="I30" i="32" s="1"/>
  <c r="H46" i="14"/>
  <c r="H47" i="14" s="1"/>
  <c r="H30" i="32"/>
  <c r="J60" i="14" l="1"/>
  <c r="J45" i="14"/>
  <c r="K6" i="32"/>
  <c r="K5" i="32" s="1"/>
  <c r="K23" i="32" s="1"/>
  <c r="L58" i="14"/>
  <c r="L65" i="14"/>
  <c r="L40" i="14"/>
  <c r="J29" i="32"/>
  <c r="J25" i="32" s="1"/>
  <c r="J30" i="32" s="1"/>
  <c r="I46" i="14"/>
  <c r="I47" i="14" s="1"/>
  <c r="G8" i="13"/>
  <c r="G7" i="13" s="1"/>
  <c r="G6" i="13" s="1"/>
  <c r="F7" i="13"/>
  <c r="F6" i="13" s="1"/>
  <c r="I32" i="32"/>
  <c r="I33" i="32" s="1"/>
  <c r="H33" i="32"/>
  <c r="J32" i="32"/>
  <c r="H33" i="13"/>
  <c r="H28" i="13" s="1"/>
  <c r="I36" i="13"/>
  <c r="I33" i="13" s="1"/>
  <c r="I28" i="13" s="1"/>
  <c r="K59" i="14"/>
  <c r="K41" i="14"/>
  <c r="K42" i="14" s="1"/>
  <c r="H8" i="13" l="1"/>
  <c r="H7" i="13" s="1"/>
  <c r="H6" i="13" s="1"/>
  <c r="H5" i="13" s="1"/>
  <c r="H39" i="13" s="1"/>
  <c r="G8" i="34"/>
  <c r="F9" i="34" s="1"/>
  <c r="F11" i="34" s="1"/>
  <c r="F5" i="13"/>
  <c r="F39" i="13" s="1"/>
  <c r="J48" i="14"/>
  <c r="J35" i="13" s="1"/>
  <c r="K29" i="32"/>
  <c r="K25" i="32" s="1"/>
  <c r="K30" i="32" s="1"/>
  <c r="J46" i="14"/>
  <c r="J47" i="14" s="1"/>
  <c r="H8" i="34"/>
  <c r="G5" i="13"/>
  <c r="G39" i="13" s="1"/>
  <c r="K60" i="14"/>
  <c r="K45" i="14"/>
  <c r="K48" i="14" s="1"/>
  <c r="K35" i="13" s="1"/>
  <c r="L6" i="32"/>
  <c r="J36" i="13"/>
  <c r="L41" i="14"/>
  <c r="L42" i="14" s="1"/>
  <c r="L59" i="14"/>
  <c r="K32" i="32"/>
  <c r="J33" i="32"/>
  <c r="G9" i="34" l="1"/>
  <c r="G11" i="34" s="1"/>
  <c r="I8" i="13"/>
  <c r="I7" i="13" s="1"/>
  <c r="I6" i="13" s="1"/>
  <c r="I5" i="13" s="1"/>
  <c r="I39" i="13" s="1"/>
  <c r="I8" i="34"/>
  <c r="H9" i="34" s="1"/>
  <c r="H11" i="34" s="1"/>
  <c r="K36" i="13"/>
  <c r="K33" i="13" s="1"/>
  <c r="K28" i="13" s="1"/>
  <c r="J33" i="13"/>
  <c r="J28" i="13" s="1"/>
  <c r="K46" i="14"/>
  <c r="K47" i="14" s="1"/>
  <c r="L29" i="32"/>
  <c r="L25" i="32" s="1"/>
  <c r="L60" i="14"/>
  <c r="L45" i="14"/>
  <c r="M6" i="32"/>
  <c r="M5" i="32" s="1"/>
  <c r="M23" i="32" s="1"/>
  <c r="K33" i="32"/>
  <c r="L32" i="32"/>
  <c r="L5" i="32"/>
  <c r="L23" i="32" s="1"/>
  <c r="J8" i="13" l="1"/>
  <c r="J7" i="13" s="1"/>
  <c r="J6" i="13" s="1"/>
  <c r="K8" i="34" s="1"/>
  <c r="J8" i="34"/>
  <c r="I9" i="34" s="1"/>
  <c r="I11" i="34" s="1"/>
  <c r="L36" i="13"/>
  <c r="C41" i="32"/>
  <c r="E41" i="32"/>
  <c r="D41" i="32"/>
  <c r="L48" i="14"/>
  <c r="L35" i="13" s="1"/>
  <c r="L33" i="13" s="1"/>
  <c r="L28" i="13" s="1"/>
  <c r="L46" i="14"/>
  <c r="L47" i="14" s="1"/>
  <c r="M29" i="32"/>
  <c r="M25" i="32" s="1"/>
  <c r="M30" i="32" s="1"/>
  <c r="L30" i="32"/>
  <c r="J9" i="34" l="1"/>
  <c r="J11" i="34" s="1"/>
  <c r="J5" i="13"/>
  <c r="J39" i="13" s="1"/>
  <c r="M32" i="32"/>
  <c r="M33" i="32" s="1"/>
  <c r="L33" i="32"/>
  <c r="K8" i="13"/>
  <c r="K7" i="13" s="1"/>
  <c r="K6" i="13" s="1"/>
  <c r="D45" i="32"/>
  <c r="C45" i="32"/>
  <c r="E45" i="32"/>
  <c r="K5" i="13" l="1"/>
  <c r="K39" i="13" s="1"/>
  <c r="L8" i="34"/>
  <c r="K9" i="34" s="1"/>
  <c r="K11" i="34" s="1"/>
  <c r="L8" i="13"/>
  <c r="L7" i="13" s="1"/>
  <c r="L6" i="13" s="1"/>
  <c r="M8" i="34" l="1"/>
  <c r="L9" i="34" s="1"/>
  <c r="L5" i="13"/>
  <c r="M9" i="34" l="1"/>
  <c r="M11" i="34" s="1"/>
  <c r="L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TEJADA</author>
    <author>WINDOWS 10</author>
  </authors>
  <commentList>
    <comment ref="AM3" authorId="0" shapeId="0" xr:uid="{9C1C735D-3261-45BF-87C1-65495CEBA762}">
      <text>
        <r>
          <rPr>
            <b/>
            <sz val="9"/>
            <color indexed="81"/>
            <rFont val="Tahoma"/>
            <family val="2"/>
          </rPr>
          <t>TEJADA: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1" shapeId="0" xr:uid="{B6068F22-FDBD-432A-AF5C-F2CC9D890D83}">
      <text>
        <r>
          <rPr>
            <b/>
            <sz val="9"/>
            <color indexed="81"/>
            <rFont val="Tahoma"/>
            <family val="2"/>
          </rPr>
          <t>Máximo 6 meses</t>
        </r>
      </text>
    </comment>
    <comment ref="K14" authorId="1" shapeId="0" xr:uid="{41EC1266-5581-4E0A-9084-1C38592E9571}">
      <text>
        <r>
          <rPr>
            <b/>
            <sz val="9"/>
            <color indexed="81"/>
            <rFont val="Tahoma"/>
            <family val="2"/>
          </rPr>
          <t>No poner 0, poner uno</t>
        </r>
      </text>
    </comment>
    <comment ref="S18" authorId="1" shapeId="0" xr:uid="{7012AC1C-E7BD-4753-8208-9CF2F0D4ADB4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B20" authorId="1" shapeId="0" xr:uid="{ABA1E85E-81DA-41B9-AC78-137D56A60051}">
      <text>
        <r>
          <rPr>
            <b/>
            <sz val="9"/>
            <color indexed="81"/>
            <rFont val="Tahoma"/>
            <family val="2"/>
          </rPr>
          <t>Tributo que se aplica cuando LA empresa dentro de un país paga a una entidad extranjera por la prestación de servicios, regalías, intereses, dividendos u otros conceptos.</t>
        </r>
      </text>
    </comment>
    <comment ref="F21" authorId="1" shapeId="0" xr:uid="{8391DA28-87B0-490F-8043-E5417ED75039}">
      <text>
        <r>
          <rPr>
            <b/>
            <sz val="9"/>
            <color indexed="81"/>
            <rFont val="Tahoma"/>
            <family val="2"/>
          </rPr>
          <t>8% para recidentes en Paraguay y 15% para no residentes</t>
        </r>
      </text>
    </comment>
    <comment ref="G21" authorId="1" shapeId="0" xr:uid="{CAB04D09-E4D1-4C5F-8EB6-054BD9BBFC87}">
      <text>
        <r>
          <rPr>
            <b/>
            <sz val="9"/>
            <color indexed="81"/>
            <rFont val="Tahoma"/>
            <family val="2"/>
          </rPr>
          <t>Solo se paga dividendo si el accionista esta en el extranjero del 12,5%</t>
        </r>
      </text>
    </comment>
    <comment ref="B22" authorId="1" shapeId="0" xr:uid="{3FAA19E6-053E-4DCC-A28B-8D0B82609325}">
      <text>
        <r>
          <rPr>
            <b/>
            <sz val="9"/>
            <color indexed="81"/>
            <rFont val="Tahoma"/>
            <family val="2"/>
          </rPr>
          <t>Una empresa que produce palmito pertenece a la categoría de "Farming/Agriculture" o "Food Processing" 
GLOBAL</t>
        </r>
      </text>
    </comment>
    <comment ref="G22" authorId="1" shapeId="0" xr:uid="{8E3D3AD5-E668-4B65-98A0-9ECC8853BD66}">
      <text>
        <r>
          <rPr>
            <b/>
            <sz val="9"/>
            <color indexed="81"/>
            <rFont val="Tahoma"/>
            <family val="2"/>
          </rPr>
          <t>file:///C:/Users/WINDOWS%2010/Downloads/admin,+Gestor_a+de+la+revista,+4-I&amp;D111-Vargas-WebC.pdf
PAGINA 36</t>
        </r>
      </text>
    </comment>
    <comment ref="B23" authorId="1" shapeId="0" xr:uid="{4E350975-A9AA-4911-B681-C57E41A0CC7A}">
      <text>
        <r>
          <rPr>
            <b/>
            <sz val="9"/>
            <color indexed="81"/>
            <rFont val="Tahoma"/>
            <family val="2"/>
          </rPr>
          <t>Una empresa que produce palmito pertenece a la categoría de "Farming/Agriculture" o "Food Processing"
GLOBAL</t>
        </r>
      </text>
    </comment>
    <comment ref="AN44" authorId="1" shapeId="0" xr:uid="{251B98D4-F1C3-4D12-9B5C-F64DA0948F38}">
      <text>
        <r>
          <rPr>
            <b/>
            <sz val="9"/>
            <color indexed="81"/>
            <rFont val="Tahoma"/>
            <family val="2"/>
          </rPr>
          <t>=23,75/25</t>
        </r>
      </text>
    </comment>
    <comment ref="AN45" authorId="1" shapeId="0" xr:uid="{4342A49B-7E7F-4576-BA1D-28A847CE5895}">
      <text>
        <r>
          <rPr>
            <b/>
            <sz val="9"/>
            <color indexed="81"/>
            <rFont val="Tahoma"/>
            <family val="2"/>
          </rPr>
          <t>=38,46/50</t>
        </r>
      </text>
    </comment>
    <comment ref="AB74" authorId="1" shapeId="0" xr:uid="{DDC98690-351B-4D22-9504-5D39947ED5DD}">
      <text>
        <r>
          <rPr>
            <b/>
            <sz val="9"/>
            <color indexed="81"/>
            <rFont val="Tahoma"/>
            <family val="2"/>
          </rPr>
          <t>PRECIO KILGRAMOS NETOS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10</author>
  </authors>
  <commentList>
    <comment ref="V7" authorId="0" shapeId="0" xr:uid="{92A821C7-A4E3-4A29-940F-628C54BB7ADE}">
      <text>
        <r>
          <rPr>
            <b/>
            <sz val="9"/>
            <color indexed="81"/>
            <rFont val="Tahoma"/>
            <family val="2"/>
          </rPr>
          <t>2 meses</t>
        </r>
      </text>
    </comment>
    <comment ref="W7" authorId="0" shapeId="0" xr:uid="{D7401FAD-550F-43AB-91F4-8D52A4A32A3B}">
      <text>
        <r>
          <rPr>
            <b/>
            <sz val="9"/>
            <color indexed="81"/>
            <rFont val="Tahoma"/>
            <family val="2"/>
          </rPr>
          <t>1 mes</t>
        </r>
      </text>
    </comment>
    <comment ref="X7" authorId="0" shapeId="0" xr:uid="{9CA566BE-DEDC-4750-B6D1-6DB1C379CF27}">
      <text>
        <r>
          <rPr>
            <b/>
            <sz val="9"/>
            <color indexed="81"/>
            <rFont val="Tahoma"/>
            <family val="2"/>
          </rPr>
          <t>2 meses</t>
        </r>
      </text>
    </comment>
    <comment ref="Y7" authorId="0" shapeId="0" xr:uid="{4EE3EEF8-AAF1-4816-A6C1-B20B2118EE63}">
      <text>
        <r>
          <rPr>
            <b/>
            <sz val="9"/>
            <color indexed="81"/>
            <rFont val="Tahoma"/>
            <family val="2"/>
          </rPr>
          <t>14 días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10</author>
  </authors>
  <commentList>
    <comment ref="B7" authorId="0" shapeId="0" xr:uid="{247BC9AF-3755-48BE-B659-76AC40272C8D}">
      <text>
        <r>
          <rPr>
            <b/>
            <sz val="9"/>
            <color indexed="81"/>
            <rFont val="Tahoma"/>
            <family val="2"/>
          </rPr>
          <t>SIEMPRE MANTENERLO ANNUAL, YA QUE EL PROYECTO TIENE PERIODOS ANUALES.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10</author>
  </authors>
  <commentList>
    <comment ref="AW7" authorId="0" shapeId="0" xr:uid="{3F401B12-7C38-4D5B-9AE4-FFABF421B648}">
      <text>
        <r>
          <rPr>
            <b/>
            <sz val="9"/>
            <color indexed="81"/>
            <rFont val="Tahoma"/>
            <family val="2"/>
          </rPr>
          <t>PRODUCCION EN KG</t>
        </r>
      </text>
    </comment>
    <comment ref="B12" authorId="0" shapeId="0" xr:uid="{63987DCE-9356-40CC-8B1E-953DC7FE165A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J12" authorId="0" shapeId="0" xr:uid="{7D892D45-2235-4C0E-A53C-F9B49BBC5A30}">
      <text>
        <r>
          <rPr>
            <b/>
            <sz val="9"/>
            <color indexed="81"/>
            <rFont val="Tahoma"/>
            <family val="2"/>
          </rPr>
          <t>RESUMEN POR PRODUCTOS</t>
        </r>
      </text>
    </comment>
    <comment ref="S34" authorId="0" shapeId="0" xr:uid="{FA090376-9401-4496-B5C2-94FBDF955B18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35" authorId="0" shapeId="0" xr:uid="{893FC86C-50D9-45BD-8344-A8AE1833466A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45" authorId="0" shapeId="0" xr:uid="{68887C25-55BF-479D-8232-F8416D8CF351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67" authorId="0" shapeId="0" xr:uid="{40AC8097-BD3C-4459-9A90-8C748F063A89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68" authorId="0" shapeId="0" xr:uid="{C41A3FB9-CDEF-488E-99B1-AA60097F8C9F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78" authorId="0" shapeId="0" xr:uid="{E4DFA558-9B4E-4DC4-8F43-B4D02D970C5D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100" authorId="0" shapeId="0" xr:uid="{D38CD331-EED6-4514-9C5B-2A8F8D233AD3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101" authorId="0" shapeId="0" xr:uid="{DD651533-2837-4E04-B575-4F1CEE1C6704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111" authorId="0" shapeId="0" xr:uid="{CE320D10-158A-484C-B234-E7BD3CBBF363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133" authorId="0" shapeId="0" xr:uid="{2F29444C-65BB-460F-9AC6-C94CA3079397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134" authorId="0" shapeId="0" xr:uid="{023C97AF-F864-44FE-8EDE-BA5F81F4CA43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144" authorId="0" shapeId="0" xr:uid="{19D66A72-057C-4B14-9531-776B2A26A4B7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166" authorId="0" shapeId="0" xr:uid="{964537EF-A0B1-478E-A023-13B6CFBFAA71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167" authorId="0" shapeId="0" xr:uid="{CB3C7A23-6563-45EC-87A8-B1644DCFCB32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177" authorId="0" shapeId="0" xr:uid="{5BE518FE-BE2C-40AC-ADE1-9D366A6B2A86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199" authorId="0" shapeId="0" xr:uid="{2F5BC222-4012-458B-8435-1B036EA5FF86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200" authorId="0" shapeId="0" xr:uid="{DA6F595A-3F16-4B99-8FD6-E2A1899E3100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210" authorId="0" shapeId="0" xr:uid="{7CEF8B57-3DE6-4D0C-974B-B48F0298905D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232" authorId="0" shapeId="0" xr:uid="{FB70CCC4-ED8C-43C2-9BA1-689683593AD0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233" authorId="0" shapeId="0" xr:uid="{4E8E7BE5-0381-4A43-B7AF-C820A584C503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243" authorId="0" shapeId="0" xr:uid="{50EF36EC-E6B0-491B-9DEB-C63CA35972D3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265" authorId="0" shapeId="0" xr:uid="{26C2D4FB-A871-48FF-B267-67A0C523B369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266" authorId="0" shapeId="0" xr:uid="{9988B987-1B4B-4B05-B750-6A46EB8FD7A6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276" authorId="0" shapeId="0" xr:uid="{34F81E02-FE1E-41DD-84D0-82DAD3D9905E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298" authorId="0" shapeId="0" xr:uid="{A7210AB2-C2A5-4C9D-86D8-E6CB2E0CD9FB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299" authorId="0" shapeId="0" xr:uid="{67D38448-B065-4576-99BE-530D640F733B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309" authorId="0" shapeId="0" xr:uid="{4DF20A4C-32C4-4F5A-B4AA-075A6B09F172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331" authorId="0" shapeId="0" xr:uid="{D80D1656-C8F8-4934-BBEA-0C73195D7AA8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332" authorId="0" shapeId="0" xr:uid="{F0457AF7-B477-4AF9-93D7-04D73193F16C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342" authorId="0" shapeId="0" xr:uid="{42E9E1EE-1825-40CD-9DD2-02BADDA77806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364" authorId="0" shapeId="0" xr:uid="{D79A8391-77B5-4BBF-A69B-E5C2EC8336DB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365" authorId="0" shapeId="0" xr:uid="{599D42E2-C857-412D-9D67-C003FC8707D2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  <comment ref="B375" authorId="0" shapeId="0" xr:uid="{9200C3A5-5148-4E14-80CD-2E8E45A8ABB8}">
      <text>
        <r>
          <rPr>
            <b/>
            <sz val="9"/>
            <color indexed="81"/>
            <rFont val="Tahoma"/>
            <family val="2"/>
          </rPr>
          <t>ESCRIBIR 1 SI ES UN PRODUCTO ENTERO</t>
        </r>
      </text>
    </comment>
    <comment ref="S397" authorId="0" shapeId="0" xr:uid="{23B4EDEC-3EBF-4638-9162-CC9853CD620A}">
      <text>
        <r>
          <rPr>
            <b/>
            <sz val="9"/>
            <color indexed="81"/>
            <rFont val="Tahoma"/>
            <family val="2"/>
          </rPr>
          <t>LOS ENTEROS ASUMEN EL 100% DE SU COSTO MAS EL 70% DEL COSTO DE LOS SUBPRODUCTOS</t>
        </r>
      </text>
    </comment>
    <comment ref="S398" authorId="0" shapeId="0" xr:uid="{A8C7F021-8F4E-4245-8D85-12BC4FB132EB}">
      <text>
        <r>
          <rPr>
            <b/>
            <sz val="9"/>
            <color indexed="81"/>
            <rFont val="Tahoma"/>
            <family val="2"/>
          </rPr>
          <t>LOS SUBPRODUCTOS ASUMEN SOLO EL 30% DE SU COSTO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10</author>
  </authors>
  <commentList>
    <comment ref="W8" authorId="0" shapeId="0" xr:uid="{D8EB590D-C98C-4D9C-81FF-A95F0DF7D1E3}">
      <text>
        <r>
          <rPr>
            <b/>
            <sz val="9"/>
            <color indexed="81"/>
            <rFont val="Tahoma"/>
            <family val="2"/>
          </rPr>
          <t xml:space="preserve">SI.ERROR(BUSCARV(R6;PT;4;FALSO);"NO EXISTE")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10</author>
  </authors>
  <commentList>
    <comment ref="C8" authorId="0" shapeId="0" xr:uid="{DE54AD67-586E-4CB9-ACAC-FDFEB9C20457}">
      <text>
        <r>
          <rPr>
            <b/>
            <sz val="9"/>
            <color indexed="81"/>
            <rFont val="Tahoma"/>
            <family val="2"/>
          </rPr>
          <t>SIEMPRE SERA UN EXIGIBLE, NO SE DEVUELVE Y SOLO SE COMPENSA SI SE VENDE NACIONAL NO EXPORATACION</t>
        </r>
      </text>
    </comment>
    <comment ref="G22" authorId="0" shapeId="0" xr:uid="{F275B9F9-9436-46C9-9646-27C446DF2CC7}">
      <text>
        <r>
          <rPr>
            <b/>
            <sz val="9"/>
            <color indexed="81"/>
            <rFont val="Tahoma"/>
            <family val="2"/>
          </rPr>
          <t>Es lo que tiene que pagar la empresa</t>
        </r>
      </text>
    </comment>
    <comment ref="G23" authorId="0" shapeId="0" xr:uid="{B8E7F7C5-9F95-43FD-AAF1-C8A9A38C7369}">
      <text>
        <r>
          <rPr>
            <b/>
            <sz val="9"/>
            <color indexed="81"/>
            <rFont val="Tahoma"/>
            <family val="2"/>
          </rPr>
          <t>Es cuando hay saldo a favor de la empresa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10</author>
  </authors>
  <commentList>
    <comment ref="B64" authorId="0" shapeId="0" xr:uid="{B38FF1BE-3CA9-4323-B93D-9EC0980B83A7}">
      <text>
        <r>
          <rPr>
            <b/>
            <sz val="9"/>
            <color indexed="81"/>
            <rFont val="Tahoma"/>
            <family val="2"/>
          </rPr>
          <t xml:space="preserve">Es igual al Margen bruto, pero descontando los salarios.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10</author>
  </authors>
  <commentList>
    <comment ref="B23" authorId="0" shapeId="0" xr:uid="{B63BA8F7-BB40-4187-A599-35C16EE38358}">
      <text>
        <r>
          <rPr>
            <b/>
            <sz val="9"/>
            <color indexed="81"/>
            <rFont val="Tahoma"/>
            <family val="2"/>
          </rPr>
          <t>TIR DEL PROYECTO</t>
        </r>
      </text>
    </comment>
    <comment ref="B30" authorId="0" shapeId="0" xr:uid="{A35AA114-0C43-4373-AEFC-9D5DDD065D08}">
      <text>
        <r>
          <rPr>
            <b/>
            <sz val="9"/>
            <color indexed="81"/>
            <rFont val="Tahoma"/>
            <family val="2"/>
          </rPr>
          <t>TIR Equity</t>
        </r>
      </text>
    </comment>
    <comment ref="C40" authorId="0" shapeId="0" xr:uid="{3978104D-69A7-43A5-826C-8D6E616C5FC4}">
      <text>
        <r>
          <rPr>
            <b/>
            <sz val="9"/>
            <color indexed="81"/>
            <rFont val="Tahoma"/>
            <family val="2"/>
          </rPr>
          <t xml:space="preserve">Por encima del costo del capital invertido, el proyecto generará un valor adicional (riqueza) de </t>
        </r>
      </text>
    </comment>
    <comment ref="D40" authorId="0" shapeId="0" xr:uid="{D2E4D10E-7704-4165-8505-3AD35E662D42}">
      <text>
        <r>
          <rPr>
            <b/>
            <sz val="9"/>
            <color indexed="81"/>
            <rFont val="Tahoma"/>
            <family val="2"/>
          </rPr>
          <t>El proyecto genera un retorno promedio anual del</t>
        </r>
      </text>
    </comment>
    <comment ref="E40" authorId="0" shapeId="0" xr:uid="{890898CB-4AF5-4C0B-930B-2CF4E73D3B38}">
      <text>
        <r>
          <rPr>
            <b/>
            <sz val="9"/>
            <color indexed="81"/>
            <rFont val="Tahoma"/>
            <family val="2"/>
          </rPr>
          <t>Cada USD invertido genera</t>
        </r>
      </text>
    </comment>
    <comment ref="C41" authorId="0" shapeId="0" xr:uid="{98EC727A-409E-4468-B8C0-78637B4EBD58}">
      <text>
        <r>
          <rPr>
            <b/>
            <sz val="9"/>
            <color indexed="81"/>
            <rFont val="Tahoma"/>
            <family val="2"/>
          </rPr>
          <t xml:space="preserve">ELEGIR LA TASA. 
</t>
        </r>
      </text>
    </comment>
    <comment ref="B51" authorId="0" shapeId="0" xr:uid="{BD66F3C7-3F37-4E07-93E1-89C6E9BE1BDD}">
      <text>
        <r>
          <rPr>
            <b/>
            <sz val="9"/>
            <color indexed="81"/>
            <rFont val="Tahoma"/>
            <family val="2"/>
          </rPr>
          <t>TASA SI EL PROYECTO ESTA FINANCIADO POR SOLO DEUDA</t>
        </r>
      </text>
    </comment>
    <comment ref="B52" authorId="0" shapeId="0" xr:uid="{AD73BD9B-D87D-473C-91A9-B9D2A9C13F86}">
      <text>
        <r>
          <rPr>
            <b/>
            <sz val="9"/>
            <color indexed="81"/>
            <rFont val="Tahoma"/>
            <family val="2"/>
          </rPr>
          <t xml:space="preserve">TASA SI EL PROYECTO ESTA FINANCIADO POR CAPITAL
</t>
        </r>
      </text>
    </comment>
    <comment ref="C52" authorId="0" shapeId="0" xr:uid="{631F9E95-AE24-4508-A6C2-7F00BFC6838A}">
      <text>
        <r>
          <rPr>
            <b/>
            <sz val="9"/>
            <color indexed="81"/>
            <rFont val="Tahoma"/>
            <family val="2"/>
          </rPr>
          <t>RENDIMIENTO LIBRE DE RIESGO+BETA*(RENDIMIENTO DEL MERCADO-RENDIMIENTO LIBRE DE RIESGO</t>
        </r>
      </text>
    </comment>
    <comment ref="B53" authorId="0" shapeId="0" xr:uid="{765854D4-F7D5-45D0-8985-3C805B5E19F4}">
      <text>
        <r>
          <rPr>
            <b/>
            <sz val="9"/>
            <color indexed="81"/>
            <rFont val="Tahoma"/>
            <family val="2"/>
          </rPr>
          <t>TASA SI EL PROYECTO ESTA FINANCIADO POR AMBOS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10</author>
  </authors>
  <commentList>
    <comment ref="C8" authorId="0" shapeId="0" xr:uid="{44859879-74D9-4E4B-98B9-926878B02E3A}">
      <text>
        <r>
          <rPr>
            <b/>
            <sz val="9"/>
            <color indexed="81"/>
            <rFont val="Tahoma"/>
            <family val="2"/>
          </rPr>
          <t>INVERSIÓN EN CAJA, FLUJO DE CAJA Y MENOS EL IGV DE LA INVERSIÓN</t>
        </r>
      </text>
    </comment>
    <comment ref="D25" authorId="0" shapeId="0" xr:uid="{953D3E2F-822D-4F20-BF55-C7A92DA86312}">
      <text>
        <r>
          <rPr>
            <b/>
            <sz val="9"/>
            <color indexed="81"/>
            <rFont val="Tahoma"/>
            <family val="2"/>
          </rPr>
          <t xml:space="preserve">ACUMULATIVAS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10</author>
  </authors>
  <commentList>
    <comment ref="M9" authorId="0" shapeId="0" xr:uid="{FB6312E9-2A0B-4865-A7FA-C022D8205352}">
      <text>
        <r>
          <rPr>
            <b/>
            <sz val="9"/>
            <color indexed="81"/>
            <rFont val="Tahoma"/>
            <family val="2"/>
          </rPr>
          <t>BASE SUPUESTO</t>
        </r>
      </text>
    </comment>
    <comment ref="M10" authorId="0" shapeId="0" xr:uid="{50B5B618-6578-4793-880A-4E881DFA1E33}">
      <text>
        <r>
          <rPr>
            <b/>
            <sz val="9"/>
            <color indexed="81"/>
            <rFont val="Tahoma"/>
            <family val="2"/>
          </rPr>
          <t>BASE SUPUESTO</t>
        </r>
      </text>
    </comment>
  </commentList>
</comments>
</file>

<file path=xl/sharedStrings.xml><?xml version="1.0" encoding="utf-8"?>
<sst xmlns="http://schemas.openxmlformats.org/spreadsheetml/2006/main" count="2884" uniqueCount="570">
  <si>
    <t>Nombre de la empresa</t>
  </si>
  <si>
    <t>IUE/IRE</t>
  </si>
  <si>
    <t>IVA</t>
  </si>
  <si>
    <t>País</t>
  </si>
  <si>
    <t>DESCRIPCIÓN</t>
  </si>
  <si>
    <t>#</t>
  </si>
  <si>
    <t>COSTO TOTAL</t>
  </si>
  <si>
    <t>COSTOS UNIT.</t>
  </si>
  <si>
    <t>EDIFICIOS Y OBRAS CIVILES</t>
  </si>
  <si>
    <t xml:space="preserve">EQUIPO Y MAQUINARIA </t>
  </si>
  <si>
    <t>MUEBLES Y ENSERES</t>
  </si>
  <si>
    <t>Total Muebles y Enseres</t>
  </si>
  <si>
    <t>VENTAS EN $</t>
  </si>
  <si>
    <t>Año Inicial</t>
  </si>
  <si>
    <t>PARAGUAY</t>
  </si>
  <si>
    <t>Detalle</t>
  </si>
  <si>
    <t>APORTES PATRONALES</t>
  </si>
  <si>
    <t>BENEFICIOS SOCIALES</t>
  </si>
  <si>
    <t>Total Sueldos y Salarios</t>
  </si>
  <si>
    <t>Total Aportes Patronales</t>
  </si>
  <si>
    <t>Aguinaldo</t>
  </si>
  <si>
    <t>Indemización</t>
  </si>
  <si>
    <t>Total Beneficios Sociales</t>
  </si>
  <si>
    <t>PRODUCCIÓN</t>
  </si>
  <si>
    <t>Total Producción</t>
  </si>
  <si>
    <t>Total Comercialización</t>
  </si>
  <si>
    <t>ADMINISTRACIÓN</t>
  </si>
  <si>
    <t>Total</t>
  </si>
  <si>
    <t>Jubilación</t>
  </si>
  <si>
    <t>Riesgo Lab.</t>
  </si>
  <si>
    <t>IPS-Salud</t>
  </si>
  <si>
    <t>COMERCIALIZACIÓN</t>
  </si>
  <si>
    <t>Total administración</t>
  </si>
  <si>
    <t>PERU</t>
  </si>
  <si>
    <t>Essalud</t>
  </si>
  <si>
    <t>ESSALUD</t>
  </si>
  <si>
    <t>SENATI</t>
  </si>
  <si>
    <t>Dominical</t>
  </si>
  <si>
    <t>Vacaciones</t>
  </si>
  <si>
    <t>Gratificación</t>
  </si>
  <si>
    <t>A.F</t>
  </si>
  <si>
    <t>CTS</t>
  </si>
  <si>
    <t>¿Siempre se paga?</t>
  </si>
  <si>
    <t>Casos en los que NO aplica</t>
  </si>
  <si>
    <t>Remuneración Mínima Vital (RMV)</t>
  </si>
  <si>
    <t>Nunca se excluye</t>
  </si>
  <si>
    <t>Asignación Familiar (AF)</t>
  </si>
  <si>
    <t>Solo aplica si el trabajador tiene hijos menores de 18 años o mayores con discapacidad.</t>
  </si>
  <si>
    <t>No aplica solo si el trabajador no tiene jornada semanal completa.</t>
  </si>
  <si>
    <t>No aplica si el trabajador renuncia antes de cumplir un año.</t>
  </si>
  <si>
    <t>No aplica a trabajadores independientes.</t>
  </si>
  <si>
    <t>Bonificación Essalud</t>
  </si>
  <si>
    <t>No aplica si el empleador no paga Essalud (Ejemplo: trabajador con EPS privada).</t>
  </si>
  <si>
    <t>CTS (Compensación por Tiempo de Servicios)</t>
  </si>
  <si>
    <t>No aplica a trabajadores con menos de 4 horas diarias de trabajo.</t>
  </si>
  <si>
    <t>Bono Beta</t>
  </si>
  <si>
    <t>Solo si la empresa otorga este beneficio.</t>
  </si>
  <si>
    <t>No aplica si el trabajador está afiliado a una EPS y la empresa paga a la EPS.</t>
  </si>
  <si>
    <t>Solo aplica a empresas industriales.</t>
  </si>
  <si>
    <t>FERIADO (14 días por año)</t>
  </si>
  <si>
    <t>No aplica si el trabajador labora en régimen sin feriados (Ejemplo: trabajadores de confianza).</t>
  </si>
  <si>
    <t>Enfermedad (Descanso Médico)</t>
  </si>
  <si>
    <t>No aplica si el trabajador no presenta descansos médicos.</t>
  </si>
  <si>
    <t>Seguro de Vida Ley</t>
  </si>
  <si>
    <t>No aplica en los primeros 4 años si el trabajador es nuevo (salvo actividades de riesgo).</t>
  </si>
  <si>
    <t>SCTR (Seguro Complementario de Trabajo de Riesgo)</t>
  </si>
  <si>
    <t>Solo aplica a trabajos de alto riesgo (Ejemplo: construcción, minería).</t>
  </si>
  <si>
    <t xml:space="preserve"> Siempre</t>
  </si>
  <si>
    <t>No siempre</t>
  </si>
  <si>
    <t>ACTIVOS FIJOS</t>
  </si>
  <si>
    <t>ACTIVOS CORRIENTES</t>
  </si>
  <si>
    <t>TERRENOS</t>
  </si>
  <si>
    <t>EQUIPOS DE COMPUTACIÓN</t>
  </si>
  <si>
    <t>PLANTACIÓN AGRÍCOLA</t>
  </si>
  <si>
    <t>ANIMALES REPRODUCTORES</t>
  </si>
  <si>
    <t>OTROS ACTIVOS</t>
  </si>
  <si>
    <t>Total Otros Activos</t>
  </si>
  <si>
    <t>ACTIVOS DIFERIDOS</t>
  </si>
  <si>
    <t>DETALLE</t>
  </si>
  <si>
    <t>MANO DE OBRA</t>
  </si>
  <si>
    <t>GASTOS GENERALES</t>
  </si>
  <si>
    <t>MES</t>
  </si>
  <si>
    <t>GASTOS DE COMERCIALIZACIÓN</t>
  </si>
  <si>
    <t>MATERIALES Y SERVICIOS</t>
  </si>
  <si>
    <t>GASTO MENSUAL ($)</t>
  </si>
  <si>
    <t>PROMOCIÓN Y PUBLICIDAD</t>
  </si>
  <si>
    <t>GASTO / AÑO PLENA CAPACIDAD</t>
  </si>
  <si>
    <t>GASTOS DE ADMINISTRACIÓN</t>
  </si>
  <si>
    <t>Concepto</t>
  </si>
  <si>
    <t>TIPO DE CREDITO:</t>
  </si>
  <si>
    <t>TIPO DE AMORTIZACION:</t>
  </si>
  <si>
    <t>TASA INTERES ANUAL:</t>
  </si>
  <si>
    <t>FRECUENCIA DE PAGO:</t>
  </si>
  <si>
    <t>PLAZO (AÑOS):</t>
  </si>
  <si>
    <t>TOTAL PERIODOS DE PAGO:</t>
  </si>
  <si>
    <t>PAGO PERIODICO</t>
  </si>
  <si>
    <t>INTERES</t>
  </si>
  <si>
    <t>AMORTIZACION DE LA DEUDA</t>
  </si>
  <si>
    <t>SALDO DEUDA</t>
  </si>
  <si>
    <t>TERRENOS y OBRAS CIVILES</t>
  </si>
  <si>
    <t>EQUIPO Y MAQUINARIA</t>
  </si>
  <si>
    <t>FRANCES</t>
  </si>
  <si>
    <t>ALEMAN</t>
  </si>
  <si>
    <t>P/% Interes</t>
  </si>
  <si>
    <t>ANUAL</t>
  </si>
  <si>
    <t>SEMESTRAL</t>
  </si>
  <si>
    <t>TRIMESTRAL</t>
  </si>
  <si>
    <t>MENSUAL</t>
  </si>
  <si>
    <t>USO</t>
  </si>
  <si>
    <t>CAPACIDAD</t>
  </si>
  <si>
    <t>OBSERVACIONES</t>
  </si>
  <si>
    <t>ESPARRAGO-GUINDILLA</t>
  </si>
  <si>
    <t>500 L</t>
  </si>
  <si>
    <t>1500 L</t>
  </si>
  <si>
    <t>Burbujas de aire crean turbulencia dentro del agua</t>
  </si>
  <si>
    <t>Salida de aire caliente de nave de proceso</t>
  </si>
  <si>
    <t>Circulan aire en el interior de nave</t>
  </si>
  <si>
    <t>Valor</t>
  </si>
  <si>
    <t>Total Dep.</t>
  </si>
  <si>
    <t>DEPRECIACIÓN DE ACTIVOS FIJOS</t>
  </si>
  <si>
    <t>Activo</t>
  </si>
  <si>
    <t>Depreciación</t>
  </si>
  <si>
    <t>Total Edificios y Obras Civiles</t>
  </si>
  <si>
    <t>Total Terrenos</t>
  </si>
  <si>
    <t>Total Equipos y Maquinaria</t>
  </si>
  <si>
    <t>Total Equipos de Computación</t>
  </si>
  <si>
    <t>Total Plantación Agrícola</t>
  </si>
  <si>
    <t>Total Animales Reproductores</t>
  </si>
  <si>
    <t>Total Activos Diferidos</t>
  </si>
  <si>
    <t>VEHICULOS</t>
  </si>
  <si>
    <t>Total Vehículos</t>
  </si>
  <si>
    <t>GASTOS DE COMUNICACION</t>
  </si>
  <si>
    <t>COMISION VENTAS AL EXTERIOR</t>
  </si>
  <si>
    <t>SERVICIO PUBLICITARIO</t>
  </si>
  <si>
    <t>TRANSPORTE LOGISTICO</t>
  </si>
  <si>
    <t>REPRESENTACION EN FERIAS</t>
  </si>
  <si>
    <t>CAPACITACIONES Y REPRESENTACIONES</t>
  </si>
  <si>
    <t>MANTENIMIENTO Y REPARACION ACTIVOS FIJOS</t>
  </si>
  <si>
    <t>GASTOS DE EXPORTACION-FLETES Y CARGUIOS</t>
  </si>
  <si>
    <t>GASTOS MUESTRAS COMERCIALES</t>
  </si>
  <si>
    <t>RENOVACION DE REGISTROS</t>
  </si>
  <si>
    <t>COMBUSTIBLES Y LUBRICANTES</t>
  </si>
  <si>
    <t>ANALISIS DE LABORATORIO</t>
  </si>
  <si>
    <t>GASTOS GENERALES DE COMERCIALIZACION</t>
  </si>
  <si>
    <t>PASAJES, PEAJES VIAJES Y VIATICOS</t>
  </si>
  <si>
    <t>Total Materiales y Servicios</t>
  </si>
  <si>
    <t>Total Mano de Obra</t>
  </si>
  <si>
    <t>Total Promoción y Publicidad</t>
  </si>
  <si>
    <t>Total Gastos de Dsitribución</t>
  </si>
  <si>
    <t>Total Gastos Generales</t>
  </si>
  <si>
    <t>SERVICIO DE ASEO Y LIMPIEZA</t>
  </si>
  <si>
    <t>SERVICIOS BÁSICOS</t>
  </si>
  <si>
    <t>MATERIAL DE ESCRITORIO</t>
  </si>
  <si>
    <t>SEGUROS</t>
  </si>
  <si>
    <t xml:space="preserve">Total salario </t>
  </si>
  <si>
    <t>Total salario</t>
  </si>
  <si>
    <t>CAJA</t>
  </si>
  <si>
    <t>IMPUESTO A DIVIDENDOS</t>
  </si>
  <si>
    <t>IMPUESTOS A LAS REMESAS AL EXTERIOR</t>
  </si>
  <si>
    <t>PALMITO TROZO  A-10</t>
  </si>
  <si>
    <t>PALMITO RODAJA  A-10</t>
  </si>
  <si>
    <t>PIÑA TROZO A-10</t>
  </si>
  <si>
    <t>PIÑA RODAJA A-10</t>
  </si>
  <si>
    <t xml:space="preserve">VENTA DE PIÑA </t>
  </si>
  <si>
    <t>UNIDADES</t>
  </si>
  <si>
    <t>UNIDADES DE PALMITOS</t>
  </si>
  <si>
    <t xml:space="preserve">UNIDADES DE PIÑA </t>
  </si>
  <si>
    <t>VENTAS DE PALMITOS</t>
  </si>
  <si>
    <t xml:space="preserve">VENTAS DE PIÑA </t>
  </si>
  <si>
    <t>Cantidad Producida</t>
  </si>
  <si>
    <t xml:space="preserve">C/u Produccion </t>
  </si>
  <si>
    <t>Acido Citrico</t>
  </si>
  <si>
    <t>Sal</t>
  </si>
  <si>
    <t>Envases</t>
  </si>
  <si>
    <t>Tapas</t>
  </si>
  <si>
    <t>Cajas</t>
  </si>
  <si>
    <t>Etiquetas</t>
  </si>
  <si>
    <t xml:space="preserve">Sueldos y cargas Sociales </t>
  </si>
  <si>
    <t>Latas</t>
  </si>
  <si>
    <t>c/u</t>
  </si>
  <si>
    <t>MATERIAL DIRECTO</t>
  </si>
  <si>
    <t xml:space="preserve">VENTA DE PALMITOS 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</si>
  <si>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</si>
  <si>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</si>
  <si>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</si>
  <si>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</si>
  <si>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</si>
  <si>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</si>
  <si>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</si>
  <si>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</si>
  <si>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</si>
  <si>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</si>
  <si>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</si>
  <si>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</si>
  <si>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COSTO DE PALMITOS VENDIDOS</t>
  </si>
  <si>
    <t>COSTO DE PIÑAS VENDIDAS</t>
  </si>
  <si>
    <t>UTILIDAD BRUTA</t>
  </si>
  <si>
    <t>EBIT</t>
  </si>
  <si>
    <t>UTILIDAD NETA</t>
  </si>
  <si>
    <t>EBT</t>
  </si>
  <si>
    <t>TOTAL</t>
  </si>
  <si>
    <t>Total Activos Disponibles</t>
  </si>
  <si>
    <t>%</t>
  </si>
  <si>
    <t>$</t>
  </si>
  <si>
    <t>DE LA SELVA</t>
  </si>
  <si>
    <t>PERIODO</t>
  </si>
  <si>
    <t>DIVIDENOS</t>
  </si>
  <si>
    <t>IMPUESTO DE DIVIDENOS</t>
  </si>
  <si>
    <t>DIVIDENOS NETOS</t>
  </si>
  <si>
    <t>TASA DE DIVIDENOS</t>
  </si>
  <si>
    <t>PRESTAMOS BANCARIOS</t>
  </si>
  <si>
    <t>PATRIMONIO</t>
  </si>
  <si>
    <t>RESULTADO DE LA GESTIÓN</t>
  </si>
  <si>
    <t>MATERIA PRIMA</t>
  </si>
  <si>
    <t>MOD</t>
  </si>
  <si>
    <t>C/u    primo</t>
  </si>
  <si>
    <t>Costo de Produccion</t>
  </si>
  <si>
    <t>Costo Primo</t>
  </si>
  <si>
    <t xml:space="preserve">Consumo Cogollo Palmito      </t>
  </si>
  <si>
    <t>Kls</t>
  </si>
  <si>
    <t>Pza</t>
  </si>
  <si>
    <t xml:space="preserve">Pzas </t>
  </si>
  <si>
    <t>TOTAL COSTO</t>
  </si>
  <si>
    <t>Unidad de Tallos</t>
  </si>
  <si>
    <t>USD</t>
  </si>
  <si>
    <t>Peso Gr.</t>
  </si>
  <si>
    <t>% Kg Drenado</t>
  </si>
  <si>
    <t>Kg Drenado</t>
  </si>
  <si>
    <t>Importe E.</t>
  </si>
  <si>
    <t>Importe S.</t>
  </si>
  <si>
    <r>
      <t xml:space="preserve">COSTO DE PIÑA VENDIDOS </t>
    </r>
    <r>
      <rPr>
        <b/>
        <i/>
        <u/>
        <sz val="12"/>
        <color rgb="FFFF0000"/>
        <rFont val="Times New Roman"/>
        <family val="1"/>
      </rPr>
      <t>(ENERO)</t>
    </r>
  </si>
  <si>
    <t>Azucar</t>
  </si>
  <si>
    <t>COSTOS DE PRODUCCIÓN PALMITO</t>
  </si>
  <si>
    <t>COSTOS DE PRODUCCIÓN PIÑA</t>
  </si>
  <si>
    <t xml:space="preserve">Consumo Piña     </t>
  </si>
  <si>
    <t>Total Ventas de Palmito</t>
  </si>
  <si>
    <t>Total Ventas de Piña</t>
  </si>
  <si>
    <t>Total Unid. de Palmitos</t>
  </si>
  <si>
    <t>Total Unid. de Piña</t>
  </si>
  <si>
    <t>VARIACIÓN ANUAL DE COSTOS DE PRODUCCIÓN</t>
  </si>
  <si>
    <t>UTILIDADES NO DISTRIBUIDAS</t>
  </si>
  <si>
    <t>ESTADO DE RESULTADOS</t>
  </si>
  <si>
    <t>SERVICIO A LA DEUDA</t>
  </si>
  <si>
    <t>CAPITAL SOCIAL</t>
  </si>
  <si>
    <t>CÓDIGO</t>
  </si>
  <si>
    <t>PRODUCTO</t>
  </si>
  <si>
    <t>COSTO UNITARIO</t>
  </si>
  <si>
    <t xml:space="preserve">ENTRADA </t>
  </si>
  <si>
    <t>SALIDAS</t>
  </si>
  <si>
    <t>STOCK</t>
  </si>
  <si>
    <t>VALOR ACTUAL DE INVENTARIO DE M.P.</t>
  </si>
  <si>
    <t>FECHA</t>
  </si>
  <si>
    <t>CANTIDAD</t>
  </si>
  <si>
    <t>COTO TOTAL</t>
  </si>
  <si>
    <t>INVENTARIOS DE PRODUCTOS TERMINADOS (TABLA "PT")</t>
  </si>
  <si>
    <t>ENTRADA DE PRODUCTOS TERMINADOS (TABLA "ENTRADA_PT")</t>
  </si>
  <si>
    <t>SALIDA DE PRODUCTOS TERMINADOS  (TABLA "SALIDA_PT")</t>
  </si>
  <si>
    <t>PT01</t>
  </si>
  <si>
    <t>PT02</t>
  </si>
  <si>
    <t>PT03</t>
  </si>
  <si>
    <t>PT04</t>
  </si>
  <si>
    <t>PT05</t>
  </si>
  <si>
    <t>PT06</t>
  </si>
  <si>
    <t>PT07</t>
  </si>
  <si>
    <t>PT08</t>
  </si>
  <si>
    <t>PT09</t>
  </si>
  <si>
    <t>PT10</t>
  </si>
  <si>
    <t>PT11</t>
  </si>
  <si>
    <t>PT12</t>
  </si>
  <si>
    <t>PESO Gr.</t>
  </si>
  <si>
    <t>% DE SALIDA</t>
  </si>
  <si>
    <t>% Crédito sobre ventas</t>
  </si>
  <si>
    <t>COSTO TOTAL PALMITO</t>
  </si>
  <si>
    <t>COSTO TOTAL PIÑA</t>
  </si>
  <si>
    <t>VENTAS TOTALES</t>
  </si>
  <si>
    <t>AL CONTADO</t>
  </si>
  <si>
    <t>INGRESO LIQUIDO</t>
  </si>
  <si>
    <t>SIGUIENTE AÑO</t>
  </si>
  <si>
    <t>CRÉDITO</t>
  </si>
  <si>
    <t>PERIODO DE COBRO</t>
  </si>
  <si>
    <t>TOTAL INGRESO LIQUIDO</t>
  </si>
  <si>
    <t xml:space="preserve">VENTAS DE PALMITOS </t>
  </si>
  <si>
    <t>VENTAS DE PIÑA</t>
  </si>
  <si>
    <t>TOTAL VENTAS NACIONALES</t>
  </si>
  <si>
    <t>TOTAL VENTAS POR EXPORTACIÓN</t>
  </si>
  <si>
    <t>TOTAL COSTO DE PRODUCCIÓN</t>
  </si>
  <si>
    <t>VARIACIÓN ANUAL DE GASTOS DE COMERCIALIZACIÓN</t>
  </si>
  <si>
    <t>VARIACIÓN ANUAL DE GASTOS DE ADMINISTRACIÓN</t>
  </si>
  <si>
    <t>ANÁLISIS DE SENSIBILIDAD FLUJO DE CAJA</t>
  </si>
  <si>
    <t>CUENTAS POR COBRAR</t>
  </si>
  <si>
    <t>TOTAL INGRESO LIQUIDO ANNUAL</t>
  </si>
  <si>
    <t>CUENTAS POR COBRAR SIGUIENTE AÑO</t>
  </si>
  <si>
    <t xml:space="preserve">Flujo de Financiamiento </t>
  </si>
  <si>
    <t>Flujo Operativo</t>
  </si>
  <si>
    <t>AMORTIZACIÓN DE ACTIVOS FIJOS</t>
  </si>
  <si>
    <t>TASA</t>
  </si>
  <si>
    <t>COBRO CUENTAS POR COBRAR</t>
  </si>
  <si>
    <t>CAPITAL DE TRABAJO</t>
  </si>
  <si>
    <t>FLUJO DE EFECTIVO</t>
  </si>
  <si>
    <t>ACTIVOS REALIZABLES</t>
  </si>
  <si>
    <t>ACTIVOS EXIGIBLES</t>
  </si>
  <si>
    <t>TOTAL INGRESOS LIQUIDO</t>
  </si>
  <si>
    <t>MONTO PRESTAMO</t>
  </si>
  <si>
    <t>APORTE PROPIO</t>
  </si>
  <si>
    <t>VALOR RESIDUAL</t>
  </si>
  <si>
    <t>VARIACIÓN ANUAL DE INGRESOS LIQUIDOS</t>
  </si>
  <si>
    <t>INVENTARIO EN PRODUCTOS TERMINADO</t>
  </si>
  <si>
    <t>DEPRECIACIÓN ACUMULADA</t>
  </si>
  <si>
    <t>AMORTIZACIÓN ACUMULADA</t>
  </si>
  <si>
    <t>ACTIVO</t>
  </si>
  <si>
    <t>MÉTODOS DE VALORACIÓN</t>
  </si>
  <si>
    <t>VAN</t>
  </si>
  <si>
    <t>TIR</t>
  </si>
  <si>
    <t>RESULTADOS</t>
  </si>
  <si>
    <t>Flujo de Inversión</t>
  </si>
  <si>
    <t>VARIACIÓN ANUAL DE INVENTARIO EN PRODUCTOS TERMINADOS</t>
  </si>
  <si>
    <t>BALANCE GENERAL</t>
  </si>
  <si>
    <t>PASIVO + CAPITAL</t>
  </si>
  <si>
    <t>RESULTADO  ACUMULADO</t>
  </si>
  <si>
    <t>COBRO DE CUENTAS POR COBRAR</t>
  </si>
  <si>
    <t>EXCEDENTE DE PRODUCTOS TERMINADOS</t>
  </si>
  <si>
    <t>SALIDA DE EXCEDENTE DE PRODUCTOS TERMINADOS</t>
  </si>
  <si>
    <t>TASA DE INTERÉS DE PRÉSTAMO (Kd)</t>
  </si>
  <si>
    <t>CAPM (Ke)</t>
  </si>
  <si>
    <t>WACC (Costo de Capital Promedio)</t>
  </si>
  <si>
    <t>Tasa Libre de Riesgo</t>
  </si>
  <si>
    <t>BETA APALANCADA (RIESGO SISTEMÁTICO)</t>
  </si>
  <si>
    <t>BETA DESAPALANCADA (RIESGO SISTEMÁTICO)</t>
  </si>
  <si>
    <t>PRDOUCCIÓN PIÑA</t>
  </si>
  <si>
    <t>Gr./Lata</t>
  </si>
  <si>
    <t>c/u (Prorrateado)</t>
  </si>
  <si>
    <t xml:space="preserve">COSTO DE PALMITOS VENDIDOS </t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</si>
  <si>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(ENERO)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</si>
  <si>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(FEBRERO)</t>
    </r>
  </si>
  <si>
    <t>ENVASES</t>
  </si>
  <si>
    <t>TAPAS</t>
  </si>
  <si>
    <t>CAJAS</t>
  </si>
  <si>
    <t>ETIQUETAS</t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</si>
  <si>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(MARZO)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</si>
  <si>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(ABRIL)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</si>
  <si>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(MAYO)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</si>
  <si>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(JUNIO)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</si>
  <si>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(JULIO)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</si>
  <si>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(AGOSTO)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</si>
  <si>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(SEPTIEMBRE)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</si>
  <si>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(OCTUBRE)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</si>
  <si>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(NOVIEMBRE)</t>
    </r>
  </si>
  <si>
    <r>
      <rPr>
        <b/>
        <sz val="12"/>
        <rFont val="Times New Roman"/>
        <family val="1"/>
      </rPr>
      <t>PRODUCCIÓN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color rgb="FFFF0000"/>
        <rFont val="Times New Roman"/>
        <family val="1"/>
      </rPr>
      <t>(DICIEMBRE)</t>
    </r>
  </si>
  <si>
    <t>PARÁMETROS PRODUCCIÓN PALMITO</t>
  </si>
  <si>
    <t>PARÁMETROS PRODUCCIÓN PIÑA</t>
  </si>
  <si>
    <t xml:space="preserve">COSTO DE PIÑA VENDIDOS </t>
  </si>
  <si>
    <r>
      <rPr>
        <b/>
        <sz val="12"/>
        <rFont val="Times New Roman"/>
        <family val="1"/>
      </rPr>
      <t xml:space="preserve">PRODUCCIÓN </t>
    </r>
    <r>
      <rPr>
        <b/>
        <sz val="12"/>
        <color rgb="FFFF0000"/>
        <rFont val="Times New Roman"/>
        <family val="1"/>
      </rPr>
      <t>(MAYO)</t>
    </r>
  </si>
  <si>
    <r>
      <rPr>
        <b/>
        <sz val="12"/>
        <rFont val="Times New Roman"/>
        <family val="1"/>
      </rPr>
      <t xml:space="preserve">PRODUCCIÓN </t>
    </r>
    <r>
      <rPr>
        <b/>
        <sz val="12"/>
        <color rgb="FFFF0000"/>
        <rFont val="Times New Roman"/>
        <family val="1"/>
      </rPr>
      <t>(JUNIO)</t>
    </r>
  </si>
  <si>
    <r>
      <rPr>
        <b/>
        <sz val="12"/>
        <rFont val="Times New Roman"/>
        <family val="1"/>
      </rPr>
      <t xml:space="preserve">PRODUCCIÓN </t>
    </r>
    <r>
      <rPr>
        <b/>
        <sz val="12"/>
        <color rgb="FFFF0000"/>
        <rFont val="Times New Roman"/>
        <family val="1"/>
      </rPr>
      <t>(JULIO)</t>
    </r>
  </si>
  <si>
    <r>
      <rPr>
        <b/>
        <sz val="12"/>
        <rFont val="Times New Roman"/>
        <family val="1"/>
      </rPr>
      <t xml:space="preserve">PRODUCCIÓN </t>
    </r>
    <r>
      <rPr>
        <b/>
        <sz val="12"/>
        <color rgb="FFFF0000"/>
        <rFont val="Times New Roman"/>
        <family val="1"/>
      </rPr>
      <t>(AGOSTO)</t>
    </r>
  </si>
  <si>
    <r>
      <rPr>
        <b/>
        <sz val="12"/>
        <rFont val="Times New Roman"/>
        <family val="1"/>
      </rPr>
      <t xml:space="preserve">PRODUCCIÓN </t>
    </r>
    <r>
      <rPr>
        <b/>
        <sz val="12"/>
        <color rgb="FFFF0000"/>
        <rFont val="Times New Roman"/>
        <family val="1"/>
      </rPr>
      <t>(SEPTIEMBRE)</t>
    </r>
  </si>
  <si>
    <r>
      <rPr>
        <b/>
        <sz val="12"/>
        <rFont val="Times New Roman"/>
        <family val="1"/>
      </rPr>
      <t xml:space="preserve">PRODUCCIÓN </t>
    </r>
    <r>
      <rPr>
        <b/>
        <sz val="12"/>
        <color rgb="FFFF0000"/>
        <rFont val="Times New Roman"/>
        <family val="1"/>
      </rPr>
      <t>(OCTUBRE)</t>
    </r>
  </si>
  <si>
    <t>COSTO DE PIÑA VENDIDOS</t>
  </si>
  <si>
    <r>
      <t xml:space="preserve">PRODUCCIÓN </t>
    </r>
    <r>
      <rPr>
        <b/>
        <sz val="12"/>
        <color rgb="FFFF0000"/>
        <rFont val="Times New Roman"/>
        <family val="1"/>
      </rPr>
      <t>(NOVIEMBRE)</t>
    </r>
  </si>
  <si>
    <r>
      <t xml:space="preserve">PRODUCCIÓN </t>
    </r>
    <r>
      <rPr>
        <b/>
        <sz val="12"/>
        <color rgb="FFFF0000"/>
        <rFont val="Times New Roman"/>
        <family val="1"/>
      </rPr>
      <t>(DICIEMBRE)</t>
    </r>
  </si>
  <si>
    <t>VARIACIÓN KTAL TRABAJO</t>
  </si>
  <si>
    <t>COSTOS INDI FAB</t>
  </si>
  <si>
    <t>ENERGIA ELECTRICA</t>
  </si>
  <si>
    <t>GLP</t>
  </si>
  <si>
    <t>GIF</t>
  </si>
  <si>
    <t>Aporte Sol.</t>
  </si>
  <si>
    <t>Provivienda</t>
  </si>
  <si>
    <t>A.F.P.</t>
  </si>
  <si>
    <t>C.N.S.</t>
  </si>
  <si>
    <t>BOLIVIA</t>
  </si>
  <si>
    <t>ENT</t>
  </si>
  <si>
    <t>Ácido Cítrico</t>
  </si>
  <si>
    <t>KG</t>
  </si>
  <si>
    <t>C/U</t>
  </si>
  <si>
    <t>Energía Eléctrica</t>
  </si>
  <si>
    <t>CU/Kg Drenado</t>
  </si>
  <si>
    <t xml:space="preserve">C/U (M.D. Palmito) </t>
  </si>
  <si>
    <t>Producción</t>
  </si>
  <si>
    <t>Total Kg</t>
  </si>
  <si>
    <t xml:space="preserve">C/U (M.D. Piña) </t>
  </si>
  <si>
    <t xml:space="preserve">% DE MERMA (Palmito) </t>
  </si>
  <si>
    <t>1er Trim</t>
  </si>
  <si>
    <t>2do Trim</t>
  </si>
  <si>
    <t>3er Trim</t>
  </si>
  <si>
    <t>4to Trim</t>
  </si>
  <si>
    <t>Gramos 1er Trim</t>
  </si>
  <si>
    <t>Gramos  2do Trim</t>
  </si>
  <si>
    <t>Gramos  3er Trim</t>
  </si>
  <si>
    <t>Gramos  4 to Trim</t>
  </si>
  <si>
    <t>C/U  1er Trim</t>
  </si>
  <si>
    <t>C/U 2do Trim</t>
  </si>
  <si>
    <t>C/U 3er Trim</t>
  </si>
  <si>
    <t>C/U 4to Trim</t>
  </si>
  <si>
    <t>Peso Recu. 1er Trim</t>
  </si>
  <si>
    <t>Peso recu. 2do Trim</t>
  </si>
  <si>
    <t>Peso recu. 3er Trim</t>
  </si>
  <si>
    <t>Peso recup. 4to Trim</t>
  </si>
  <si>
    <t>Producto</t>
  </si>
  <si>
    <t xml:space="preserve">PALMITO ENTERO 800 </t>
  </si>
  <si>
    <t>PALMITO RODAJA 800</t>
  </si>
  <si>
    <t>PALMITO TROZO 800</t>
  </si>
  <si>
    <t>PALMITO ENTERO 400</t>
  </si>
  <si>
    <t>PALMITO RODAJA 400</t>
  </si>
  <si>
    <t>PALMITO TROZO 400</t>
  </si>
  <si>
    <t>% Drenado</t>
  </si>
  <si>
    <t>PARÁMETROS GENERALES</t>
  </si>
  <si>
    <t>PALMITO</t>
  </si>
  <si>
    <t>PIÑA</t>
  </si>
  <si>
    <t>PANEL DE PARÁMETROS DE PRODUCCIÓN</t>
  </si>
  <si>
    <t>PT13</t>
  </si>
  <si>
    <t>PT14</t>
  </si>
  <si>
    <t>PT15</t>
  </si>
  <si>
    <t>PT16</t>
  </si>
  <si>
    <t>PIÑA RODAJA 850</t>
  </si>
  <si>
    <t>PIÑA TROZO 850</t>
  </si>
  <si>
    <t>PIÑA RODAJA 567</t>
  </si>
  <si>
    <t>PIÑA TROZO 567</t>
  </si>
  <si>
    <t>PIÑA RODAJA 822</t>
  </si>
  <si>
    <t>PIÑA TROZO 822</t>
  </si>
  <si>
    <t>ETIQUETA</t>
  </si>
  <si>
    <t>Precio en Caja</t>
  </si>
  <si>
    <t>Precio Unitario</t>
  </si>
  <si>
    <t>Unid./Cajas</t>
  </si>
  <si>
    <t>PANEL DE PARÁMETROS DE VENTAS</t>
  </si>
  <si>
    <t>VENTAS MERCADO NACIONAL</t>
  </si>
  <si>
    <t>VENTAS POR EXPORTACIÓN</t>
  </si>
  <si>
    <t>Tasa de Interés Bancario</t>
  </si>
  <si>
    <t>CREDITO</t>
  </si>
  <si>
    <t>PANEL DE FINANCIAMIENTO</t>
  </si>
  <si>
    <t>VENTAS NACIONALES</t>
  </si>
  <si>
    <t xml:space="preserve"> VENTAS POR EXPORTACIÓN</t>
  </si>
  <si>
    <t xml:space="preserve">VARIACIÓN ANNUAL DE VENTAS </t>
  </si>
  <si>
    <t>PANEL DE PARÁMETROS DE ANÁLISIS DE SENCIBILIDAD</t>
  </si>
  <si>
    <t>Gerente Técnico</t>
  </si>
  <si>
    <t>Gefe de Planta</t>
  </si>
  <si>
    <t>Supervisor 1</t>
  </si>
  <si>
    <t>Supervisor 2</t>
  </si>
  <si>
    <t>Responsable de calidad</t>
  </si>
  <si>
    <t>Asistente de Calidad</t>
  </si>
  <si>
    <t>Programador 1</t>
  </si>
  <si>
    <t>Programador 2</t>
  </si>
  <si>
    <t>Programador 3</t>
  </si>
  <si>
    <t>Responsable de acopio de MP.</t>
  </si>
  <si>
    <t>Encargado de mantenimiento</t>
  </si>
  <si>
    <t>Eléctrico</t>
  </si>
  <si>
    <t>Ayudante mecánico</t>
  </si>
  <si>
    <t>Obrero (74)</t>
  </si>
  <si>
    <t>Periodo de cobro de cuentas por cobrar mensual</t>
  </si>
  <si>
    <t>Producción Kg</t>
  </si>
  <si>
    <t>SALDO INICIAL</t>
  </si>
  <si>
    <t>RESUMEN DE PRODUCCIÓN</t>
  </si>
  <si>
    <t>PRODUCTOS TERMINADOS</t>
  </si>
  <si>
    <t>ESTRUCTURA DE FINANCIAMIENTO</t>
  </si>
  <si>
    <t>ANÁLISIS DE SENSIBILIDAD</t>
  </si>
  <si>
    <t>SALDO CAJA</t>
  </si>
  <si>
    <t>Jefe comex Perù</t>
  </si>
  <si>
    <t>Administrador/contador</t>
  </si>
  <si>
    <t>Auxiliar contable</t>
  </si>
  <si>
    <t>Galpon para Almacen PT 600m2</t>
  </si>
  <si>
    <t>Almacenaje de Producto terminado para despacho</t>
  </si>
  <si>
    <t>200 pallets x 150 cajas</t>
  </si>
  <si>
    <t>Peladora Piña cilindrica</t>
  </si>
  <si>
    <t>Rodajadora Piña</t>
  </si>
  <si>
    <t>Tibeteadora de Piña</t>
  </si>
  <si>
    <t>Peladora Piña tipo torno</t>
  </si>
  <si>
    <t>Etiquetadora de latas</t>
  </si>
  <si>
    <t>Selladora de latas A10</t>
  </si>
  <si>
    <t>Selladora de latas 1/2Kg</t>
  </si>
  <si>
    <t>Selladora de latas 1Kg</t>
  </si>
  <si>
    <t>Equipamiento laboratorio control de calidad</t>
  </si>
  <si>
    <t>Escritorios</t>
  </si>
  <si>
    <t>Mesa reuniones</t>
  </si>
  <si>
    <t>Sillas trabajo</t>
  </si>
  <si>
    <t>Laptop</t>
  </si>
  <si>
    <t>Impresora</t>
  </si>
  <si>
    <t>TV sala reuniones</t>
  </si>
  <si>
    <t>Equipos auxiliares</t>
  </si>
  <si>
    <t>Red</t>
  </si>
  <si>
    <t>Fotocopiadora</t>
  </si>
  <si>
    <t>Camioneta</t>
  </si>
  <si>
    <t>Motocicleta</t>
  </si>
  <si>
    <t>Certificaciones , Registros</t>
  </si>
  <si>
    <t>Bancos</t>
  </si>
  <si>
    <t>Planta industrial</t>
  </si>
  <si>
    <t>Terreno 10 Has Satipo</t>
  </si>
  <si>
    <t>GASTOS DE EXPORTACION-TRAMITES</t>
  </si>
  <si>
    <t>IMPUESTOS</t>
  </si>
  <si>
    <t>COMISIONES LOCALES</t>
  </si>
  <si>
    <t>Jefe de Planta</t>
  </si>
  <si>
    <t>Obrero (45)</t>
  </si>
  <si>
    <t>KG FRUTA BRUTA</t>
  </si>
  <si>
    <t>$US KG APROV</t>
  </si>
  <si>
    <t>$US KG FRUTA BRUTA</t>
  </si>
  <si>
    <t>$US UNIDAD BRUTA</t>
  </si>
  <si>
    <t>Gerente de Operaciones</t>
  </si>
  <si>
    <t>KG FRUTA Aprovechable</t>
  </si>
  <si>
    <t>Asistente comex Perù</t>
  </si>
  <si>
    <t>GASTOS LOGÍSTICOS</t>
  </si>
  <si>
    <t>Bonificación ESSALUD</t>
  </si>
  <si>
    <t>Feriados</t>
  </si>
  <si>
    <t>Seguro de vida</t>
  </si>
  <si>
    <t>SCTR</t>
  </si>
  <si>
    <t>FLUJO DE EFECTIVO ECONÓMICO</t>
  </si>
  <si>
    <t>FLUJO DE EFECTIVO FINANCIERO</t>
  </si>
  <si>
    <t>VALORACIÓN DEL PROYECTO ECONÓMICO</t>
  </si>
  <si>
    <t>VALORACIÓN DEL PROYECTO ECONÓMICO / FINANCIERO</t>
  </si>
  <si>
    <t>IR(B/C)</t>
  </si>
  <si>
    <t>TASAS DE DESCUENTO</t>
  </si>
  <si>
    <t>Ren. Aprovechable</t>
  </si>
  <si>
    <t>Deuda</t>
  </si>
  <si>
    <t>Ventas</t>
  </si>
  <si>
    <t>COSTOS DE PRODUCCIÓN</t>
  </si>
  <si>
    <t>C.P</t>
  </si>
  <si>
    <t>Utilidad Bruta</t>
  </si>
  <si>
    <t>Gastos de Com.</t>
  </si>
  <si>
    <t>Gastos de Adm.</t>
  </si>
  <si>
    <t>Utilidad Neta</t>
  </si>
  <si>
    <t>RENDIMIENTO MERCADO</t>
  </si>
  <si>
    <t xml:space="preserve">% DE MERMA MATERIAL DIRECTO (Piña) </t>
  </si>
  <si>
    <t>COSTO UNITARIO / LATA</t>
  </si>
  <si>
    <t>IGV Ventas Exportación</t>
  </si>
  <si>
    <t>IGV Ventas Nacionales</t>
  </si>
  <si>
    <t>Inversión Inicial</t>
  </si>
  <si>
    <t>Material Directo</t>
  </si>
  <si>
    <t>CIF</t>
  </si>
  <si>
    <t>Gastos Comerciales</t>
  </si>
  <si>
    <t>Gastos Administrativos</t>
  </si>
  <si>
    <t>Materia Prima</t>
  </si>
  <si>
    <t>Total IGV Ventas</t>
  </si>
  <si>
    <t>Total IGV Compras</t>
  </si>
  <si>
    <t>Saldo a Favor</t>
  </si>
  <si>
    <t>IGV a Pagar</t>
  </si>
  <si>
    <t>ANNUAL</t>
  </si>
  <si>
    <t>COSTOS (MP,MD,CIF)</t>
  </si>
  <si>
    <t>IGV VENTAS &gt;</t>
  </si>
  <si>
    <t>IGV COMPRAS</t>
  </si>
  <si>
    <t>IGV COMPRAS &gt;</t>
  </si>
  <si>
    <t>IGV VENTAS</t>
  </si>
  <si>
    <t>+</t>
  </si>
  <si>
    <t>-</t>
  </si>
  <si>
    <t>IGV POR PAGAR</t>
  </si>
  <si>
    <r>
      <rPr>
        <b/>
        <i/>
        <u/>
        <sz val="11"/>
        <color theme="1"/>
        <rFont val="Calibri"/>
        <family val="2"/>
        <scheme val="minor"/>
      </rPr>
      <t>Pasivo Corriente</t>
    </r>
    <r>
      <rPr>
        <sz val="11"/>
        <color theme="1"/>
        <rFont val="Calibri"/>
        <family val="2"/>
        <scheme val="minor"/>
      </rPr>
      <t xml:space="preserve"> "IGV por Pagar"</t>
    </r>
  </si>
  <si>
    <r>
      <rPr>
        <b/>
        <i/>
        <u/>
        <sz val="11"/>
        <color theme="1"/>
        <rFont val="Calibri"/>
        <family val="2"/>
        <scheme val="minor"/>
      </rPr>
      <t>Activo Corriente</t>
    </r>
    <r>
      <rPr>
        <sz val="11"/>
        <color theme="1"/>
        <rFont val="Calibri"/>
        <family val="2"/>
        <scheme val="minor"/>
      </rPr>
      <t xml:space="preserve"> "Crédito Fiscal por IGV"</t>
    </r>
  </si>
  <si>
    <t>IGV PAGADO</t>
  </si>
  <si>
    <t>IGV Pagado mes anterior</t>
  </si>
  <si>
    <t>IGV POR COBRAR</t>
  </si>
  <si>
    <t>IGV COBRADO</t>
  </si>
  <si>
    <t>SALARIO MÍNIMO EN USD</t>
  </si>
  <si>
    <t>CALCULO DE APOYO</t>
  </si>
  <si>
    <t>VENTAS A CRÉDITO</t>
  </si>
  <si>
    <t xml:space="preserve">PASIVOS </t>
  </si>
  <si>
    <t>CAPITAL DE TRABAJO (AC-PC)</t>
  </si>
  <si>
    <t>VARIACIÓN ACTIVOS FIJOS (Sin DEP)</t>
  </si>
  <si>
    <t>FLUJO DE CAJA LIBRE</t>
  </si>
  <si>
    <t>NOPAT (Net Operating Profit After Taxes)</t>
  </si>
  <si>
    <t>PUNTO DE EQUILIBRIO</t>
  </si>
  <si>
    <t>Márgen de Contribución</t>
  </si>
  <si>
    <t>Punto de Equilibrio en USD</t>
  </si>
  <si>
    <t>IGV cobrado Inversión</t>
  </si>
  <si>
    <t>ANÁLISIS VERTICAL</t>
  </si>
  <si>
    <t>Periodo</t>
  </si>
  <si>
    <t>CHILE precio/lata</t>
  </si>
  <si>
    <t>ARGENTINA precio/lata</t>
  </si>
  <si>
    <t>PRECIO      Rodaja y Trozo</t>
  </si>
  <si>
    <t>Total Activos Fijos</t>
  </si>
  <si>
    <t>precio neto FOB</t>
  </si>
  <si>
    <t>PENTA</t>
  </si>
  <si>
    <t>Alquiler Planta</t>
  </si>
  <si>
    <t>Hectareas</t>
  </si>
  <si>
    <t>Primer año no se vendera todo, por lo que los primeros meses se espera una perdida hasta alcanzar los 10 contenedores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</si>
</sst>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&quot;Bs&quot;\ #,##0.00;\-&quot;Bs&quot;#,##0.00"/>
    <numFmt numFmtId="165" formatCode="0.0%"/>
    <numFmt numFmtId="166" formatCode="_(* #,##0.00_);_(* \(#,##0.00\);_(* &quot;-&quot;??_);_(@_)"/>
    <numFmt numFmtId="167" formatCode="_(* #,##0_);_(* \(#,##0\);_(* &quot;-&quot;??_);_(@_)"/>
    <numFmt numFmtId="168" formatCode="_-* #,##0_-;\-* #,##0_-;_-* &quot;-&quot;??_-;_-@_-"/>
    <numFmt numFmtId="169" formatCode="0.00_ ;[Red]\-0.00\ "/>
    <numFmt numFmtId="170" formatCode="#,##0.00_ ;[Red]\-#,##0.00\ "/>
    <numFmt numFmtId="171" formatCode="_-* #,##0.0000\ _€_-;\-* #,##0.0000\ _€_-;_-* &quot;-&quot;??\ _€_-;_-@_-"/>
    <numFmt numFmtId="172" formatCode="_-* #,##0.00000\ _€_-;\-* #,##0.00000\ _€_-;_-* &quot;-&quot;??\ _€_-;_-@_-"/>
    <numFmt numFmtId="173" formatCode="0.000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2"/>
      <color theme="1"/>
      <name val="Calibri"/>
      <family val="2"/>
      <scheme val="minor"/>
    </font>
    <font>
      <b/>
      <i/>
      <u/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Times New Roman"/>
      <family val="1"/>
    </font>
    <font>
      <b/>
      <sz val="9"/>
      <color indexed="81"/>
      <name val="Tahoma"/>
      <family val="2"/>
    </font>
    <font>
      <b/>
      <sz val="20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Times New Roman"/>
      <family val="1"/>
    </font>
    <font>
      <b/>
      <sz val="11"/>
      <color theme="1"/>
      <name val="Footlight MT Light"/>
      <family val="1"/>
    </font>
    <font>
      <sz val="11"/>
      <color theme="1"/>
      <name val="Footlight MT Light"/>
      <family val="1"/>
    </font>
    <font>
      <b/>
      <sz val="12"/>
      <color theme="0"/>
      <name val="Footlight MT Light"/>
      <family val="1"/>
    </font>
    <font>
      <b/>
      <i/>
      <sz val="12"/>
      <color theme="1"/>
      <name val="Times New Roman"/>
      <family val="1"/>
    </font>
    <font>
      <sz val="10"/>
      <color indexed="8"/>
      <name val="MS Sans Serif"/>
      <family val="2"/>
    </font>
    <font>
      <sz val="8"/>
      <color indexed="8"/>
      <name val="Univers Condensed"/>
      <family val="2"/>
    </font>
    <font>
      <sz val="8.15"/>
      <color indexed="8"/>
      <name val="Univers Condensed"/>
      <family val="2"/>
    </font>
    <font>
      <sz val="9.5"/>
      <color indexed="8"/>
      <name val="Univers Condensed"/>
      <family val="2"/>
    </font>
    <font>
      <b/>
      <u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i/>
      <u/>
      <sz val="12"/>
      <color indexed="8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C00000"/>
      <name val="Times New Roman"/>
      <family val="1"/>
    </font>
    <font>
      <b/>
      <i/>
      <u/>
      <sz val="12"/>
      <color rgb="FFFF0000"/>
      <name val="Times New Roman"/>
      <family val="1"/>
    </font>
    <font>
      <b/>
      <sz val="12"/>
      <name val="Times New Roman"/>
      <family val="1"/>
    </font>
    <font>
      <b/>
      <u/>
      <sz val="12"/>
      <color theme="1"/>
      <name val="Times New Roman"/>
      <family val="1"/>
    </font>
    <font>
      <b/>
      <i/>
      <sz val="12"/>
      <color rgb="FFC00000"/>
      <name val="Times New Roman"/>
      <family val="1"/>
    </font>
    <font>
      <b/>
      <sz val="12"/>
      <color theme="1"/>
      <name val="Calibri"/>
      <family val="2"/>
      <scheme val="minor"/>
    </font>
    <font>
      <b/>
      <i/>
      <u/>
      <sz val="16"/>
      <color rgb="FFFF0000"/>
      <name val="Times New Roman"/>
      <family val="1"/>
    </font>
    <font>
      <b/>
      <sz val="16"/>
      <color theme="0"/>
      <name val="Times New Roman"/>
      <family val="1"/>
    </font>
    <font>
      <b/>
      <sz val="18"/>
      <color rgb="FFFF0000"/>
      <name val="Times New Roman"/>
      <family val="1"/>
    </font>
    <font>
      <sz val="12"/>
      <color rgb="FFFF000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u/>
      <sz val="12"/>
      <name val="Times New Roman"/>
      <family val="1"/>
    </font>
    <font>
      <b/>
      <sz val="11"/>
      <name val="Calibri"/>
      <family val="2"/>
      <scheme val="minor"/>
    </font>
    <font>
      <b/>
      <sz val="14"/>
      <color theme="0"/>
      <name val="Footlight MT Light"/>
      <family val="1"/>
    </font>
    <font>
      <i/>
      <sz val="11"/>
      <color theme="1"/>
      <name val="Footlight MT Light"/>
      <family val="1"/>
    </font>
    <font>
      <sz val="12"/>
      <color rgb="FF000000"/>
      <name val="Times New Roman"/>
      <family val="1"/>
    </font>
    <font>
      <b/>
      <i/>
      <u/>
      <sz val="11"/>
      <color theme="1"/>
      <name val="Calibri"/>
      <family val="2"/>
      <scheme val="minor"/>
    </font>
    <font>
      <i/>
      <sz val="12"/>
      <name val="Times New Roman"/>
      <family val="1"/>
    </font>
    <font>
      <i/>
      <u/>
      <sz val="12"/>
      <color theme="0"/>
      <name val="Times New Roman"/>
      <family val="1"/>
    </font>
    <font>
      <i/>
      <u/>
      <sz val="12"/>
      <color theme="1"/>
      <name val="Times New Roman"/>
      <family val="1"/>
    </font>
    <font>
      <b/>
      <i/>
      <u/>
      <sz val="48"/>
      <color rgb="FFC00000"/>
      <name val="Times New Roman"/>
      <family val="1"/>
    </font>
    <font>
      <b/>
      <i/>
      <u/>
      <sz val="24"/>
      <color rgb="FFC00000"/>
      <name val="Times New Roman"/>
      <family val="1"/>
    </font>
    <font>
      <b/>
      <i/>
      <u/>
      <sz val="26"/>
      <color rgb="FFC00000"/>
      <name val="Times New Roman"/>
      <family val="1"/>
    </font>
    <font>
      <b/>
      <i/>
      <u/>
      <sz val="18"/>
      <color rgb="FFC00000"/>
      <name val="Times New Roman"/>
      <family val="1"/>
    </font>
    <font>
      <b/>
      <i/>
      <u/>
      <sz val="36"/>
      <color rgb="FFC00000"/>
      <name val="Times New Roman"/>
      <family val="1"/>
    </font>
    <font>
      <b/>
      <sz val="16"/>
      <color rgb="FFC00000"/>
      <name val="Times New Roman"/>
      <family val="1"/>
    </font>
    <font>
      <b/>
      <u/>
      <sz val="12"/>
      <name val="Times New Roman"/>
      <family val="1"/>
    </font>
    <font>
      <b/>
      <sz val="11"/>
      <color theme="1"/>
      <name val="Times New Roman"/>
      <family val="1"/>
    </font>
    <font>
      <b/>
      <u/>
      <sz val="18"/>
      <color rgb="FFC00000"/>
      <name val="Times New Roman"/>
      <family val="1"/>
    </font>
    <font>
      <b/>
      <u/>
      <sz val="20"/>
      <color rgb="FFC00000"/>
      <name val="Times New Roman"/>
      <family val="1"/>
    </font>
    <font>
      <b/>
      <sz val="22"/>
      <color rgb="FFFF0000"/>
      <name val="Times New Roman"/>
      <family val="1"/>
    </font>
    <font>
      <b/>
      <sz val="18"/>
      <color rgb="FFC00000"/>
      <name val="Times New Roman"/>
      <family val="1"/>
    </font>
    <font>
      <b/>
      <sz val="22"/>
      <color rgb="FFC00000"/>
      <name val="Times New Roman"/>
      <family val="1"/>
    </font>
    <font>
      <b/>
      <i/>
      <u/>
      <sz val="16"/>
      <color rgb="FFC00000"/>
      <name val="Times New Roman"/>
      <family val="1"/>
    </font>
    <font>
      <b/>
      <i/>
      <u/>
      <sz val="20"/>
      <color rgb="FFC00000"/>
      <name val="Times New Roman"/>
      <family val="1"/>
    </font>
    <font>
      <b/>
      <i/>
      <u/>
      <sz val="22"/>
      <color rgb="FFC00000"/>
      <name val="Times New Roman"/>
      <family val="1"/>
    </font>
    <font>
      <b/>
      <sz val="20"/>
      <color rgb="FFC00000"/>
      <name val="Times New Roman"/>
      <family val="1"/>
    </font>
    <font>
      <b/>
      <i/>
      <u/>
      <sz val="20"/>
      <color rgb="FFFF0000"/>
      <name val="Times New Roman"/>
      <family val="1"/>
    </font>
    <font>
      <sz val="12"/>
      <color rgb="FFFF0000"/>
      <name val="Calibri"/>
      <family val="2"/>
      <scheme val="minor"/>
    </font>
    <font>
      <sz val="8"/>
      <color rgb="FFFF0000"/>
      <name val="Univers Condensed"/>
      <family val="2"/>
    </font>
    <font>
      <sz val="8.15"/>
      <color rgb="FFFF0000"/>
      <name val="Univers Condensed"/>
      <family val="2"/>
    </font>
    <font>
      <sz val="9"/>
      <color indexed="81"/>
      <name val="Tahoma"/>
      <family val="2"/>
    </font>
    <font>
      <b/>
      <sz val="16"/>
      <color rgb="FFFF0000"/>
      <name val="Calibri"/>
      <family val="2"/>
      <scheme val="minor"/>
    </font>
    <font>
      <b/>
      <i/>
      <u/>
      <sz val="16"/>
      <color rgb="FFC00000"/>
      <name val="Calibri"/>
      <family val="2"/>
      <scheme val="minor"/>
    </font>
    <font>
      <b/>
      <i/>
      <sz val="14"/>
      <color rgb="FFFF0000"/>
      <name val="Times New Roman"/>
      <family val="1"/>
    </font>
    <font>
      <sz val="16"/>
      <color theme="0"/>
      <name val="Times New Roman"/>
      <family val="1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6"/>
      <color rgb="FFC00000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19" fillId="0" borderId="0"/>
    <xf numFmtId="0" fontId="22" fillId="0" borderId="0" applyNumberFormat="0" applyFill="0" applyBorder="0" applyProtection="0">
      <alignment horizontal="left" vertical="center"/>
    </xf>
    <xf numFmtId="166" fontId="27" fillId="0" borderId="0" applyFont="0" applyFill="0" applyBorder="0" applyAlignment="0" applyProtection="0"/>
  </cellStyleXfs>
  <cellXfs count="1093">
    <xf numFmtId="0" fontId="0" fillId="0" borderId="0" xfId="0"/>
    <xf numFmtId="0" fontId="2" fillId="0" borderId="1" xfId="0" applyFont="1" applyBorder="1"/>
    <xf numFmtId="0" fontId="2" fillId="3" borderId="1" xfId="0" applyFont="1" applyFill="1" applyBorder="1"/>
    <xf numFmtId="0" fontId="4" fillId="2" borderId="1" xfId="0" applyFont="1" applyFill="1" applyBorder="1" applyAlignment="1">
      <alignment horizontal="center"/>
    </xf>
    <xf numFmtId="0" fontId="5" fillId="0" borderId="0" xfId="0" applyFont="1"/>
    <xf numFmtId="0" fontId="4" fillId="2" borderId="1" xfId="0" applyFont="1" applyFill="1" applyBorder="1" applyAlignment="1">
      <alignment horizontal="center" vertical="center"/>
    </xf>
    <xf numFmtId="0" fontId="2" fillId="0" borderId="0" xfId="0" applyFont="1"/>
    <xf numFmtId="0" fontId="6" fillId="0" borderId="0" xfId="0" applyFont="1" applyAlignment="1">
      <alignment horizontal="left" vertical="center"/>
    </xf>
    <xf numFmtId="0" fontId="3" fillId="0" borderId="0" xfId="0" applyFont="1"/>
    <xf numFmtId="0" fontId="6" fillId="0" borderId="0" xfId="0" applyFont="1" applyAlignment="1">
      <alignment vertical="center"/>
    </xf>
    <xf numFmtId="0" fontId="5" fillId="0" borderId="1" xfId="0" applyFont="1" applyBorder="1"/>
    <xf numFmtId="0" fontId="0" fillId="0" borderId="1" xfId="0" applyBorder="1"/>
    <xf numFmtId="0" fontId="6" fillId="0" borderId="0" xfId="0" applyFont="1" applyBorder="1" applyAlignment="1">
      <alignment vertical="center"/>
    </xf>
    <xf numFmtId="0" fontId="6" fillId="4" borderId="0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horizontal="center" vertical="center" wrapText="1"/>
    </xf>
    <xf numFmtId="9" fontId="9" fillId="2" borderId="10" xfId="0" applyNumberFormat="1" applyFont="1" applyFill="1" applyBorder="1" applyAlignment="1">
      <alignment horizontal="center" vertical="center" wrapText="1"/>
    </xf>
    <xf numFmtId="10" fontId="9" fillId="2" borderId="10" xfId="0" applyNumberFormat="1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vertical="center" wrapText="1"/>
    </xf>
    <xf numFmtId="164" fontId="2" fillId="5" borderId="0" xfId="0" applyNumberFormat="1" applyFont="1" applyFill="1" applyBorder="1" applyAlignment="1">
      <alignment vertical="center" wrapText="1"/>
    </xf>
    <xf numFmtId="164" fontId="2" fillId="0" borderId="0" xfId="0" applyNumberFormat="1" applyFont="1" applyBorder="1" applyAlignment="1">
      <alignment horizontal="right" vertical="center" wrapText="1"/>
    </xf>
    <xf numFmtId="164" fontId="2" fillId="5" borderId="0" xfId="0" applyNumberFormat="1" applyFont="1" applyFill="1" applyBorder="1" applyAlignment="1">
      <alignment horizontal="right" vertical="center" wrapText="1"/>
    </xf>
    <xf numFmtId="164" fontId="3" fillId="4" borderId="0" xfId="0" applyNumberFormat="1" applyFont="1" applyFill="1" applyBorder="1" applyAlignment="1">
      <alignment horizontal="right" vertical="center" wrapText="1"/>
    </xf>
    <xf numFmtId="164" fontId="2" fillId="4" borderId="0" xfId="0" applyNumberFormat="1" applyFont="1" applyFill="1" applyBorder="1" applyAlignment="1">
      <alignment horizontal="right" vertical="center" wrapText="1"/>
    </xf>
    <xf numFmtId="0" fontId="3" fillId="6" borderId="3" xfId="0" applyFont="1" applyFill="1" applyBorder="1" applyAlignment="1">
      <alignment vertical="center" wrapText="1"/>
    </xf>
    <xf numFmtId="0" fontId="3" fillId="6" borderId="12" xfId="0" applyFont="1" applyFill="1" applyBorder="1" applyAlignment="1">
      <alignment vertical="center" wrapText="1"/>
    </xf>
    <xf numFmtId="0" fontId="4" fillId="2" borderId="5" xfId="0" applyFont="1" applyFill="1" applyBorder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7" borderId="0" xfId="0" applyFon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2" fillId="3" borderId="1" xfId="0" applyFont="1" applyFill="1" applyBorder="1" applyAlignment="1">
      <alignment horizontal="left" indent="1"/>
    </xf>
    <xf numFmtId="0" fontId="2" fillId="3" borderId="3" xfId="0" applyFont="1" applyFill="1" applyBorder="1"/>
    <xf numFmtId="0" fontId="6" fillId="0" borderId="0" xfId="0" applyFont="1" applyFill="1" applyAlignment="1">
      <alignment horizontal="left" vertical="center"/>
    </xf>
    <xf numFmtId="0" fontId="0" fillId="4" borderId="0" xfId="0" applyFill="1"/>
    <xf numFmtId="43" fontId="2" fillId="3" borderId="1" xfId="1" applyFont="1" applyFill="1" applyBorder="1" applyAlignment="1">
      <alignment vertical="center" wrapText="1"/>
    </xf>
    <xf numFmtId="43" fontId="2" fillId="3" borderId="1" xfId="1" applyFont="1" applyFill="1" applyBorder="1" applyAlignment="1">
      <alignment horizontal="right" vertical="center" wrapText="1"/>
    </xf>
    <xf numFmtId="43" fontId="2" fillId="0" borderId="1" xfId="1" applyFont="1" applyBorder="1" applyAlignment="1">
      <alignment horizontal="right" vertical="center" wrapText="1"/>
    </xf>
    <xf numFmtId="43" fontId="2" fillId="5" borderId="1" xfId="1" applyFont="1" applyFill="1" applyBorder="1" applyAlignment="1">
      <alignment horizontal="right" vertical="center" wrapText="1"/>
    </xf>
    <xf numFmtId="43" fontId="0" fillId="0" borderId="0" xfId="1" applyFont="1"/>
    <xf numFmtId="43" fontId="3" fillId="6" borderId="1" xfId="1" applyFont="1" applyFill="1" applyBorder="1" applyAlignment="1">
      <alignment vertical="center" wrapText="1"/>
    </xf>
    <xf numFmtId="43" fontId="3" fillId="6" borderId="1" xfId="1" applyFont="1" applyFill="1" applyBorder="1" applyAlignment="1">
      <alignment horizontal="right" vertical="center" wrapText="1"/>
    </xf>
    <xf numFmtId="43" fontId="2" fillId="4" borderId="1" xfId="1" applyFont="1" applyFill="1" applyBorder="1" applyAlignment="1">
      <alignment horizontal="right" vertical="center" wrapText="1"/>
    </xf>
    <xf numFmtId="43" fontId="3" fillId="6" borderId="3" xfId="1" applyFont="1" applyFill="1" applyBorder="1" applyAlignment="1">
      <alignment horizontal="right" vertical="center" wrapText="1"/>
    </xf>
    <xf numFmtId="43" fontId="3" fillId="6" borderId="13" xfId="1" applyFont="1" applyFill="1" applyBorder="1" applyAlignment="1">
      <alignment horizontal="right" vertical="center" wrapText="1"/>
    </xf>
    <xf numFmtId="43" fontId="3" fillId="6" borderId="14" xfId="1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center" vertical="center"/>
    </xf>
    <xf numFmtId="10" fontId="0" fillId="0" borderId="0" xfId="2" applyNumberFormat="1" applyFont="1"/>
    <xf numFmtId="0" fontId="13" fillId="0" borderId="0" xfId="0" applyFont="1"/>
    <xf numFmtId="0" fontId="0" fillId="0" borderId="0" xfId="0" applyAlignment="1">
      <alignment horizontal="center"/>
    </xf>
    <xf numFmtId="0" fontId="0" fillId="3" borderId="19" xfId="0" applyFill="1" applyBorder="1" applyProtection="1">
      <protection locked="0"/>
    </xf>
    <xf numFmtId="0" fontId="0" fillId="0" borderId="19" xfId="0" applyBorder="1"/>
    <xf numFmtId="0" fontId="0" fillId="0" borderId="19" xfId="0" applyBorder="1" applyAlignment="1">
      <alignment vertical="center"/>
    </xf>
    <xf numFmtId="4" fontId="0" fillId="0" borderId="0" xfId="0" applyNumberFormat="1"/>
    <xf numFmtId="0" fontId="0" fillId="3" borderId="1" xfId="0" applyFill="1" applyBorder="1" applyProtection="1">
      <protection locked="0"/>
    </xf>
    <xf numFmtId="10" fontId="0" fillId="0" borderId="0" xfId="0" applyNumberFormat="1"/>
    <xf numFmtId="0" fontId="4" fillId="2" borderId="20" xfId="0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center" vertical="center" wrapText="1"/>
    </xf>
    <xf numFmtId="0" fontId="11" fillId="4" borderId="0" xfId="0" applyFont="1" applyFill="1" applyAlignment="1">
      <alignment vertical="center"/>
    </xf>
    <xf numFmtId="0" fontId="17" fillId="2" borderId="1" xfId="0" applyFont="1" applyFill="1" applyBorder="1" applyAlignment="1">
      <alignment horizontal="center"/>
    </xf>
    <xf numFmtId="0" fontId="2" fillId="10" borderId="1" xfId="0" applyFont="1" applyFill="1" applyBorder="1"/>
    <xf numFmtId="0" fontId="3" fillId="6" borderId="1" xfId="0" applyFont="1" applyFill="1" applyBorder="1" applyAlignment="1">
      <alignment vertical="center" wrapText="1"/>
    </xf>
    <xf numFmtId="9" fontId="0" fillId="0" borderId="1" xfId="0" applyNumberFormat="1" applyBorder="1" applyAlignment="1">
      <alignment horizontal="center"/>
    </xf>
    <xf numFmtId="0" fontId="20" fillId="3" borderId="1" xfId="4" applyFont="1" applyFill="1" applyBorder="1" applyAlignment="1">
      <alignment vertical="center"/>
    </xf>
    <xf numFmtId="0" fontId="21" fillId="3" borderId="1" xfId="0" applyFont="1" applyFill="1" applyBorder="1" applyAlignment="1">
      <alignment vertical="center"/>
    </xf>
    <xf numFmtId="0" fontId="0" fillId="3" borderId="1" xfId="0" applyFill="1" applyBorder="1"/>
    <xf numFmtId="0" fontId="28" fillId="0" borderId="0" xfId="0" applyFont="1" applyFill="1" applyAlignment="1">
      <alignment horizontal="left" vertical="center"/>
    </xf>
    <xf numFmtId="0" fontId="2" fillId="0" borderId="0" xfId="0" applyFont="1" applyBorder="1"/>
    <xf numFmtId="37" fontId="4" fillId="2" borderId="1" xfId="6" applyNumberFormat="1" applyFont="1" applyFill="1" applyBorder="1" applyAlignment="1">
      <alignment horizontal="centerContinuous" vertical="center"/>
    </xf>
    <xf numFmtId="0" fontId="9" fillId="2" borderId="1" xfId="0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left" vertical="center"/>
    </xf>
    <xf numFmtId="0" fontId="2" fillId="3" borderId="32" xfId="0" applyFont="1" applyFill="1" applyBorder="1"/>
    <xf numFmtId="0" fontId="5" fillId="3" borderId="1" xfId="0" applyFont="1" applyFill="1" applyBorder="1"/>
    <xf numFmtId="0" fontId="5" fillId="6" borderId="1" xfId="0" applyFont="1" applyFill="1" applyBorder="1"/>
    <xf numFmtId="0" fontId="2" fillId="0" borderId="10" xfId="0" applyFont="1" applyBorder="1"/>
    <xf numFmtId="0" fontId="4" fillId="2" borderId="12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2" fillId="0" borderId="39" xfId="0" applyFont="1" applyBorder="1"/>
    <xf numFmtId="0" fontId="1" fillId="0" borderId="39" xfId="0" applyFont="1" applyBorder="1"/>
    <xf numFmtId="0" fontId="2" fillId="0" borderId="38" xfId="0" applyFont="1" applyBorder="1"/>
    <xf numFmtId="0" fontId="7" fillId="2" borderId="46" xfId="0" applyFont="1" applyFill="1" applyBorder="1" applyAlignment="1">
      <alignment horizontal="center" vertical="center"/>
    </xf>
    <xf numFmtId="9" fontId="7" fillId="2" borderId="45" xfId="2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 wrapText="1"/>
    </xf>
    <xf numFmtId="0" fontId="2" fillId="4" borderId="0" xfId="0" applyFont="1" applyFill="1" applyBorder="1"/>
    <xf numFmtId="0" fontId="5" fillId="4" borderId="0" xfId="0" applyFont="1" applyFill="1" applyBorder="1"/>
    <xf numFmtId="0" fontId="2" fillId="3" borderId="1" xfId="0" applyFont="1" applyFill="1" applyBorder="1" applyAlignment="1">
      <alignment horizontal="center" vertical="center"/>
    </xf>
    <xf numFmtId="9" fontId="0" fillId="0" borderId="1" xfId="2" applyFont="1" applyBorder="1" applyAlignment="1">
      <alignment horizontal="center"/>
    </xf>
    <xf numFmtId="0" fontId="0" fillId="0" borderId="0" xfId="0" applyAlignment="1">
      <alignment wrapText="1"/>
    </xf>
    <xf numFmtId="9" fontId="1" fillId="4" borderId="35" xfId="2" applyFont="1" applyFill="1" applyBorder="1"/>
    <xf numFmtId="43" fontId="2" fillId="0" borderId="1" xfId="1" applyFont="1" applyBorder="1"/>
    <xf numFmtId="43" fontId="2" fillId="4" borderId="1" xfId="1" applyFont="1" applyFill="1" applyBorder="1"/>
    <xf numFmtId="0" fontId="2" fillId="4" borderId="1" xfId="0" applyFont="1" applyFill="1" applyBorder="1"/>
    <xf numFmtId="167" fontId="4" fillId="2" borderId="1" xfId="1" applyNumberFormat="1" applyFont="1" applyFill="1" applyBorder="1" applyAlignment="1">
      <alignment horizontal="center" vertical="center" wrapText="1"/>
    </xf>
    <xf numFmtId="43" fontId="2" fillId="4" borderId="0" xfId="1" applyFont="1" applyFill="1" applyBorder="1" applyAlignment="1">
      <alignment horizontal="center" vertical="center"/>
    </xf>
    <xf numFmtId="43" fontId="2" fillId="0" borderId="1" xfId="1" applyFont="1" applyBorder="1" applyAlignment="1">
      <alignment horizontal="center"/>
    </xf>
    <xf numFmtId="43" fontId="14" fillId="0" borderId="8" xfId="1" applyFont="1" applyFill="1" applyBorder="1" applyAlignment="1">
      <alignment horizontal="center" vertical="center"/>
    </xf>
    <xf numFmtId="43" fontId="14" fillId="4" borderId="0" xfId="1" applyFont="1" applyFill="1" applyBorder="1" applyAlignment="1">
      <alignment horizontal="center" vertical="center"/>
    </xf>
    <xf numFmtId="43" fontId="2" fillId="0" borderId="5" xfId="1" applyFont="1" applyBorder="1" applyAlignment="1">
      <alignment horizontal="center" vertical="center"/>
    </xf>
    <xf numFmtId="43" fontId="2" fillId="0" borderId="1" xfId="1" applyFont="1" applyBorder="1" applyAlignment="1">
      <alignment horizontal="center" vertical="center"/>
    </xf>
    <xf numFmtId="37" fontId="14" fillId="11" borderId="53" xfId="6" applyNumberFormat="1" applyFont="1" applyFill="1" applyBorder="1" applyAlignment="1">
      <alignment horizontal="left" indent="2"/>
    </xf>
    <xf numFmtId="37" fontId="14" fillId="11" borderId="29" xfId="6" applyNumberFormat="1" applyFont="1" applyFill="1" applyBorder="1" applyAlignment="1">
      <alignment horizontal="left" indent="2"/>
    </xf>
    <xf numFmtId="3" fontId="2" fillId="11" borderId="19" xfId="0" applyNumberFormat="1" applyFont="1" applyFill="1" applyBorder="1"/>
    <xf numFmtId="0" fontId="2" fillId="4" borderId="52" xfId="0" applyFont="1" applyFill="1" applyBorder="1"/>
    <xf numFmtId="3" fontId="2" fillId="11" borderId="52" xfId="0" applyNumberFormat="1" applyFont="1" applyFill="1" applyBorder="1"/>
    <xf numFmtId="37" fontId="14" fillId="4" borderId="0" xfId="6" applyNumberFormat="1" applyFont="1" applyFill="1" applyBorder="1" applyAlignment="1">
      <alignment horizontal="left" indent="2"/>
    </xf>
    <xf numFmtId="43" fontId="2" fillId="4" borderId="0" xfId="0" applyNumberFormat="1" applyFont="1" applyFill="1" applyBorder="1"/>
    <xf numFmtId="0" fontId="14" fillId="4" borderId="0" xfId="0" applyFont="1" applyFill="1" applyBorder="1" applyAlignment="1">
      <alignment horizontal="left" vertical="center" indent="2"/>
    </xf>
    <xf numFmtId="0" fontId="4" fillId="2" borderId="5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/>
    </xf>
    <xf numFmtId="0" fontId="4" fillId="2" borderId="47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167" fontId="4" fillId="2" borderId="7" xfId="1" applyNumberFormat="1" applyFont="1" applyFill="1" applyBorder="1" applyAlignment="1">
      <alignment horizontal="center" vertical="center" wrapText="1"/>
    </xf>
    <xf numFmtId="0" fontId="9" fillId="2" borderId="1" xfId="0" applyFont="1" applyFill="1" applyBorder="1"/>
    <xf numFmtId="0" fontId="28" fillId="4" borderId="0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3" fontId="2" fillId="11" borderId="29" xfId="0" applyNumberFormat="1" applyFont="1" applyFill="1" applyBorder="1"/>
    <xf numFmtId="3" fontId="2" fillId="11" borderId="53" xfId="0" applyNumberFormat="1" applyFont="1" applyFill="1" applyBorder="1"/>
    <xf numFmtId="43" fontId="2" fillId="0" borderId="5" xfId="1" applyFont="1" applyBorder="1" applyAlignment="1">
      <alignment horizontal="center"/>
    </xf>
    <xf numFmtId="43" fontId="14" fillId="0" borderId="6" xfId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0" fillId="0" borderId="0" xfId="0" applyFont="1" applyBorder="1" applyAlignment="1"/>
    <xf numFmtId="0" fontId="2" fillId="4" borderId="10" xfId="0" applyFont="1" applyFill="1" applyBorder="1"/>
    <xf numFmtId="0" fontId="2" fillId="0" borderId="0" xfId="0" applyFont="1" applyAlignment="1">
      <alignment horizontal="center" vertical="center"/>
    </xf>
    <xf numFmtId="0" fontId="29" fillId="4" borderId="0" xfId="0" applyFont="1" applyFill="1" applyAlignment="1">
      <alignment vertical="center"/>
    </xf>
    <xf numFmtId="0" fontId="30" fillId="0" borderId="0" xfId="0" applyFont="1" applyAlignment="1"/>
    <xf numFmtId="167" fontId="4" fillId="4" borderId="0" xfId="1" applyNumberFormat="1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7" fontId="4" fillId="2" borderId="7" xfId="1" applyNumberFormat="1" applyFont="1" applyFill="1" applyBorder="1" applyAlignment="1">
      <alignment horizontal="centerContinuous" vertical="center"/>
    </xf>
    <xf numFmtId="167" fontId="4" fillId="2" borderId="1" xfId="1" applyNumberFormat="1" applyFont="1" applyFill="1" applyBorder="1" applyAlignment="1">
      <alignment horizontal="centerContinuous" vertical="center"/>
    </xf>
    <xf numFmtId="37" fontId="4" fillId="4" borderId="0" xfId="6" applyNumberFormat="1" applyFont="1" applyFill="1" applyBorder="1" applyAlignment="1">
      <alignment horizontal="center" wrapText="1"/>
    </xf>
    <xf numFmtId="37" fontId="4" fillId="2" borderId="10" xfId="6" applyNumberFormat="1" applyFont="1" applyFill="1" applyBorder="1" applyAlignment="1">
      <alignment horizontal="center" wrapText="1"/>
    </xf>
    <xf numFmtId="37" fontId="4" fillId="2" borderId="11" xfId="6" applyNumberFormat="1" applyFont="1" applyFill="1" applyBorder="1" applyAlignment="1">
      <alignment horizontal="center" wrapText="1"/>
    </xf>
    <xf numFmtId="37" fontId="4" fillId="2" borderId="9" xfId="6" applyNumberFormat="1" applyFont="1" applyFill="1" applyBorder="1" applyAlignment="1">
      <alignment horizontal="center" wrapText="1"/>
    </xf>
    <xf numFmtId="43" fontId="2" fillId="0" borderId="5" xfId="1" applyFont="1" applyBorder="1"/>
    <xf numFmtId="43" fontId="2" fillId="0" borderId="4" xfId="1" applyFont="1" applyBorder="1" applyAlignment="1">
      <alignment horizontal="center" vertical="center"/>
    </xf>
    <xf numFmtId="43" fontId="2" fillId="0" borderId="6" xfId="1" applyFont="1" applyBorder="1"/>
    <xf numFmtId="43" fontId="2" fillId="0" borderId="4" xfId="0" applyNumberFormat="1" applyFont="1" applyBorder="1"/>
    <xf numFmtId="43" fontId="2" fillId="0" borderId="5" xfId="0" applyNumberFormat="1" applyFont="1" applyBorder="1"/>
    <xf numFmtId="43" fontId="2" fillId="0" borderId="6" xfId="0" applyNumberFormat="1" applyFont="1" applyBorder="1"/>
    <xf numFmtId="43" fontId="2" fillId="0" borderId="7" xfId="1" applyFont="1" applyBorder="1" applyAlignment="1">
      <alignment horizontal="center" vertical="center"/>
    </xf>
    <xf numFmtId="43" fontId="2" fillId="0" borderId="8" xfId="1" applyFont="1" applyBorder="1"/>
    <xf numFmtId="43" fontId="2" fillId="0" borderId="7" xfId="0" applyNumberFormat="1" applyFont="1" applyBorder="1"/>
    <xf numFmtId="43" fontId="2" fillId="0" borderId="1" xfId="0" applyNumberFormat="1" applyFont="1" applyBorder="1"/>
    <xf numFmtId="43" fontId="2" fillId="0" borderId="8" xfId="0" applyNumberFormat="1" applyFont="1" applyBorder="1"/>
    <xf numFmtId="0" fontId="2" fillId="4" borderId="50" xfId="0" applyFont="1" applyFill="1" applyBorder="1"/>
    <xf numFmtId="43" fontId="2" fillId="11" borderId="9" xfId="0" applyNumberFormat="1" applyFont="1" applyFill="1" applyBorder="1"/>
    <xf numFmtId="43" fontId="2" fillId="11" borderId="10" xfId="0" applyNumberFormat="1" applyFont="1" applyFill="1" applyBorder="1"/>
    <xf numFmtId="43" fontId="2" fillId="11" borderId="11" xfId="0" applyNumberFormat="1" applyFont="1" applyFill="1" applyBorder="1"/>
    <xf numFmtId="0" fontId="28" fillId="0" borderId="0" xfId="0" applyFont="1" applyFill="1" applyAlignment="1">
      <alignment horizontal="left"/>
    </xf>
    <xf numFmtId="0" fontId="3" fillId="6" borderId="9" xfId="0" applyFont="1" applyFill="1" applyBorder="1"/>
    <xf numFmtId="0" fontId="28" fillId="0" borderId="0" xfId="0" applyFont="1" applyFill="1" applyBorder="1" applyAlignment="1">
      <alignment horizontal="left"/>
    </xf>
    <xf numFmtId="43" fontId="2" fillId="0" borderId="0" xfId="0" applyNumberFormat="1" applyFont="1"/>
    <xf numFmtId="0" fontId="29" fillId="4" borderId="0" xfId="0" applyFont="1" applyFill="1" applyBorder="1" applyAlignment="1">
      <alignment vertical="center"/>
    </xf>
    <xf numFmtId="43" fontId="14" fillId="4" borderId="1" xfId="1" applyFont="1" applyFill="1" applyBorder="1" applyAlignment="1">
      <alignment horizontal="left" indent="2"/>
    </xf>
    <xf numFmtId="43" fontId="2" fillId="4" borderId="1" xfId="0" applyNumberFormat="1" applyFont="1" applyFill="1" applyBorder="1"/>
    <xf numFmtId="0" fontId="2" fillId="0" borderId="7" xfId="0" applyFont="1" applyBorder="1" applyAlignment="1">
      <alignment horizontal="left" indent="2"/>
    </xf>
    <xf numFmtId="43" fontId="3" fillId="6" borderId="10" xfId="0" applyNumberFormat="1" applyFont="1" applyFill="1" applyBorder="1"/>
    <xf numFmtId="43" fontId="3" fillId="6" borderId="11" xfId="0" applyNumberFormat="1" applyFont="1" applyFill="1" applyBorder="1"/>
    <xf numFmtId="43" fontId="2" fillId="4" borderId="5" xfId="0" applyNumberFormat="1" applyFont="1" applyFill="1" applyBorder="1"/>
    <xf numFmtId="0" fontId="4" fillId="2" borderId="51" xfId="0" applyFont="1" applyFill="1" applyBorder="1"/>
    <xf numFmtId="0" fontId="4" fillId="2" borderId="50" xfId="0" applyFont="1" applyFill="1" applyBorder="1" applyAlignment="1">
      <alignment horizontal="center"/>
    </xf>
    <xf numFmtId="0" fontId="4" fillId="2" borderId="52" xfId="0" applyFont="1" applyFill="1" applyBorder="1" applyAlignment="1">
      <alignment horizontal="center"/>
    </xf>
    <xf numFmtId="43" fontId="14" fillId="4" borderId="5" xfId="1" applyFont="1" applyFill="1" applyBorder="1" applyAlignment="1">
      <alignment horizontal="left" indent="2"/>
    </xf>
    <xf numFmtId="43" fontId="3" fillId="6" borderId="10" xfId="1" applyFont="1" applyFill="1" applyBorder="1"/>
    <xf numFmtId="43" fontId="2" fillId="0" borderId="0" xfId="1" applyFont="1"/>
    <xf numFmtId="43" fontId="2" fillId="3" borderId="1" xfId="1" applyFont="1" applyFill="1" applyBorder="1"/>
    <xf numFmtId="43" fontId="5" fillId="0" borderId="0" xfId="1" applyFont="1"/>
    <xf numFmtId="43" fontId="2" fillId="6" borderId="1" xfId="1" applyFont="1" applyFill="1" applyBorder="1"/>
    <xf numFmtId="43" fontId="5" fillId="4" borderId="0" xfId="1" applyFont="1" applyFill="1"/>
    <xf numFmtId="43" fontId="5" fillId="0" borderId="1" xfId="1" applyFont="1" applyBorder="1" applyAlignment="1">
      <alignment horizontal="center"/>
    </xf>
    <xf numFmtId="43" fontId="5" fillId="13" borderId="1" xfId="1" applyFont="1" applyFill="1" applyBorder="1" applyAlignment="1">
      <alignment horizontal="center"/>
    </xf>
    <xf numFmtId="43" fontId="35" fillId="0" borderId="1" xfId="1" applyFont="1" applyBorder="1" applyAlignment="1">
      <alignment horizontal="center"/>
    </xf>
    <xf numFmtId="0" fontId="36" fillId="0" borderId="0" xfId="0" applyFont="1"/>
    <xf numFmtId="43" fontId="2" fillId="11" borderId="1" xfId="1" applyFont="1" applyFill="1" applyBorder="1"/>
    <xf numFmtId="0" fontId="18" fillId="11" borderId="1" xfId="0" applyFont="1" applyFill="1" applyBorder="1" applyAlignment="1">
      <alignment horizontal="center"/>
    </xf>
    <xf numFmtId="37" fontId="14" fillId="14" borderId="4" xfId="6" applyNumberFormat="1" applyFont="1" applyFill="1" applyBorder="1" applyAlignment="1">
      <alignment horizontal="left" indent="2"/>
    </xf>
    <xf numFmtId="37" fontId="14" fillId="14" borderId="7" xfId="6" applyNumberFormat="1" applyFont="1" applyFill="1" applyBorder="1" applyAlignment="1">
      <alignment horizontal="left" indent="2"/>
    </xf>
    <xf numFmtId="0" fontId="4" fillId="2" borderId="25" xfId="0" applyFont="1" applyFill="1" applyBorder="1" applyAlignment="1">
      <alignment vertical="center" wrapText="1"/>
    </xf>
    <xf numFmtId="0" fontId="32" fillId="0" borderId="0" xfId="0" applyFont="1" applyAlignment="1">
      <alignment horizontal="right"/>
    </xf>
    <xf numFmtId="0" fontId="4" fillId="2" borderId="1" xfId="0" applyFont="1" applyFill="1" applyBorder="1" applyAlignment="1">
      <alignment vertical="center" wrapText="1"/>
    </xf>
    <xf numFmtId="0" fontId="2" fillId="9" borderId="23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4" fontId="2" fillId="0" borderId="24" xfId="0" applyNumberFormat="1" applyFont="1" applyBorder="1" applyAlignment="1">
      <alignment horizontal="center" vertical="center"/>
    </xf>
    <xf numFmtId="4" fontId="2" fillId="0" borderId="0" xfId="0" applyNumberFormat="1" applyFont="1"/>
    <xf numFmtId="40" fontId="2" fillId="0" borderId="0" xfId="0" applyNumberFormat="1" applyFont="1"/>
    <xf numFmtId="43" fontId="2" fillId="9" borderId="23" xfId="1" applyFont="1" applyFill="1" applyBorder="1" applyAlignment="1">
      <alignment horizontal="center" vertical="center" wrapText="1"/>
    </xf>
    <xf numFmtId="43" fontId="2" fillId="9" borderId="23" xfId="1" applyFont="1" applyFill="1" applyBorder="1" applyAlignment="1">
      <alignment horizontal="center" vertical="center"/>
    </xf>
    <xf numFmtId="43" fontId="2" fillId="4" borderId="24" xfId="1" applyFont="1" applyFill="1" applyBorder="1" applyAlignment="1">
      <alignment horizontal="center" vertical="center"/>
    </xf>
    <xf numFmtId="43" fontId="2" fillId="0" borderId="24" xfId="1" applyFont="1" applyBorder="1" applyAlignment="1">
      <alignment horizontal="center" vertical="center"/>
    </xf>
    <xf numFmtId="0" fontId="24" fillId="4" borderId="7" xfId="0" applyFont="1" applyFill="1" applyBorder="1" applyAlignment="1">
      <alignment horizontal="left" vertical="center" indent="2"/>
    </xf>
    <xf numFmtId="43" fontId="5" fillId="0" borderId="8" xfId="1" applyFont="1" applyBorder="1" applyAlignment="1">
      <alignment horizontal="center"/>
    </xf>
    <xf numFmtId="0" fontId="23" fillId="4" borderId="7" xfId="0" applyFont="1" applyFill="1" applyBorder="1" applyAlignment="1">
      <alignment horizontal="left" vertical="center"/>
    </xf>
    <xf numFmtId="0" fontId="33" fillId="0" borderId="7" xfId="0" applyFont="1" applyBorder="1"/>
    <xf numFmtId="0" fontId="25" fillId="13" borderId="7" xfId="0" applyFont="1" applyFill="1" applyBorder="1" applyAlignment="1">
      <alignment horizontal="left" vertical="center"/>
    </xf>
    <xf numFmtId="43" fontId="5" fillId="13" borderId="8" xfId="1" applyFont="1" applyFill="1" applyBorder="1" applyAlignment="1">
      <alignment horizontal="center"/>
    </xf>
    <xf numFmtId="0" fontId="25" fillId="4" borderId="7" xfId="4" applyFont="1" applyFill="1" applyBorder="1" applyAlignment="1">
      <alignment horizontal="left" vertical="center"/>
    </xf>
    <xf numFmtId="43" fontId="35" fillId="0" borderId="8" xfId="1" applyFont="1" applyBorder="1" applyAlignment="1">
      <alignment horizontal="center"/>
    </xf>
    <xf numFmtId="0" fontId="3" fillId="0" borderId="7" xfId="0" applyFont="1" applyBorder="1"/>
    <xf numFmtId="0" fontId="3" fillId="13" borderId="7" xfId="0" applyFont="1" applyFill="1" applyBorder="1"/>
    <xf numFmtId="0" fontId="2" fillId="0" borderId="7" xfId="0" applyFont="1" applyBorder="1" applyAlignment="1">
      <alignment horizontal="left" indent="1"/>
    </xf>
    <xf numFmtId="0" fontId="3" fillId="13" borderId="9" xfId="0" applyFont="1" applyFill="1" applyBorder="1"/>
    <xf numFmtId="43" fontId="5" fillId="13" borderId="10" xfId="1" applyFont="1" applyFill="1" applyBorder="1" applyAlignment="1">
      <alignment horizontal="center"/>
    </xf>
    <xf numFmtId="43" fontId="5" fillId="13" borderId="11" xfId="1" applyFont="1" applyFill="1" applyBorder="1" applyAlignment="1">
      <alignment horizontal="center"/>
    </xf>
    <xf numFmtId="0" fontId="3" fillId="0" borderId="4" xfId="0" applyFont="1" applyBorder="1"/>
    <xf numFmtId="10" fontId="5" fillId="3" borderId="5" xfId="2" applyNumberFormat="1" applyFont="1" applyFill="1" applyBorder="1" applyAlignment="1">
      <alignment horizontal="center"/>
    </xf>
    <xf numFmtId="10" fontId="5" fillId="3" borderId="6" xfId="2" applyNumberFormat="1" applyFont="1" applyFill="1" applyBorder="1" applyAlignment="1">
      <alignment horizontal="center"/>
    </xf>
    <xf numFmtId="0" fontId="37" fillId="2" borderId="12" xfId="0" applyFont="1" applyFill="1" applyBorder="1"/>
    <xf numFmtId="0" fontId="37" fillId="2" borderId="13" xfId="0" applyFont="1" applyFill="1" applyBorder="1" applyAlignment="1">
      <alignment horizontal="center"/>
    </xf>
    <xf numFmtId="0" fontId="37" fillId="2" borderId="14" xfId="0" applyFont="1" applyFill="1" applyBorder="1" applyAlignment="1">
      <alignment horizontal="center"/>
    </xf>
    <xf numFmtId="0" fontId="15" fillId="0" borderId="18" xfId="0" applyFont="1" applyBorder="1" applyAlignment="1"/>
    <xf numFmtId="43" fontId="0" fillId="0" borderId="1" xfId="0" applyNumberFormat="1" applyBorder="1"/>
    <xf numFmtId="43" fontId="0" fillId="0" borderId="1" xfId="0" applyNumberFormat="1" applyFont="1" applyBorder="1"/>
    <xf numFmtId="43" fontId="2" fillId="4" borderId="0" xfId="1" applyFont="1" applyFill="1" applyBorder="1"/>
    <xf numFmtId="43" fontId="5" fillId="13" borderId="10" xfId="0" applyNumberFormat="1" applyFont="1" applyFill="1" applyBorder="1"/>
    <xf numFmtId="43" fontId="5" fillId="13" borderId="11" xfId="0" applyNumberFormat="1" applyFont="1" applyFill="1" applyBorder="1"/>
    <xf numFmtId="0" fontId="3" fillId="0" borderId="0" xfId="0" applyFont="1" applyAlignment="1">
      <alignment vertical="center"/>
    </xf>
    <xf numFmtId="0" fontId="2" fillId="4" borderId="0" xfId="0" applyFont="1" applyFill="1"/>
    <xf numFmtId="43" fontId="2" fillId="0" borderId="32" xfId="1" applyFont="1" applyBorder="1"/>
    <xf numFmtId="43" fontId="2" fillId="0" borderId="3" xfId="1" applyFont="1" applyBorder="1"/>
    <xf numFmtId="43" fontId="2" fillId="0" borderId="59" xfId="1" applyFont="1" applyBorder="1"/>
    <xf numFmtId="0" fontId="9" fillId="2" borderId="1" xfId="0" applyFont="1" applyFill="1" applyBorder="1" applyAlignment="1">
      <alignment horizontal="center" vertical="center"/>
    </xf>
    <xf numFmtId="169" fontId="9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3" fontId="3" fillId="15" borderId="57" xfId="1" applyFont="1" applyFill="1" applyBorder="1" applyAlignment="1">
      <alignment horizontal="center" vertical="center"/>
    </xf>
    <xf numFmtId="0" fontId="2" fillId="0" borderId="26" xfId="0" applyFont="1" applyBorder="1"/>
    <xf numFmtId="0" fontId="2" fillId="0" borderId="42" xfId="0" applyFont="1" applyBorder="1"/>
    <xf numFmtId="43" fontId="2" fillId="0" borderId="0" xfId="1" applyFont="1" applyBorder="1"/>
    <xf numFmtId="43" fontId="2" fillId="0" borderId="27" xfId="1" applyFont="1" applyBorder="1"/>
    <xf numFmtId="3" fontId="2" fillId="0" borderId="27" xfId="0" applyNumberFormat="1" applyFont="1" applyBorder="1"/>
    <xf numFmtId="3" fontId="2" fillId="0" borderId="0" xfId="0" applyNumberFormat="1" applyFont="1" applyBorder="1"/>
    <xf numFmtId="43" fontId="2" fillId="0" borderId="43" xfId="0" applyNumberFormat="1" applyFont="1" applyBorder="1"/>
    <xf numFmtId="43" fontId="2" fillId="0" borderId="28" xfId="0" applyNumberFormat="1" applyFont="1" applyBorder="1"/>
    <xf numFmtId="43" fontId="2" fillId="0" borderId="0" xfId="0" applyNumberFormat="1" applyFont="1" applyBorder="1"/>
    <xf numFmtId="3" fontId="2" fillId="0" borderId="0" xfId="0" applyNumberFormat="1" applyFont="1"/>
    <xf numFmtId="0" fontId="9" fillId="2" borderId="3" xfId="0" applyFont="1" applyFill="1" applyBorder="1" applyAlignment="1">
      <alignment horizontal="center" vertical="center"/>
    </xf>
    <xf numFmtId="4" fontId="2" fillId="0" borderId="0" xfId="0" applyNumberFormat="1" applyFont="1" applyBorder="1"/>
    <xf numFmtId="4" fontId="2" fillId="0" borderId="27" xfId="0" applyNumberFormat="1" applyFont="1" applyBorder="1"/>
    <xf numFmtId="43" fontId="2" fillId="0" borderId="27" xfId="0" applyNumberFormat="1" applyFont="1" applyBorder="1"/>
    <xf numFmtId="0" fontId="2" fillId="14" borderId="42" xfId="0" applyFont="1" applyFill="1" applyBorder="1"/>
    <xf numFmtId="3" fontId="2" fillId="14" borderId="0" xfId="0" applyNumberFormat="1" applyFont="1" applyFill="1" applyBorder="1"/>
    <xf numFmtId="43" fontId="2" fillId="14" borderId="43" xfId="0" applyNumberFormat="1" applyFont="1" applyFill="1" applyBorder="1"/>
    <xf numFmtId="0" fontId="2" fillId="14" borderId="29" xfId="0" applyFont="1" applyFill="1" applyBorder="1"/>
    <xf numFmtId="43" fontId="2" fillId="14" borderId="31" xfId="0" applyNumberFormat="1" applyFont="1" applyFill="1" applyBorder="1"/>
    <xf numFmtId="43" fontId="2" fillId="14" borderId="0" xfId="0" applyNumberFormat="1" applyFont="1" applyFill="1" applyBorder="1"/>
    <xf numFmtId="43" fontId="2" fillId="14" borderId="0" xfId="1" applyFont="1" applyFill="1" applyBorder="1"/>
    <xf numFmtId="0" fontId="2" fillId="0" borderId="0" xfId="0" applyFont="1" applyAlignment="1">
      <alignment horizontal="right"/>
    </xf>
    <xf numFmtId="43" fontId="30" fillId="0" borderId="56" xfId="1" applyFont="1" applyBorder="1" applyAlignment="1">
      <alignment horizontal="center" vertical="center"/>
    </xf>
    <xf numFmtId="43" fontId="9" fillId="2" borderId="1" xfId="1" applyFont="1" applyFill="1" applyBorder="1" applyAlignment="1">
      <alignment horizontal="center" vertical="center"/>
    </xf>
    <xf numFmtId="43" fontId="9" fillId="2" borderId="1" xfId="1" applyFont="1" applyFill="1" applyBorder="1" applyAlignment="1">
      <alignment horizontal="center" vertical="center" wrapText="1"/>
    </xf>
    <xf numFmtId="43" fontId="3" fillId="0" borderId="0" xfId="1" applyFont="1" applyAlignment="1">
      <alignment vertical="center"/>
    </xf>
    <xf numFmtId="169" fontId="3" fillId="0" borderId="0" xfId="0" applyNumberFormat="1" applyFont="1" applyAlignment="1">
      <alignment vertical="center"/>
    </xf>
    <xf numFmtId="169" fontId="2" fillId="0" borderId="1" xfId="1" applyNumberFormat="1" applyFont="1" applyBorder="1"/>
    <xf numFmtId="169" fontId="2" fillId="0" borderId="3" xfId="1" applyNumberFormat="1" applyFont="1" applyBorder="1"/>
    <xf numFmtId="169" fontId="2" fillId="0" borderId="3" xfId="1" applyNumberFormat="1" applyFont="1" applyBorder="1" applyAlignment="1">
      <alignment vertical="center"/>
    </xf>
    <xf numFmtId="169" fontId="2" fillId="0" borderId="0" xfId="0" applyNumberFormat="1" applyFont="1"/>
    <xf numFmtId="0" fontId="9" fillId="2" borderId="3" xfId="0" applyFont="1" applyFill="1" applyBorder="1" applyAlignment="1">
      <alignment horizontal="right" vertical="center"/>
    </xf>
    <xf numFmtId="43" fontId="9" fillId="2" borderId="3" xfId="1" applyFont="1" applyFill="1" applyBorder="1" applyAlignment="1">
      <alignment horizontal="center" vertical="center"/>
    </xf>
    <xf numFmtId="0" fontId="2" fillId="4" borderId="4" xfId="0" applyFont="1" applyFill="1" applyBorder="1"/>
    <xf numFmtId="0" fontId="2" fillId="4" borderId="5" xfId="0" applyFont="1" applyFill="1" applyBorder="1"/>
    <xf numFmtId="0" fontId="2" fillId="4" borderId="7" xfId="0" applyFont="1" applyFill="1" applyBorder="1"/>
    <xf numFmtId="0" fontId="2" fillId="4" borderId="9" xfId="0" applyFont="1" applyFill="1" applyBorder="1"/>
    <xf numFmtId="9" fontId="0" fillId="0" borderId="0" xfId="2" applyFont="1"/>
    <xf numFmtId="0" fontId="2" fillId="2" borderId="61" xfId="0" applyFont="1" applyFill="1" applyBorder="1" applyAlignment="1">
      <alignment horizontal="center" vertical="center"/>
    </xf>
    <xf numFmtId="0" fontId="2" fillId="2" borderId="62" xfId="0" applyFont="1" applyFill="1" applyBorder="1" applyAlignment="1">
      <alignment horizontal="center" vertical="center"/>
    </xf>
    <xf numFmtId="9" fontId="2" fillId="2" borderId="62" xfId="2" applyFont="1" applyFill="1" applyBorder="1" applyAlignment="1">
      <alignment horizontal="center" vertical="center"/>
    </xf>
    <xf numFmtId="43" fontId="2" fillId="2" borderId="62" xfId="1" applyFont="1" applyFill="1" applyBorder="1" applyAlignment="1">
      <alignment horizontal="center" vertical="center"/>
    </xf>
    <xf numFmtId="43" fontId="2" fillId="2" borderId="63" xfId="1" applyFont="1" applyFill="1" applyBorder="1" applyAlignment="1">
      <alignment horizontal="center" vertical="center"/>
    </xf>
    <xf numFmtId="0" fontId="2" fillId="3" borderId="25" xfId="0" applyFont="1" applyFill="1" applyBorder="1"/>
    <xf numFmtId="0" fontId="2" fillId="0" borderId="25" xfId="0" applyFont="1" applyBorder="1"/>
    <xf numFmtId="43" fontId="2" fillId="0" borderId="25" xfId="1" applyFont="1" applyBorder="1"/>
    <xf numFmtId="0" fontId="2" fillId="0" borderId="5" xfId="0" applyFont="1" applyBorder="1"/>
    <xf numFmtId="0" fontId="2" fillId="3" borderId="7" xfId="0" applyFont="1" applyFill="1" applyBorder="1"/>
    <xf numFmtId="0" fontId="2" fillId="3" borderId="9" xfId="0" applyFont="1" applyFill="1" applyBorder="1"/>
    <xf numFmtId="43" fontId="2" fillId="0" borderId="11" xfId="1" applyFont="1" applyBorder="1"/>
    <xf numFmtId="43" fontId="0" fillId="0" borderId="0" xfId="0" applyNumberFormat="1"/>
    <xf numFmtId="43" fontId="2" fillId="4" borderId="6" xfId="0" applyNumberFormat="1" applyFont="1" applyFill="1" applyBorder="1"/>
    <xf numFmtId="43" fontId="2" fillId="4" borderId="8" xfId="0" applyNumberFormat="1" applyFont="1" applyFill="1" applyBorder="1"/>
    <xf numFmtId="43" fontId="30" fillId="0" borderId="36" xfId="1" applyFont="1" applyBorder="1" applyAlignment="1">
      <alignment horizontal="center" vertical="center"/>
    </xf>
    <xf numFmtId="43" fontId="3" fillId="15" borderId="40" xfId="1" applyFont="1" applyFill="1" applyBorder="1" applyAlignment="1">
      <alignment horizontal="center" vertical="center"/>
    </xf>
    <xf numFmtId="43" fontId="30" fillId="0" borderId="4" xfId="1" applyFont="1" applyBorder="1" applyAlignment="1">
      <alignment horizontal="center" vertical="center"/>
    </xf>
    <xf numFmtId="43" fontId="30" fillId="0" borderId="6" xfId="1" applyFont="1" applyBorder="1" applyAlignment="1">
      <alignment horizontal="center" vertical="center"/>
    </xf>
    <xf numFmtId="43" fontId="0" fillId="0" borderId="11" xfId="0" applyNumberFormat="1" applyBorder="1"/>
    <xf numFmtId="43" fontId="3" fillId="11" borderId="9" xfId="0" applyNumberFormat="1" applyFont="1" applyFill="1" applyBorder="1"/>
    <xf numFmtId="43" fontId="3" fillId="11" borderId="11" xfId="0" applyNumberFormat="1" applyFont="1" applyFill="1" applyBorder="1"/>
    <xf numFmtId="0" fontId="0" fillId="0" borderId="32" xfId="0" applyBorder="1"/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0" xfId="0" applyBorder="1"/>
    <xf numFmtId="43" fontId="0" fillId="0" borderId="32" xfId="0" applyNumberFormat="1" applyBorder="1"/>
    <xf numFmtId="43" fontId="0" fillId="0" borderId="59" xfId="0" applyNumberFormat="1" applyBorder="1"/>
    <xf numFmtId="0" fontId="0" fillId="0" borderId="42" xfId="0" applyBorder="1"/>
    <xf numFmtId="0" fontId="0" fillId="0" borderId="43" xfId="0" applyBorder="1"/>
    <xf numFmtId="43" fontId="0" fillId="0" borderId="37" xfId="0" applyNumberFormat="1" applyBorder="1"/>
    <xf numFmtId="43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43" fontId="8" fillId="0" borderId="1" xfId="0" applyNumberFormat="1" applyFont="1" applyBorder="1"/>
    <xf numFmtId="43" fontId="8" fillId="0" borderId="32" xfId="0" applyNumberFormat="1" applyFont="1" applyBorder="1"/>
    <xf numFmtId="0" fontId="7" fillId="2" borderId="1" xfId="0" applyFont="1" applyFill="1" applyBorder="1"/>
    <xf numFmtId="0" fontId="7" fillId="2" borderId="32" xfId="0" applyFont="1" applyFill="1" applyBorder="1"/>
    <xf numFmtId="0" fontId="26" fillId="2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3" borderId="8" xfId="0" applyFont="1" applyFill="1" applyBorder="1"/>
    <xf numFmtId="0" fontId="2" fillId="0" borderId="6" xfId="0" applyFont="1" applyBorder="1"/>
    <xf numFmtId="0" fontId="2" fillId="0" borderId="8" xfId="0" applyFont="1" applyBorder="1"/>
    <xf numFmtId="43" fontId="14" fillId="4" borderId="1" xfId="0" applyNumberFormat="1" applyFont="1" applyFill="1" applyBorder="1" applyAlignment="1">
      <alignment horizontal="center"/>
    </xf>
    <xf numFmtId="43" fontId="5" fillId="0" borderId="32" xfId="1" applyFont="1" applyBorder="1" applyAlignment="1">
      <alignment horizontal="center"/>
    </xf>
    <xf numFmtId="43" fontId="2" fillId="0" borderId="7" xfId="1" applyFont="1" applyBorder="1" applyAlignment="1">
      <alignment horizontal="left" indent="2"/>
    </xf>
    <xf numFmtId="43" fontId="5" fillId="0" borderId="5" xfId="1" applyFont="1" applyBorder="1" applyAlignment="1">
      <alignment horizontal="center"/>
    </xf>
    <xf numFmtId="0" fontId="25" fillId="15" borderId="9" xfId="4" applyFont="1" applyFill="1" applyBorder="1" applyAlignment="1">
      <alignment horizontal="left" vertical="center"/>
    </xf>
    <xf numFmtId="43" fontId="35" fillId="15" borderId="10" xfId="1" applyFont="1" applyFill="1" applyBorder="1" applyAlignment="1">
      <alignment horizontal="center"/>
    </xf>
    <xf numFmtId="43" fontId="35" fillId="15" borderId="11" xfId="1" applyFont="1" applyFill="1" applyBorder="1" applyAlignment="1">
      <alignment horizontal="center"/>
    </xf>
    <xf numFmtId="43" fontId="5" fillId="0" borderId="15" xfId="1" applyFont="1" applyBorder="1" applyAlignment="1">
      <alignment horizontal="center"/>
    </xf>
    <xf numFmtId="0" fontId="3" fillId="15" borderId="9" xfId="0" applyFont="1" applyFill="1" applyBorder="1"/>
    <xf numFmtId="0" fontId="26" fillId="2" borderId="1" xfId="0" applyFont="1" applyFill="1" applyBorder="1" applyAlignment="1">
      <alignment horizontal="center" vertical="center" wrapText="1"/>
    </xf>
    <xf numFmtId="43" fontId="0" fillId="0" borderId="1" xfId="1" applyFont="1" applyBorder="1"/>
    <xf numFmtId="0" fontId="3" fillId="0" borderId="7" xfId="0" applyFont="1" applyBorder="1" applyAlignment="1">
      <alignment horizontal="left"/>
    </xf>
    <xf numFmtId="43" fontId="2" fillId="0" borderId="1" xfId="1" applyFont="1" applyBorder="1" applyAlignment="1">
      <alignment horizontal="left" indent="2"/>
    </xf>
    <xf numFmtId="0" fontId="23" fillId="4" borderId="4" xfId="0" applyFont="1" applyFill="1" applyBorder="1" applyAlignment="1">
      <alignment horizontal="left" vertical="center"/>
    </xf>
    <xf numFmtId="43" fontId="35" fillId="0" borderId="5" xfId="1" applyFont="1" applyBorder="1" applyAlignment="1">
      <alignment horizontal="center"/>
    </xf>
    <xf numFmtId="43" fontId="35" fillId="0" borderId="6" xfId="1" applyFont="1" applyBorder="1" applyAlignment="1">
      <alignment horizontal="center"/>
    </xf>
    <xf numFmtId="43" fontId="14" fillId="4" borderId="8" xfId="0" applyNumberFormat="1" applyFont="1" applyFill="1" applyBorder="1" applyAlignment="1">
      <alignment horizontal="center"/>
    </xf>
    <xf numFmtId="43" fontId="2" fillId="0" borderId="8" xfId="1" applyFont="1" applyBorder="1" applyAlignment="1">
      <alignment horizontal="left" indent="2"/>
    </xf>
    <xf numFmtId="0" fontId="2" fillId="0" borderId="43" xfId="0" applyFont="1" applyBorder="1"/>
    <xf numFmtId="43" fontId="3" fillId="6" borderId="11" xfId="1" applyFont="1" applyFill="1" applyBorder="1"/>
    <xf numFmtId="43" fontId="3" fillId="6" borderId="3" xfId="0" applyNumberFormat="1" applyFont="1" applyFill="1" applyBorder="1"/>
    <xf numFmtId="0" fontId="3" fillId="11" borderId="12" xfId="0" applyFont="1" applyFill="1" applyBorder="1"/>
    <xf numFmtId="0" fontId="3" fillId="11" borderId="37" xfId="0" applyFont="1" applyFill="1" applyBorder="1"/>
    <xf numFmtId="43" fontId="3" fillId="11" borderId="13" xfId="0" applyNumberFormat="1" applyFont="1" applyFill="1" applyBorder="1"/>
    <xf numFmtId="0" fontId="7" fillId="2" borderId="64" xfId="0" applyFont="1" applyFill="1" applyBorder="1" applyAlignment="1">
      <alignment horizontal="center" vertical="center"/>
    </xf>
    <xf numFmtId="43" fontId="2" fillId="0" borderId="65" xfId="1" applyFont="1" applyBorder="1" applyAlignment="1">
      <alignment vertical="center"/>
    </xf>
    <xf numFmtId="43" fontId="2" fillId="0" borderId="66" xfId="1" applyFont="1" applyBorder="1" applyAlignment="1">
      <alignment vertical="center"/>
    </xf>
    <xf numFmtId="43" fontId="2" fillId="0" borderId="57" xfId="1" applyFont="1" applyBorder="1" applyAlignment="1">
      <alignment vertical="center"/>
    </xf>
    <xf numFmtId="9" fontId="1" fillId="4" borderId="8" xfId="2" applyFont="1" applyFill="1" applyBorder="1"/>
    <xf numFmtId="9" fontId="7" fillId="2" borderId="67" xfId="2" applyFont="1" applyFill="1" applyBorder="1" applyAlignment="1">
      <alignment horizontal="center" vertical="center"/>
    </xf>
    <xf numFmtId="43" fontId="1" fillId="0" borderId="7" xfId="1" applyFont="1" applyBorder="1"/>
    <xf numFmtId="43" fontId="1" fillId="0" borderId="8" xfId="1" applyFont="1" applyBorder="1"/>
    <xf numFmtId="0" fontId="37" fillId="2" borderId="20" xfId="0" applyFont="1" applyFill="1" applyBorder="1"/>
    <xf numFmtId="0" fontId="37" fillId="2" borderId="68" xfId="0" applyFont="1" applyFill="1" applyBorder="1" applyAlignment="1">
      <alignment horizontal="center" vertical="center"/>
    </xf>
    <xf numFmtId="0" fontId="37" fillId="2" borderId="21" xfId="0" applyFont="1" applyFill="1" applyBorder="1" applyAlignment="1">
      <alignment horizontal="center"/>
    </xf>
    <xf numFmtId="0" fontId="37" fillId="2" borderId="22" xfId="0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43" fontId="0" fillId="0" borderId="1" xfId="0" applyNumberFormat="1" applyBorder="1" applyAlignment="1">
      <alignment horizontal="left" indent="1"/>
    </xf>
    <xf numFmtId="0" fontId="8" fillId="0" borderId="4" xfId="0" applyFont="1" applyBorder="1"/>
    <xf numFmtId="0" fontId="8" fillId="0" borderId="5" xfId="0" applyFont="1" applyBorder="1"/>
    <xf numFmtId="43" fontId="8" fillId="0" borderId="5" xfId="0" applyNumberFormat="1" applyFont="1" applyBorder="1"/>
    <xf numFmtId="0" fontId="0" fillId="0" borderId="7" xfId="0" applyBorder="1" applyAlignment="1">
      <alignment horizontal="left" indent="1"/>
    </xf>
    <xf numFmtId="43" fontId="0" fillId="0" borderId="8" xfId="0" applyNumberFormat="1" applyBorder="1"/>
    <xf numFmtId="0" fontId="0" fillId="0" borderId="9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43" fontId="0" fillId="0" borderId="10" xfId="0" applyNumberFormat="1" applyBorder="1"/>
    <xf numFmtId="0" fontId="8" fillId="0" borderId="4" xfId="0" applyFont="1" applyBorder="1" applyAlignment="1">
      <alignment horizontal="left"/>
    </xf>
    <xf numFmtId="43" fontId="8" fillId="0" borderId="5" xfId="0" applyNumberFormat="1" applyFont="1" applyBorder="1" applyAlignment="1">
      <alignment horizontal="left"/>
    </xf>
    <xf numFmtId="43" fontId="8" fillId="0" borderId="6" xfId="0" applyNumberFormat="1" applyFont="1" applyBorder="1" applyAlignment="1">
      <alignment horizontal="left"/>
    </xf>
    <xf numFmtId="0" fontId="0" fillId="0" borderId="8" xfId="0" applyBorder="1"/>
    <xf numFmtId="0" fontId="8" fillId="11" borderId="45" xfId="0" applyFont="1" applyFill="1" applyBorder="1" applyAlignment="1">
      <alignment horizontal="left" indent="1"/>
    </xf>
    <xf numFmtId="43" fontId="8" fillId="11" borderId="69" xfId="0" applyNumberFormat="1" applyFont="1" applyFill="1" applyBorder="1"/>
    <xf numFmtId="0" fontId="2" fillId="0" borderId="0" xfId="0" applyFont="1" applyBorder="1" applyAlignment="1">
      <alignment horizontal="left" vertical="center" indent="1"/>
    </xf>
    <xf numFmtId="43" fontId="0" fillId="0" borderId="0" xfId="0" applyNumberFormat="1" applyFont="1" applyBorder="1"/>
    <xf numFmtId="43" fontId="40" fillId="0" borderId="0" xfId="0" applyNumberFormat="1" applyFont="1"/>
    <xf numFmtId="43" fontId="41" fillId="0" borderId="1" xfId="0" applyNumberFormat="1" applyFont="1" applyBorder="1"/>
    <xf numFmtId="0" fontId="41" fillId="0" borderId="7" xfId="0" applyFont="1" applyBorder="1" applyAlignment="1">
      <alignment horizontal="left" indent="1"/>
    </xf>
    <xf numFmtId="0" fontId="41" fillId="0" borderId="1" xfId="0" applyFont="1" applyBorder="1" applyAlignment="1">
      <alignment horizontal="left" indent="1"/>
    </xf>
    <xf numFmtId="43" fontId="41" fillId="0" borderId="8" xfId="0" applyNumberFormat="1" applyFont="1" applyBorder="1"/>
    <xf numFmtId="43" fontId="43" fillId="8" borderId="1" xfId="0" applyNumberFormat="1" applyFont="1" applyFill="1" applyBorder="1"/>
    <xf numFmtId="43" fontId="0" fillId="8" borderId="1" xfId="0" applyNumberFormat="1" applyFill="1" applyBorder="1"/>
    <xf numFmtId="43" fontId="3" fillId="6" borderId="55" xfId="0" applyNumberFormat="1" applyFont="1" applyFill="1" applyBorder="1"/>
    <xf numFmtId="43" fontId="3" fillId="11" borderId="14" xfId="0" applyNumberFormat="1" applyFont="1" applyFill="1" applyBorder="1"/>
    <xf numFmtId="0" fontId="16" fillId="0" borderId="1" xfId="0" applyFont="1" applyBorder="1"/>
    <xf numFmtId="0" fontId="16" fillId="0" borderId="1" xfId="0" applyFont="1" applyBorder="1" applyAlignment="1">
      <alignment horizontal="center"/>
    </xf>
    <xf numFmtId="0" fontId="45" fillId="0" borderId="1" xfId="0" applyFont="1" applyBorder="1"/>
    <xf numFmtId="43" fontId="0" fillId="4" borderId="1" xfId="0" applyNumberFormat="1" applyFont="1" applyFill="1" applyBorder="1"/>
    <xf numFmtId="43" fontId="0" fillId="4" borderId="1" xfId="0" applyNumberFormat="1" applyFill="1" applyBorder="1"/>
    <xf numFmtId="0" fontId="6" fillId="8" borderId="4" xfId="0" applyFont="1" applyFill="1" applyBorder="1"/>
    <xf numFmtId="43" fontId="8" fillId="8" borderId="5" xfId="1" applyFont="1" applyFill="1" applyBorder="1"/>
    <xf numFmtId="43" fontId="8" fillId="8" borderId="6" xfId="1" applyFont="1" applyFill="1" applyBorder="1"/>
    <xf numFmtId="0" fontId="18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 indent="1"/>
    </xf>
    <xf numFmtId="0" fontId="18" fillId="0" borderId="7" xfId="0" applyFont="1" applyBorder="1" applyAlignment="1">
      <alignment vertical="center"/>
    </xf>
    <xf numFmtId="0" fontId="2" fillId="0" borderId="7" xfId="0" applyFont="1" applyBorder="1"/>
    <xf numFmtId="0" fontId="42" fillId="8" borderId="7" xfId="0" applyFont="1" applyFill="1" applyBorder="1"/>
    <xf numFmtId="43" fontId="43" fillId="8" borderId="8" xfId="0" applyNumberFormat="1" applyFont="1" applyFill="1" applyBorder="1"/>
    <xf numFmtId="0" fontId="2" fillId="0" borderId="7" xfId="0" applyFont="1" applyBorder="1" applyAlignment="1">
      <alignment horizontal="left" vertical="center" indent="1"/>
    </xf>
    <xf numFmtId="43" fontId="0" fillId="0" borderId="8" xfId="0" applyNumberFormat="1" applyFont="1" applyBorder="1"/>
    <xf numFmtId="0" fontId="2" fillId="0" borderId="9" xfId="0" applyFont="1" applyBorder="1" applyAlignment="1">
      <alignment horizontal="left" vertical="center" indent="1"/>
    </xf>
    <xf numFmtId="43" fontId="0" fillId="4" borderId="10" xfId="0" applyNumberFormat="1" applyFont="1" applyFill="1" applyBorder="1"/>
    <xf numFmtId="43" fontId="0" fillId="8" borderId="5" xfId="0" applyNumberFormat="1" applyFill="1" applyBorder="1"/>
    <xf numFmtId="0" fontId="6" fillId="8" borderId="7" xfId="0" applyFont="1" applyFill="1" applyBorder="1"/>
    <xf numFmtId="43" fontId="0" fillId="8" borderId="8" xfId="0" applyNumberFormat="1" applyFill="1" applyBorder="1"/>
    <xf numFmtId="0" fontId="2" fillId="0" borderId="9" xfId="0" applyFont="1" applyFill="1" applyBorder="1" applyAlignment="1">
      <alignment horizontal="left" indent="1"/>
    </xf>
    <xf numFmtId="0" fontId="0" fillId="4" borderId="10" xfId="0" applyFill="1" applyBorder="1"/>
    <xf numFmtId="0" fontId="38" fillId="4" borderId="0" xfId="0" applyFont="1" applyFill="1" applyBorder="1" applyAlignment="1">
      <alignment horizontal="center"/>
    </xf>
    <xf numFmtId="10" fontId="2" fillId="3" borderId="1" xfId="0" applyNumberFormat="1" applyFont="1" applyFill="1" applyBorder="1" applyAlignment="1">
      <alignment horizontal="center" vertical="center"/>
    </xf>
    <xf numFmtId="0" fontId="8" fillId="0" borderId="1" xfId="0" applyFont="1" applyBorder="1"/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43" fontId="0" fillId="0" borderId="0" xfId="1" applyFont="1" applyBorder="1"/>
    <xf numFmtId="0" fontId="29" fillId="4" borderId="0" xfId="0" applyFont="1" applyFill="1" applyAlignment="1">
      <alignment horizontal="center" vertical="center"/>
    </xf>
    <xf numFmtId="9" fontId="2" fillId="11" borderId="29" xfId="2" applyFont="1" applyFill="1" applyBorder="1"/>
    <xf numFmtId="168" fontId="2" fillId="4" borderId="1" xfId="1" applyNumberFormat="1" applyFont="1" applyFill="1" applyBorder="1"/>
    <xf numFmtId="168" fontId="2" fillId="4" borderId="5" xfId="1" applyNumberFormat="1" applyFont="1" applyFill="1" applyBorder="1"/>
    <xf numFmtId="168" fontId="2" fillId="4" borderId="10" xfId="1" applyNumberFormat="1" applyFont="1" applyFill="1" applyBorder="1"/>
    <xf numFmtId="167" fontId="4" fillId="2" borderId="2" xfId="1" applyNumberFormat="1" applyFont="1" applyFill="1" applyBorder="1" applyAlignment="1">
      <alignment horizontal="centerContinuous" vertical="center"/>
    </xf>
    <xf numFmtId="43" fontId="2" fillId="4" borderId="49" xfId="0" applyNumberFormat="1" applyFont="1" applyFill="1" applyBorder="1"/>
    <xf numFmtId="43" fontId="2" fillId="11" borderId="0" xfId="1" applyFont="1" applyFill="1" applyBorder="1"/>
    <xf numFmtId="43" fontId="2" fillId="0" borderId="32" xfId="0" applyNumberFormat="1" applyFont="1" applyFill="1" applyBorder="1" applyAlignment="1">
      <alignment horizontal="center" vertical="center"/>
    </xf>
    <xf numFmtId="43" fontId="2" fillId="11" borderId="70" xfId="0" applyNumberFormat="1" applyFont="1" applyFill="1" applyBorder="1"/>
    <xf numFmtId="43" fontId="2" fillId="15" borderId="0" xfId="1" applyFont="1" applyFill="1" applyBorder="1"/>
    <xf numFmtId="0" fontId="4" fillId="14" borderId="3" xfId="0" applyFont="1" applyFill="1" applyBorder="1" applyAlignment="1">
      <alignment horizontal="center" vertical="center"/>
    </xf>
    <xf numFmtId="43" fontId="2" fillId="11" borderId="0" xfId="0" applyNumberFormat="1" applyFont="1" applyFill="1" applyBorder="1"/>
    <xf numFmtId="0" fontId="2" fillId="4" borderId="26" xfId="0" applyFont="1" applyFill="1" applyBorder="1"/>
    <xf numFmtId="0" fontId="2" fillId="4" borderId="27" xfId="0" applyFont="1" applyFill="1" applyBorder="1"/>
    <xf numFmtId="0" fontId="2" fillId="4" borderId="28" xfId="0" applyFont="1" applyFill="1" applyBorder="1"/>
    <xf numFmtId="167" fontId="4" fillId="2" borderId="3" xfId="1" applyNumberFormat="1" applyFont="1" applyFill="1" applyBorder="1" applyAlignment="1">
      <alignment horizontal="center" vertical="center" wrapText="1"/>
    </xf>
    <xf numFmtId="43" fontId="2" fillId="0" borderId="28" xfId="1" applyFont="1" applyBorder="1"/>
    <xf numFmtId="43" fontId="2" fillId="0" borderId="43" xfId="1" applyFont="1" applyBorder="1"/>
    <xf numFmtId="43" fontId="2" fillId="14" borderId="43" xfId="1" applyFont="1" applyFill="1" applyBorder="1"/>
    <xf numFmtId="43" fontId="2" fillId="14" borderId="30" xfId="1" applyFont="1" applyFill="1" applyBorder="1"/>
    <xf numFmtId="43" fontId="2" fillId="14" borderId="31" xfId="1" applyFont="1" applyFill="1" applyBorder="1"/>
    <xf numFmtId="167" fontId="4" fillId="2" borderId="7" xfId="1" applyNumberFormat="1" applyFont="1" applyFill="1" applyBorder="1" applyAlignment="1">
      <alignment horizontal="center" vertical="center" wrapText="1"/>
    </xf>
    <xf numFmtId="0" fontId="39" fillId="4" borderId="0" xfId="0" applyFont="1" applyFill="1" applyBorder="1"/>
    <xf numFmtId="37" fontId="4" fillId="2" borderId="70" xfId="6" applyNumberFormat="1" applyFont="1" applyFill="1" applyBorder="1" applyAlignment="1">
      <alignment horizontal="center" wrapText="1"/>
    </xf>
    <xf numFmtId="43" fontId="2" fillId="0" borderId="32" xfId="1" applyFont="1" applyBorder="1" applyAlignment="1">
      <alignment horizontal="center" vertical="center"/>
    </xf>
    <xf numFmtId="0" fontId="32" fillId="14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43" fontId="4" fillId="2" borderId="3" xfId="0" applyNumberFormat="1" applyFont="1" applyFill="1" applyBorder="1" applyAlignment="1">
      <alignment horizontal="center" vertical="center"/>
    </xf>
    <xf numFmtId="43" fontId="2" fillId="14" borderId="30" xfId="0" applyNumberFormat="1" applyFont="1" applyFill="1" applyBorder="1"/>
    <xf numFmtId="0" fontId="2" fillId="4" borderId="25" xfId="0" applyFont="1" applyFill="1" applyBorder="1"/>
    <xf numFmtId="43" fontId="2" fillId="4" borderId="1" xfId="0" applyNumberFormat="1" applyFont="1" applyFill="1" applyBorder="1" applyAlignment="1">
      <alignment horizontal="right"/>
    </xf>
    <xf numFmtId="0" fontId="41" fillId="4" borderId="0" xfId="0" applyFont="1" applyFill="1" applyBorder="1"/>
    <xf numFmtId="43" fontId="41" fillId="4" borderId="0" xfId="1" applyFont="1" applyFill="1" applyBorder="1"/>
    <xf numFmtId="3" fontId="2" fillId="4" borderId="0" xfId="0" applyNumberFormat="1" applyFont="1" applyFill="1" applyBorder="1"/>
    <xf numFmtId="168" fontId="2" fillId="4" borderId="0" xfId="1" applyNumberFormat="1" applyFont="1" applyFill="1" applyBorder="1"/>
    <xf numFmtId="168" fontId="2" fillId="0" borderId="27" xfId="1" applyNumberFormat="1" applyFont="1" applyBorder="1"/>
    <xf numFmtId="168" fontId="2" fillId="0" borderId="0" xfId="1" applyNumberFormat="1" applyFont="1" applyBorder="1"/>
    <xf numFmtId="168" fontId="2" fillId="14" borderId="0" xfId="1" applyNumberFormat="1" applyFont="1" applyFill="1" applyBorder="1"/>
    <xf numFmtId="168" fontId="2" fillId="14" borderId="30" xfId="1" applyNumberFormat="1" applyFont="1" applyFill="1" applyBorder="1"/>
    <xf numFmtId="168" fontId="14" fillId="4" borderId="1" xfId="1" applyNumberFormat="1" applyFont="1" applyFill="1" applyBorder="1" applyAlignment="1">
      <alignment horizontal="center" vertical="center"/>
    </xf>
    <xf numFmtId="0" fontId="8" fillId="0" borderId="34" xfId="0" applyFont="1" applyBorder="1"/>
    <xf numFmtId="0" fontId="8" fillId="0" borderId="25" xfId="0" applyFont="1" applyBorder="1"/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Border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43" fontId="2" fillId="4" borderId="27" xfId="1" applyFont="1" applyFill="1" applyBorder="1" applyAlignment="1">
      <alignment horizontal="left" vertical="center"/>
    </xf>
    <xf numFmtId="43" fontId="2" fillId="4" borderId="0" xfId="1" applyFont="1" applyFill="1" applyBorder="1" applyAlignment="1">
      <alignment horizontal="left" vertical="center"/>
    </xf>
    <xf numFmtId="167" fontId="4" fillId="2" borderId="2" xfId="1" applyNumberFormat="1" applyFont="1" applyFill="1" applyBorder="1" applyAlignment="1">
      <alignment horizontal="center" vertical="center" wrapText="1"/>
    </xf>
    <xf numFmtId="43" fontId="2" fillId="5" borderId="0" xfId="1" applyFont="1" applyFill="1" applyBorder="1" applyAlignment="1">
      <alignment vertical="center" wrapText="1"/>
    </xf>
    <xf numFmtId="43" fontId="2" fillId="0" borderId="0" xfId="1" applyFont="1" applyBorder="1" applyAlignment="1">
      <alignment horizontal="right" vertical="center" wrapText="1"/>
    </xf>
    <xf numFmtId="43" fontId="3" fillId="4" borderId="0" xfId="1" applyFont="1" applyFill="1" applyBorder="1" applyAlignment="1">
      <alignment horizontal="right" vertical="center" wrapText="1"/>
    </xf>
    <xf numFmtId="43" fontId="2" fillId="4" borderId="0" xfId="1" applyFont="1" applyFill="1" applyBorder="1" applyAlignment="1">
      <alignment horizontal="right" vertical="center" wrapText="1"/>
    </xf>
    <xf numFmtId="43" fontId="2" fillId="0" borderId="1" xfId="1" applyFont="1" applyBorder="1" applyAlignment="1">
      <alignment horizontal="right" wrapText="1"/>
    </xf>
    <xf numFmtId="43" fontId="2" fillId="5" borderId="1" xfId="1" applyFont="1" applyFill="1" applyBorder="1" applyAlignment="1">
      <alignment horizontal="right" wrapText="1"/>
    </xf>
    <xf numFmtId="0" fontId="9" fillId="2" borderId="1" xfId="0" applyFont="1" applyFill="1" applyBorder="1" applyAlignment="1">
      <alignment horizontal="center" wrapText="1"/>
    </xf>
    <xf numFmtId="0" fontId="2" fillId="5" borderId="0" xfId="0" applyFont="1" applyFill="1" applyBorder="1" applyAlignment="1">
      <alignment wrapText="1"/>
    </xf>
    <xf numFmtId="0" fontId="39" fillId="3" borderId="1" xfId="0" applyFont="1" applyFill="1" applyBorder="1" applyAlignment="1">
      <alignment vertical="center"/>
    </xf>
    <xf numFmtId="0" fontId="39" fillId="3" borderId="1" xfId="0" applyFont="1" applyFill="1" applyBorder="1"/>
    <xf numFmtId="43" fontId="2" fillId="4" borderId="32" xfId="1" applyFont="1" applyFill="1" applyBorder="1" applyAlignment="1">
      <alignment horizontal="center" vertical="center"/>
    </xf>
    <xf numFmtId="43" fontId="2" fillId="4" borderId="1" xfId="1" applyFont="1" applyFill="1" applyBorder="1" applyAlignment="1">
      <alignment horizontal="center" vertical="center"/>
    </xf>
    <xf numFmtId="43" fontId="2" fillId="4" borderId="6" xfId="1" applyFont="1" applyFill="1" applyBorder="1" applyAlignment="1">
      <alignment horizontal="center"/>
    </xf>
    <xf numFmtId="43" fontId="2" fillId="4" borderId="8" xfId="1" applyFont="1" applyFill="1" applyBorder="1" applyAlignment="1">
      <alignment horizontal="center"/>
    </xf>
    <xf numFmtId="43" fontId="2" fillId="4" borderId="11" xfId="1" applyFont="1" applyFill="1" applyBorder="1" applyAlignment="1">
      <alignment horizontal="center"/>
    </xf>
    <xf numFmtId="43" fontId="3" fillId="4" borderId="3" xfId="1" applyFont="1" applyFill="1" applyBorder="1" applyAlignment="1">
      <alignment horizontal="center" vertical="center"/>
    </xf>
    <xf numFmtId="43" fontId="14" fillId="0" borderId="1" xfId="1" applyFont="1" applyBorder="1" applyAlignment="1">
      <alignment horizontal="center" vertical="center"/>
    </xf>
    <xf numFmtId="43" fontId="48" fillId="11" borderId="9" xfId="0" applyNumberFormat="1" applyFont="1" applyFill="1" applyBorder="1"/>
    <xf numFmtId="0" fontId="48" fillId="4" borderId="10" xfId="0" applyFont="1" applyFill="1" applyBorder="1"/>
    <xf numFmtId="43" fontId="48" fillId="11" borderId="10" xfId="0" applyNumberFormat="1" applyFont="1" applyFill="1" applyBorder="1"/>
    <xf numFmtId="43" fontId="48" fillId="11" borderId="11" xfId="0" applyNumberFormat="1" applyFont="1" applyFill="1" applyBorder="1"/>
    <xf numFmtId="43" fontId="2" fillId="4" borderId="32" xfId="0" applyNumberFormat="1" applyFont="1" applyFill="1" applyBorder="1" applyAlignment="1">
      <alignment horizontal="center" vertical="center"/>
    </xf>
    <xf numFmtId="43" fontId="2" fillId="4" borderId="32" xfId="0" applyNumberFormat="1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43" fontId="2" fillId="4" borderId="1" xfId="1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168" fontId="2" fillId="9" borderId="1" xfId="1" applyNumberFormat="1" applyFont="1" applyFill="1" applyBorder="1"/>
    <xf numFmtId="37" fontId="4" fillId="2" borderId="1" xfId="6" applyNumberFormat="1" applyFont="1" applyFill="1" applyBorder="1" applyAlignment="1">
      <alignment horizontal="center" wrapText="1"/>
    </xf>
    <xf numFmtId="0" fontId="39" fillId="4" borderId="1" xfId="0" applyFont="1" applyFill="1" applyBorder="1"/>
    <xf numFmtId="43" fontId="2" fillId="11" borderId="1" xfId="0" applyNumberFormat="1" applyFont="1" applyFill="1" applyBorder="1"/>
    <xf numFmtId="167" fontId="4" fillId="2" borderId="8" xfId="1" applyNumberFormat="1" applyFont="1" applyFill="1" applyBorder="1" applyAlignment="1">
      <alignment horizontal="center" vertical="center" wrapText="1"/>
    </xf>
    <xf numFmtId="167" fontId="4" fillId="2" borderId="1" xfId="1" applyNumberFormat="1" applyFont="1" applyFill="1" applyBorder="1" applyAlignment="1">
      <alignment horizontal="center" vertical="center" wrapText="1"/>
    </xf>
    <xf numFmtId="167" fontId="4" fillId="2" borderId="7" xfId="1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43" fontId="2" fillId="0" borderId="1" xfId="1" applyNumberFormat="1" applyFont="1" applyBorder="1"/>
    <xf numFmtId="0" fontId="4" fillId="2" borderId="5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71" xfId="0" applyFont="1" applyFill="1" applyBorder="1" applyAlignment="1">
      <alignment horizontal="center" vertical="center"/>
    </xf>
    <xf numFmtId="0" fontId="4" fillId="2" borderId="36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4" fillId="2" borderId="72" xfId="0" applyFont="1" applyFill="1" applyBorder="1" applyAlignment="1">
      <alignment horizontal="center" vertical="center"/>
    </xf>
    <xf numFmtId="0" fontId="29" fillId="14" borderId="3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12" borderId="8" xfId="0" applyFont="1" applyFill="1" applyBorder="1" applyAlignment="1">
      <alignment horizontal="center" vertical="center" wrapText="1"/>
    </xf>
    <xf numFmtId="9" fontId="2" fillId="3" borderId="1" xfId="2" applyFont="1" applyFill="1" applyBorder="1" applyAlignment="1">
      <alignment horizontal="center" vertical="center"/>
    </xf>
    <xf numFmtId="9" fontId="2" fillId="0" borderId="1" xfId="0" applyNumberFormat="1" applyFont="1" applyBorder="1"/>
    <xf numFmtId="0" fontId="2" fillId="3" borderId="1" xfId="0" applyFont="1" applyFill="1" applyBorder="1" applyAlignment="1">
      <alignment horizontal="left" vertical="center"/>
    </xf>
    <xf numFmtId="0" fontId="39" fillId="3" borderId="1" xfId="0" applyFont="1" applyFill="1" applyBorder="1" applyAlignment="1">
      <alignment horizontal="left" vertical="center"/>
    </xf>
    <xf numFmtId="37" fontId="2" fillId="3" borderId="25" xfId="6" applyNumberFormat="1" applyFont="1" applyFill="1" applyBorder="1" applyAlignment="1">
      <alignment horizontal="left" vertical="center"/>
    </xf>
    <xf numFmtId="37" fontId="2" fillId="3" borderId="1" xfId="6" applyNumberFormat="1" applyFont="1" applyFill="1" applyBorder="1" applyAlignment="1">
      <alignment horizontal="left" vertical="center"/>
    </xf>
    <xf numFmtId="0" fontId="0" fillId="11" borderId="42" xfId="0" applyFill="1" applyBorder="1"/>
    <xf numFmtId="0" fontId="0" fillId="11" borderId="29" xfId="0" applyFill="1" applyBorder="1"/>
    <xf numFmtId="0" fontId="2" fillId="11" borderId="0" xfId="0" applyFont="1" applyFill="1" applyBorder="1"/>
    <xf numFmtId="0" fontId="2" fillId="11" borderId="43" xfId="0" applyFont="1" applyFill="1" applyBorder="1"/>
    <xf numFmtId="0" fontId="2" fillId="11" borderId="31" xfId="0" applyFont="1" applyFill="1" applyBorder="1"/>
    <xf numFmtId="0" fontId="2" fillId="11" borderId="30" xfId="0" applyFont="1" applyFill="1" applyBorder="1"/>
    <xf numFmtId="0" fontId="2" fillId="11" borderId="0" xfId="0" applyFont="1" applyFill="1" applyBorder="1" applyAlignment="1">
      <alignment horizontal="center" vertical="center"/>
    </xf>
    <xf numFmtId="0" fontId="2" fillId="11" borderId="42" xfId="0" applyFont="1" applyFill="1" applyBorder="1"/>
    <xf numFmtId="0" fontId="2" fillId="11" borderId="29" xfId="0" applyFont="1" applyFill="1" applyBorder="1"/>
    <xf numFmtId="0" fontId="2" fillId="11" borderId="30" xfId="0" applyFont="1" applyFill="1" applyBorder="1" applyAlignment="1">
      <alignment horizontal="center" vertical="center"/>
    </xf>
    <xf numFmtId="0" fontId="50" fillId="11" borderId="0" xfId="0" applyFont="1" applyFill="1" applyBorder="1"/>
    <xf numFmtId="0" fontId="9" fillId="2" borderId="5" xfId="0" applyFont="1" applyFill="1" applyBorder="1" applyAlignment="1">
      <alignment horizontal="center" vertical="center" wrapText="1"/>
    </xf>
    <xf numFmtId="0" fontId="3" fillId="12" borderId="4" xfId="0" applyFont="1" applyFill="1" applyBorder="1" applyAlignment="1">
      <alignment horizontal="center" vertical="center" wrapText="1"/>
    </xf>
    <xf numFmtId="0" fontId="3" fillId="12" borderId="5" xfId="0" applyFont="1" applyFill="1" applyBorder="1" applyAlignment="1">
      <alignment horizontal="center" vertical="center" wrapText="1"/>
    </xf>
    <xf numFmtId="0" fontId="3" fillId="12" borderId="6" xfId="0" applyFont="1" applyFill="1" applyBorder="1" applyAlignment="1">
      <alignment horizontal="center" vertical="center" wrapText="1"/>
    </xf>
    <xf numFmtId="10" fontId="2" fillId="3" borderId="8" xfId="0" applyNumberFormat="1" applyFont="1" applyFill="1" applyBorder="1" applyAlignment="1">
      <alignment horizontal="center" vertical="center"/>
    </xf>
    <xf numFmtId="10" fontId="2" fillId="3" borderId="10" xfId="0" applyNumberFormat="1" applyFont="1" applyFill="1" applyBorder="1" applyAlignment="1">
      <alignment horizontal="center" vertical="center"/>
    </xf>
    <xf numFmtId="10" fontId="2" fillId="3" borderId="11" xfId="0" applyNumberFormat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9" fontId="2" fillId="0" borderId="8" xfId="0" applyNumberFormat="1" applyFont="1" applyBorder="1"/>
    <xf numFmtId="0" fontId="4" fillId="2" borderId="8" xfId="0" applyFont="1" applyFill="1" applyBorder="1" applyAlignment="1">
      <alignment horizontal="center"/>
    </xf>
    <xf numFmtId="43" fontId="2" fillId="3" borderId="38" xfId="1" applyFont="1" applyFill="1" applyBorder="1" applyAlignment="1">
      <alignment horizontal="center" vertical="center"/>
    </xf>
    <xf numFmtId="43" fontId="2" fillId="3" borderId="39" xfId="1" applyFont="1" applyFill="1" applyBorder="1" applyAlignment="1">
      <alignment horizontal="center" vertical="center"/>
    </xf>
    <xf numFmtId="0" fontId="29" fillId="14" borderId="21" xfId="0" applyFont="1" applyFill="1" applyBorder="1" applyAlignment="1">
      <alignment horizontal="center" vertical="center"/>
    </xf>
    <xf numFmtId="0" fontId="29" fillId="14" borderId="2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9" fontId="2" fillId="3" borderId="8" xfId="0" applyNumberFormat="1" applyFont="1" applyFill="1" applyBorder="1" applyAlignment="1">
      <alignment horizontal="center" vertical="center"/>
    </xf>
    <xf numFmtId="9" fontId="14" fillId="4" borderId="8" xfId="2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4" borderId="0" xfId="0" applyFont="1" applyFill="1" applyBorder="1" applyAlignment="1">
      <alignment horizontal="left" vertical="center"/>
    </xf>
    <xf numFmtId="0" fontId="2" fillId="14" borderId="30" xfId="0" applyFont="1" applyFill="1" applyBorder="1" applyAlignment="1">
      <alignment horizontal="left" vertical="center"/>
    </xf>
    <xf numFmtId="43" fontId="2" fillId="14" borderId="0" xfId="1" applyFont="1" applyFill="1" applyBorder="1" applyAlignment="1">
      <alignment horizontal="left" vertical="center"/>
    </xf>
    <xf numFmtId="43" fontId="2" fillId="14" borderId="30" xfId="1" applyFont="1" applyFill="1" applyBorder="1" applyAlignment="1">
      <alignment horizontal="left" vertical="center"/>
    </xf>
    <xf numFmtId="0" fontId="2" fillId="4" borderId="2" xfId="0" applyFont="1" applyFill="1" applyBorder="1"/>
    <xf numFmtId="37" fontId="2" fillId="4" borderId="1" xfId="0" applyNumberFormat="1" applyFont="1" applyFill="1" applyBorder="1"/>
    <xf numFmtId="0" fontId="2" fillId="4" borderId="1" xfId="0" applyFont="1" applyFill="1" applyBorder="1" applyAlignment="1">
      <alignment horizontal="center"/>
    </xf>
    <xf numFmtId="0" fontId="2" fillId="4" borderId="58" xfId="0" applyFont="1" applyFill="1" applyBorder="1"/>
    <xf numFmtId="37" fontId="2" fillId="4" borderId="3" xfId="0" applyNumberFormat="1" applyFont="1" applyFill="1" applyBorder="1"/>
    <xf numFmtId="37" fontId="2" fillId="4" borderId="3" xfId="0" applyNumberFormat="1" applyFont="1" applyFill="1" applyBorder="1" applyAlignment="1">
      <alignment horizontal="center"/>
    </xf>
    <xf numFmtId="43" fontId="2" fillId="0" borderId="10" xfId="1" applyFont="1" applyBorder="1"/>
    <xf numFmtId="0" fontId="2" fillId="4" borderId="9" xfId="0" applyFont="1" applyFill="1" applyBorder="1" applyAlignment="1">
      <alignment horizontal="center"/>
    </xf>
    <xf numFmtId="0" fontId="9" fillId="2" borderId="32" xfId="0" applyFont="1" applyFill="1" applyBorder="1" applyAlignment="1">
      <alignment horizontal="center" vertical="center"/>
    </xf>
    <xf numFmtId="43" fontId="2" fillId="4" borderId="1" xfId="1" applyFont="1" applyFill="1" applyBorder="1" applyAlignment="1">
      <alignment horizontal="center"/>
    </xf>
    <xf numFmtId="43" fontId="2" fillId="4" borderId="1" xfId="1" applyNumberFormat="1" applyFont="1" applyFill="1" applyBorder="1" applyAlignment="1">
      <alignment horizontal="center"/>
    </xf>
    <xf numFmtId="0" fontId="0" fillId="15" borderId="26" xfId="0" applyFill="1" applyBorder="1"/>
    <xf numFmtId="0" fontId="2" fillId="15" borderId="27" xfId="0" applyFont="1" applyFill="1" applyBorder="1"/>
    <xf numFmtId="0" fontId="2" fillId="15" borderId="28" xfId="0" applyFont="1" applyFill="1" applyBorder="1"/>
    <xf numFmtId="0" fontId="0" fillId="15" borderId="42" xfId="0" applyFill="1" applyBorder="1"/>
    <xf numFmtId="0" fontId="2" fillId="15" borderId="0" xfId="0" applyFont="1" applyFill="1" applyBorder="1"/>
    <xf numFmtId="0" fontId="2" fillId="15" borderId="43" xfId="0" applyFont="1" applyFill="1" applyBorder="1"/>
    <xf numFmtId="0" fontId="0" fillId="15" borderId="29" xfId="0" applyFill="1" applyBorder="1"/>
    <xf numFmtId="0" fontId="0" fillId="15" borderId="0" xfId="0" applyFill="1" applyBorder="1"/>
    <xf numFmtId="0" fontId="2" fillId="15" borderId="0" xfId="0" applyFont="1" applyFill="1" applyBorder="1" applyAlignment="1">
      <alignment horizontal="center" vertical="center"/>
    </xf>
    <xf numFmtId="0" fontId="2" fillId="15" borderId="30" xfId="0" applyFont="1" applyFill="1" applyBorder="1"/>
    <xf numFmtId="0" fontId="2" fillId="15" borderId="30" xfId="0" applyFont="1" applyFill="1" applyBorder="1" applyAlignment="1">
      <alignment horizontal="center" vertical="center"/>
    </xf>
    <xf numFmtId="0" fontId="2" fillId="15" borderId="31" xfId="0" applyFont="1" applyFill="1" applyBorder="1"/>
    <xf numFmtId="0" fontId="4" fillId="2" borderId="4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 wrapText="1"/>
    </xf>
    <xf numFmtId="0" fontId="9" fillId="2" borderId="9" xfId="0" applyFont="1" applyFill="1" applyBorder="1" applyAlignment="1">
      <alignment horizontal="left" vertical="center"/>
    </xf>
    <xf numFmtId="0" fontId="1" fillId="0" borderId="42" xfId="0" applyFont="1" applyBorder="1"/>
    <xf numFmtId="43" fontId="2" fillId="0" borderId="42" xfId="1" applyFont="1" applyBorder="1" applyAlignment="1">
      <alignment vertical="center"/>
    </xf>
    <xf numFmtId="9" fontId="1" fillId="4" borderId="1" xfId="2" applyFont="1" applyFill="1" applyBorder="1"/>
    <xf numFmtId="0" fontId="4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9" fontId="9" fillId="2" borderId="10" xfId="0" applyNumberFormat="1" applyFont="1" applyFill="1" applyBorder="1" applyAlignment="1">
      <alignment horizontal="center" wrapText="1"/>
    </xf>
    <xf numFmtId="10" fontId="9" fillId="2" borderId="10" xfId="0" applyNumberFormat="1" applyFont="1" applyFill="1" applyBorder="1" applyAlignment="1">
      <alignment horizontal="center" wrapText="1"/>
    </xf>
    <xf numFmtId="3" fontId="16" fillId="3" borderId="1" xfId="0" applyNumberFormat="1" applyFont="1" applyFill="1" applyBorder="1"/>
    <xf numFmtId="9" fontId="0" fillId="0" borderId="0" xfId="2" applyFont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41" fillId="4" borderId="0" xfId="2" applyFont="1" applyFill="1" applyBorder="1" applyAlignment="1">
      <alignment horizontal="center"/>
    </xf>
    <xf numFmtId="0" fontId="29" fillId="4" borderId="27" xfId="0" applyFont="1" applyFill="1" applyBorder="1" applyAlignment="1"/>
    <xf numFmtId="0" fontId="0" fillId="0" borderId="28" xfId="0" applyBorder="1"/>
    <xf numFmtId="0" fontId="16" fillId="0" borderId="0" xfId="0" applyFont="1" applyBorder="1"/>
    <xf numFmtId="0" fontId="0" fillId="0" borderId="31" xfId="0" applyBorder="1"/>
    <xf numFmtId="0" fontId="15" fillId="0" borderId="0" xfId="0" applyFont="1" applyBorder="1" applyAlignment="1"/>
    <xf numFmtId="0" fontId="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3" fontId="2" fillId="4" borderId="2" xfId="0" applyNumberFormat="1" applyFont="1" applyFill="1" applyBorder="1" applyAlignment="1" applyProtection="1">
      <alignment horizontal="center" vertical="center"/>
      <protection locked="0"/>
    </xf>
    <xf numFmtId="165" fontId="2" fillId="4" borderId="2" xfId="0" applyNumberFormat="1" applyFont="1" applyFill="1" applyBorder="1" applyAlignment="1" applyProtection="1">
      <alignment horizontal="center" vertical="center"/>
      <protection locked="0"/>
    </xf>
    <xf numFmtId="10" fontId="0" fillId="0" borderId="1" xfId="2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9" fontId="2" fillId="3" borderId="1" xfId="2" applyFont="1" applyFill="1" applyBorder="1" applyAlignment="1">
      <alignment horizontal="center"/>
    </xf>
    <xf numFmtId="9" fontId="1" fillId="4" borderId="34" xfId="2" applyFont="1" applyFill="1" applyBorder="1"/>
    <xf numFmtId="0" fontId="2" fillId="6" borderId="42" xfId="0" applyFont="1" applyFill="1" applyBorder="1"/>
    <xf numFmtId="0" fontId="2" fillId="6" borderId="29" xfId="0" applyFont="1" applyFill="1" applyBorder="1"/>
    <xf numFmtId="0" fontId="2" fillId="6" borderId="0" xfId="0" applyFont="1" applyFill="1" applyBorder="1"/>
    <xf numFmtId="0" fontId="2" fillId="6" borderId="0" xfId="0" applyFont="1" applyFill="1" applyBorder="1" applyAlignment="1">
      <alignment horizontal="center" vertical="center"/>
    </xf>
    <xf numFmtId="0" fontId="2" fillId="6" borderId="43" xfId="0" applyFont="1" applyFill="1" applyBorder="1"/>
    <xf numFmtId="0" fontId="2" fillId="6" borderId="30" xfId="0" applyFont="1" applyFill="1" applyBorder="1"/>
    <xf numFmtId="0" fontId="2" fillId="6" borderId="31" xfId="0" applyFont="1" applyFill="1" applyBorder="1"/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9" fontId="2" fillId="3" borderId="1" xfId="2" applyFont="1" applyFill="1" applyBorder="1" applyAlignment="1">
      <alignment vertical="center"/>
    </xf>
    <xf numFmtId="0" fontId="0" fillId="6" borderId="42" xfId="0" applyFill="1" applyBorder="1"/>
    <xf numFmtId="0" fontId="0" fillId="6" borderId="29" xfId="0" applyFill="1" applyBorder="1"/>
    <xf numFmtId="9" fontId="0" fillId="3" borderId="1" xfId="0" applyNumberFormat="1" applyFill="1" applyBorder="1"/>
    <xf numFmtId="0" fontId="0" fillId="0" borderId="3" xfId="0" applyBorder="1" applyAlignment="1">
      <alignment horizontal="left" indent="1"/>
    </xf>
    <xf numFmtId="43" fontId="41" fillId="0" borderId="3" xfId="0" applyNumberFormat="1" applyFont="1" applyBorder="1"/>
    <xf numFmtId="43" fontId="0" fillId="0" borderId="3" xfId="0" applyNumberFormat="1" applyBorder="1"/>
    <xf numFmtId="43" fontId="0" fillId="0" borderId="55" xfId="0" applyNumberFormat="1" applyBorder="1"/>
    <xf numFmtId="43" fontId="2" fillId="4" borderId="1" xfId="0" applyNumberFormat="1" applyFont="1" applyFill="1" applyBorder="1" applyAlignment="1">
      <alignment horizontal="left" indent="1"/>
    </xf>
    <xf numFmtId="0" fontId="9" fillId="2" borderId="0" xfId="0" applyFont="1" applyFill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7" fontId="4" fillId="2" borderId="1" xfId="1" applyNumberFormat="1" applyFont="1" applyFill="1" applyBorder="1" applyAlignment="1">
      <alignment horizontal="center" vertical="center" wrapText="1"/>
    </xf>
    <xf numFmtId="9" fontId="2" fillId="4" borderId="25" xfId="2" applyFont="1" applyFill="1" applyBorder="1" applyAlignment="1">
      <alignment horizontal="center"/>
    </xf>
    <xf numFmtId="9" fontId="2" fillId="4" borderId="5" xfId="2" applyFont="1" applyFill="1" applyBorder="1" applyAlignment="1">
      <alignment horizontal="center"/>
    </xf>
    <xf numFmtId="9" fontId="2" fillId="4" borderId="10" xfId="2" applyFont="1" applyFill="1" applyBorder="1" applyAlignment="1">
      <alignment horizontal="center"/>
    </xf>
    <xf numFmtId="168" fontId="2" fillId="4" borderId="25" xfId="1" applyNumberFormat="1" applyFont="1" applyFill="1" applyBorder="1"/>
    <xf numFmtId="168" fontId="2" fillId="4" borderId="69" xfId="1" applyNumberFormat="1" applyFont="1" applyFill="1" applyBorder="1"/>
    <xf numFmtId="0" fontId="9" fillId="15" borderId="0" xfId="0" applyFont="1" applyFill="1" applyBorder="1" applyAlignment="1">
      <alignment horizontal="center" vertical="center"/>
    </xf>
    <xf numFmtId="0" fontId="9" fillId="15" borderId="0" xfId="0" applyFont="1" applyFill="1" applyBorder="1" applyAlignment="1">
      <alignment horizontal="center" vertical="center" wrapText="1"/>
    </xf>
    <xf numFmtId="168" fontId="2" fillId="0" borderId="1" xfId="1" applyNumberFormat="1" applyFont="1" applyBorder="1"/>
    <xf numFmtId="0" fontId="4" fillId="2" borderId="2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2" fillId="15" borderId="0" xfId="0" applyFont="1" applyFill="1"/>
    <xf numFmtId="37" fontId="14" fillId="9" borderId="1" xfId="6" applyNumberFormat="1" applyFont="1" applyFill="1" applyBorder="1" applyAlignment="1">
      <alignment horizontal="left" indent="2"/>
    </xf>
    <xf numFmtId="37" fontId="2" fillId="9" borderId="1" xfId="6" applyNumberFormat="1" applyFont="1" applyFill="1" applyBorder="1" applyAlignment="1">
      <alignment horizontal="left" indent="2"/>
    </xf>
    <xf numFmtId="37" fontId="2" fillId="0" borderId="1" xfId="0" applyNumberFormat="1" applyFont="1" applyBorder="1"/>
    <xf numFmtId="43" fontId="2" fillId="0" borderId="10" xfId="1" applyNumberFormat="1" applyFont="1" applyBorder="1"/>
    <xf numFmtId="0" fontId="33" fillId="15" borderId="1" xfId="0" applyFont="1" applyFill="1" applyBorder="1" applyAlignment="1">
      <alignment horizontal="center"/>
    </xf>
    <xf numFmtId="0" fontId="57" fillId="15" borderId="52" xfId="0" applyFont="1" applyFill="1" applyBorder="1" applyAlignment="1">
      <alignment horizontal="center"/>
    </xf>
    <xf numFmtId="9" fontId="1" fillId="4" borderId="67" xfId="2" applyFont="1" applyFill="1" applyBorder="1"/>
    <xf numFmtId="9" fontId="1" fillId="4" borderId="3" xfId="2" applyFont="1" applyFill="1" applyBorder="1"/>
    <xf numFmtId="43" fontId="1" fillId="0" borderId="37" xfId="1" applyFont="1" applyBorder="1"/>
    <xf numFmtId="43" fontId="1" fillId="0" borderId="55" xfId="1" applyFont="1" applyBorder="1"/>
    <xf numFmtId="0" fontId="3" fillId="11" borderId="51" xfId="0" applyFont="1" applyFill="1" applyBorder="1"/>
    <xf numFmtId="43" fontId="3" fillId="11" borderId="19" xfId="0" applyNumberFormat="1" applyFont="1" applyFill="1" applyBorder="1"/>
    <xf numFmtId="0" fontId="1" fillId="11" borderId="51" xfId="0" applyFont="1" applyFill="1" applyBorder="1"/>
    <xf numFmtId="0" fontId="1" fillId="11" borderId="52" xfId="0" applyFont="1" applyFill="1" applyBorder="1"/>
    <xf numFmtId="43" fontId="58" fillId="11" borderId="12" xfId="0" applyNumberFormat="1" applyFont="1" applyFill="1" applyBorder="1"/>
    <xf numFmtId="43" fontId="58" fillId="11" borderId="14" xfId="0" applyNumberFormat="1" applyFont="1" applyFill="1" applyBorder="1"/>
    <xf numFmtId="0" fontId="58" fillId="11" borderId="51" xfId="0" applyFont="1" applyFill="1" applyBorder="1"/>
    <xf numFmtId="0" fontId="58" fillId="11" borderId="52" xfId="0" applyFont="1" applyFill="1" applyBorder="1"/>
    <xf numFmtId="0" fontId="9" fillId="2" borderId="32" xfId="0" applyFont="1" applyFill="1" applyBorder="1" applyAlignment="1">
      <alignment horizontal="center"/>
    </xf>
    <xf numFmtId="0" fontId="9" fillId="2" borderId="25" xfId="0" applyFont="1" applyFill="1" applyBorder="1" applyAlignment="1">
      <alignment horizontal="center" vertical="center" wrapText="1"/>
    </xf>
    <xf numFmtId="0" fontId="33" fillId="15" borderId="19" xfId="0" applyFont="1" applyFill="1" applyBorder="1" applyAlignment="1">
      <alignment horizontal="center" vertical="center"/>
    </xf>
    <xf numFmtId="43" fontId="2" fillId="0" borderId="25" xfId="1" applyNumberFormat="1" applyFont="1" applyBorder="1"/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68" fontId="2" fillId="0" borderId="25" xfId="1" applyNumberFormat="1" applyFont="1" applyBorder="1"/>
    <xf numFmtId="43" fontId="2" fillId="0" borderId="34" xfId="1" applyFont="1" applyBorder="1"/>
    <xf numFmtId="43" fontId="2" fillId="0" borderId="35" xfId="1" applyFont="1" applyBorder="1"/>
    <xf numFmtId="43" fontId="2" fillId="0" borderId="7" xfId="1" applyFont="1" applyBorder="1"/>
    <xf numFmtId="43" fontId="2" fillId="0" borderId="9" xfId="1" applyFont="1" applyBorder="1"/>
    <xf numFmtId="43" fontId="0" fillId="0" borderId="34" xfId="0" applyNumberFormat="1" applyBorder="1"/>
    <xf numFmtId="168" fontId="2" fillId="0" borderId="35" xfId="1" applyNumberFormat="1" applyFont="1" applyBorder="1"/>
    <xf numFmtId="168" fontId="2" fillId="0" borderId="8" xfId="1" applyNumberFormat="1" applyFont="1" applyBorder="1"/>
    <xf numFmtId="43" fontId="0" fillId="0" borderId="9" xfId="0" applyNumberFormat="1" applyBorder="1"/>
    <xf numFmtId="168" fontId="2" fillId="0" borderId="10" xfId="1" applyNumberFormat="1" applyFont="1" applyBorder="1"/>
    <xf numFmtId="0" fontId="64" fillId="4" borderId="0" xfId="0" applyFont="1" applyFill="1" applyAlignment="1"/>
    <xf numFmtId="0" fontId="64" fillId="0" borderId="0" xfId="0" applyFont="1" applyAlignment="1">
      <alignment horizontal="left" vertical="center"/>
    </xf>
    <xf numFmtId="43" fontId="2" fillId="3" borderId="8" xfId="1" applyFont="1" applyFill="1" applyBorder="1"/>
    <xf numFmtId="43" fontId="2" fillId="3" borderId="5" xfId="1" applyFont="1" applyFill="1" applyBorder="1"/>
    <xf numFmtId="43" fontId="2" fillId="3" borderId="6" xfId="1" applyFont="1" applyFill="1" applyBorder="1"/>
    <xf numFmtId="0" fontId="2" fillId="3" borderId="32" xfId="0" applyFont="1" applyFill="1" applyBorder="1" applyAlignment="1">
      <alignment horizontal="center" vertical="center"/>
    </xf>
    <xf numFmtId="0" fontId="2" fillId="3" borderId="70" xfId="0" applyFont="1" applyFill="1" applyBorder="1" applyAlignment="1">
      <alignment horizontal="center" vertical="center"/>
    </xf>
    <xf numFmtId="43" fontId="14" fillId="4" borderId="8" xfId="1" applyFont="1" applyFill="1" applyBorder="1" applyAlignment="1">
      <alignment horizontal="center" vertical="center"/>
    </xf>
    <xf numFmtId="43" fontId="8" fillId="11" borderId="46" xfId="0" applyNumberFormat="1" applyFont="1" applyFill="1" applyBorder="1"/>
    <xf numFmtId="0" fontId="13" fillId="10" borderId="4" xfId="0" applyFont="1" applyFill="1" applyBorder="1"/>
    <xf numFmtId="0" fontId="0" fillId="10" borderId="5" xfId="0" applyFill="1" applyBorder="1"/>
    <xf numFmtId="43" fontId="0" fillId="10" borderId="5" xfId="0" applyNumberFormat="1" applyFill="1" applyBorder="1"/>
    <xf numFmtId="43" fontId="0" fillId="10" borderId="6" xfId="0" applyNumberFormat="1" applyFill="1" applyBorder="1"/>
    <xf numFmtId="0" fontId="0" fillId="10" borderId="9" xfId="0" applyFill="1" applyBorder="1"/>
    <xf numFmtId="0" fontId="0" fillId="10" borderId="10" xfId="0" applyFill="1" applyBorder="1"/>
    <xf numFmtId="43" fontId="0" fillId="10" borderId="10" xfId="0" applyNumberFormat="1" applyFill="1" applyBorder="1"/>
    <xf numFmtId="43" fontId="0" fillId="10" borderId="11" xfId="0" applyNumberFormat="1" applyFill="1" applyBorder="1"/>
    <xf numFmtId="0" fontId="54" fillId="10" borderId="19" xfId="0" applyFont="1" applyFill="1" applyBorder="1" applyAlignment="1">
      <alignment horizontal="center"/>
    </xf>
    <xf numFmtId="43" fontId="2" fillId="11" borderId="39" xfId="1" applyFont="1" applyFill="1" applyBorder="1" applyAlignment="1">
      <alignment horizontal="center" vertical="center"/>
    </xf>
    <xf numFmtId="37" fontId="2" fillId="11" borderId="1" xfId="6" applyNumberFormat="1" applyFont="1" applyFill="1" applyBorder="1" applyAlignment="1">
      <alignment horizontal="left" vertical="center"/>
    </xf>
    <xf numFmtId="0" fontId="2" fillId="11" borderId="1" xfId="0" applyFont="1" applyFill="1" applyBorder="1"/>
    <xf numFmtId="0" fontId="2" fillId="11" borderId="8" xfId="0" applyFont="1" applyFill="1" applyBorder="1"/>
    <xf numFmtId="0" fontId="2" fillId="11" borderId="1" xfId="0" applyFont="1" applyFill="1" applyBorder="1" applyAlignment="1">
      <alignment horizontal="left" vertical="center"/>
    </xf>
    <xf numFmtId="43" fontId="39" fillId="11" borderId="39" xfId="1" applyFont="1" applyFill="1" applyBorder="1" applyAlignment="1">
      <alignment horizontal="center" vertical="center"/>
    </xf>
    <xf numFmtId="0" fontId="39" fillId="11" borderId="1" xfId="0" applyFont="1" applyFill="1" applyBorder="1" applyAlignment="1">
      <alignment horizontal="left" vertical="center"/>
    </xf>
    <xf numFmtId="43" fontId="39" fillId="11" borderId="72" xfId="1" applyFont="1" applyFill="1" applyBorder="1" applyAlignment="1">
      <alignment horizontal="center" vertical="center"/>
    </xf>
    <xf numFmtId="0" fontId="39" fillId="11" borderId="10" xfId="0" applyFont="1" applyFill="1" applyBorder="1" applyAlignment="1">
      <alignment horizontal="left" vertical="center"/>
    </xf>
    <xf numFmtId="0" fontId="2" fillId="11" borderId="10" xfId="0" applyFont="1" applyFill="1" applyBorder="1"/>
    <xf numFmtId="0" fontId="2" fillId="11" borderId="11" xfId="0" applyFont="1" applyFill="1" applyBorder="1"/>
    <xf numFmtId="37" fontId="2" fillId="11" borderId="1" xfId="6" applyNumberFormat="1" applyFont="1" applyFill="1" applyBorder="1"/>
    <xf numFmtId="0" fontId="2" fillId="11" borderId="1" xfId="0" applyFont="1" applyFill="1" applyBorder="1" applyAlignment="1">
      <alignment vertical="center"/>
    </xf>
    <xf numFmtId="0" fontId="39" fillId="11" borderId="1" xfId="0" applyFont="1" applyFill="1" applyBorder="1" applyAlignment="1">
      <alignment vertical="center"/>
    </xf>
    <xf numFmtId="0" fontId="39" fillId="11" borderId="1" xfId="0" applyFont="1" applyFill="1" applyBorder="1"/>
    <xf numFmtId="0" fontId="39" fillId="3" borderId="9" xfId="0" applyFont="1" applyFill="1" applyBorder="1"/>
    <xf numFmtId="0" fontId="39" fillId="3" borderId="10" xfId="0" applyFont="1" applyFill="1" applyBorder="1"/>
    <xf numFmtId="0" fontId="39" fillId="3" borderId="11" xfId="0" applyFont="1" applyFill="1" applyBorder="1"/>
    <xf numFmtId="0" fontId="39" fillId="3" borderId="1" xfId="0" applyFont="1" applyFill="1" applyBorder="1" applyAlignment="1">
      <alignment horizontal="center" vertical="center"/>
    </xf>
    <xf numFmtId="9" fontId="39" fillId="3" borderId="1" xfId="2" applyFont="1" applyFill="1" applyBorder="1" applyAlignment="1">
      <alignment horizontal="center" vertical="center"/>
    </xf>
    <xf numFmtId="37" fontId="39" fillId="3" borderId="25" xfId="6" applyNumberFormat="1" applyFont="1" applyFill="1" applyBorder="1"/>
    <xf numFmtId="0" fontId="39" fillId="3" borderId="25" xfId="0" applyFont="1" applyFill="1" applyBorder="1"/>
    <xf numFmtId="9" fontId="39" fillId="3" borderId="1" xfId="2" applyFont="1" applyFill="1" applyBorder="1"/>
    <xf numFmtId="37" fontId="39" fillId="3" borderId="1" xfId="6" applyNumberFormat="1" applyFont="1" applyFill="1" applyBorder="1"/>
    <xf numFmtId="43" fontId="39" fillId="3" borderId="1" xfId="1" applyFont="1" applyFill="1" applyBorder="1"/>
    <xf numFmtId="43" fontId="39" fillId="3" borderId="1" xfId="1" applyFont="1" applyFill="1" applyBorder="1" applyAlignment="1">
      <alignment vertical="center" wrapText="1"/>
    </xf>
    <xf numFmtId="43" fontId="39" fillId="3" borderId="1" xfId="1" applyFont="1" applyFill="1" applyBorder="1" applyAlignment="1">
      <alignment horizontal="right" vertical="center" wrapText="1"/>
    </xf>
    <xf numFmtId="0" fontId="39" fillId="3" borderId="1" xfId="0" applyFont="1" applyFill="1" applyBorder="1" applyAlignment="1">
      <alignment horizontal="left" indent="1"/>
    </xf>
    <xf numFmtId="0" fontId="39" fillId="4" borderId="0" xfId="0" applyFont="1" applyFill="1"/>
    <xf numFmtId="0" fontId="39" fillId="3" borderId="32" xfId="0" applyFont="1" applyFill="1" applyBorder="1"/>
    <xf numFmtId="0" fontId="40" fillId="3" borderId="1" xfId="0" applyFont="1" applyFill="1" applyBorder="1"/>
    <xf numFmtId="0" fontId="39" fillId="3" borderId="1" xfId="0" applyFont="1" applyFill="1" applyBorder="1" applyAlignment="1">
      <alignment horizontal="left" vertical="center" wrapText="1"/>
    </xf>
    <xf numFmtId="0" fontId="69" fillId="3" borderId="1" xfId="0" applyFont="1" applyFill="1" applyBorder="1"/>
    <xf numFmtId="0" fontId="39" fillId="3" borderId="1" xfId="0" applyFont="1" applyFill="1" applyBorder="1" applyAlignment="1">
      <alignment horizontal="left"/>
    </xf>
    <xf numFmtId="43" fontId="4" fillId="2" borderId="1" xfId="1" applyFont="1" applyFill="1" applyBorder="1" applyAlignment="1">
      <alignment horizontal="center" vertical="center"/>
    </xf>
    <xf numFmtId="43" fontId="4" fillId="2" borderId="1" xfId="1" applyFont="1" applyFill="1" applyBorder="1" applyAlignment="1">
      <alignment horizontal="center" vertical="center" wrapText="1"/>
    </xf>
    <xf numFmtId="43" fontId="4" fillId="2" borderId="32" xfId="1" applyFont="1" applyFill="1" applyBorder="1" applyAlignment="1">
      <alignment horizontal="center" vertical="center" wrapText="1"/>
    </xf>
    <xf numFmtId="43" fontId="5" fillId="6" borderId="1" xfId="1" applyFont="1" applyFill="1" applyBorder="1"/>
    <xf numFmtId="43" fontId="2" fillId="3" borderId="3" xfId="1" applyFont="1" applyFill="1" applyBorder="1"/>
    <xf numFmtId="43" fontId="40" fillId="3" borderId="1" xfId="1" applyFont="1" applyFill="1" applyBorder="1"/>
    <xf numFmtId="43" fontId="0" fillId="3" borderId="1" xfId="1" applyFont="1" applyFill="1" applyBorder="1"/>
    <xf numFmtId="43" fontId="5" fillId="3" borderId="1" xfId="1" applyFont="1" applyFill="1" applyBorder="1"/>
    <xf numFmtId="43" fontId="69" fillId="3" borderId="1" xfId="1" applyFont="1" applyFill="1" applyBorder="1"/>
    <xf numFmtId="43" fontId="5" fillId="4" borderId="1" xfId="1" applyFont="1" applyFill="1" applyBorder="1"/>
    <xf numFmtId="0" fontId="70" fillId="3" borderId="1" xfId="4" applyFont="1" applyFill="1" applyBorder="1" applyAlignment="1">
      <alignment vertical="center"/>
    </xf>
    <xf numFmtId="0" fontId="40" fillId="0" borderId="0" xfId="0" applyFont="1"/>
    <xf numFmtId="0" fontId="71" fillId="3" borderId="1" xfId="0" applyFont="1" applyFill="1" applyBorder="1" applyAlignment="1">
      <alignment vertical="center"/>
    </xf>
    <xf numFmtId="0" fontId="70" fillId="3" borderId="1" xfId="0" applyFont="1" applyFill="1" applyBorder="1" applyAlignment="1">
      <alignment vertical="center"/>
    </xf>
    <xf numFmtId="169" fontId="2" fillId="0" borderId="1" xfId="0" applyNumberFormat="1" applyFont="1" applyBorder="1"/>
    <xf numFmtId="170" fontId="2" fillId="0" borderId="1" xfId="1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9" fillId="2" borderId="1" xfId="0" applyFont="1" applyFill="1" applyBorder="1" applyAlignment="1">
      <alignment horizontal="center" vertical="center" wrapText="1"/>
    </xf>
    <xf numFmtId="171" fontId="39" fillId="3" borderId="1" xfId="0" applyNumberFormat="1" applyFont="1" applyFill="1" applyBorder="1" applyAlignment="1">
      <alignment horizontal="center" vertical="center"/>
    </xf>
    <xf numFmtId="172" fontId="14" fillId="3" borderId="1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/>
    </xf>
    <xf numFmtId="173" fontId="39" fillId="3" borderId="1" xfId="0" applyNumberFormat="1" applyFont="1" applyFill="1" applyBorder="1" applyAlignment="1">
      <alignment horizontal="center" vertical="center"/>
    </xf>
    <xf numFmtId="9" fontId="39" fillId="3" borderId="1" xfId="0" applyNumberFormat="1" applyFont="1" applyFill="1" applyBorder="1"/>
    <xf numFmtId="0" fontId="0" fillId="11" borderId="0" xfId="0" applyFill="1"/>
    <xf numFmtId="9" fontId="0" fillId="0" borderId="0" xfId="2" applyNumberFormat="1" applyFont="1"/>
    <xf numFmtId="0" fontId="9" fillId="2" borderId="10" xfId="1" applyNumberFormat="1" applyFont="1" applyFill="1" applyBorder="1" applyAlignment="1">
      <alignment horizontal="center" vertical="center" wrapText="1"/>
    </xf>
    <xf numFmtId="10" fontId="9" fillId="2" borderId="10" xfId="1" applyNumberFormat="1" applyFont="1" applyFill="1" applyBorder="1" applyAlignment="1">
      <alignment horizontal="center" vertical="center" wrapText="1"/>
    </xf>
    <xf numFmtId="43" fontId="2" fillId="5" borderId="0" xfId="0" applyNumberFormat="1" applyFont="1" applyFill="1" applyBorder="1" applyAlignment="1">
      <alignment vertical="center" wrapText="1"/>
    </xf>
    <xf numFmtId="9" fontId="16" fillId="0" borderId="1" xfId="2" applyFont="1" applyBorder="1"/>
    <xf numFmtId="165" fontId="0" fillId="0" borderId="0" xfId="2" applyNumberFormat="1" applyFont="1"/>
    <xf numFmtId="43" fontId="0" fillId="0" borderId="1" xfId="1" applyNumberFormat="1" applyFont="1" applyBorder="1" applyAlignment="1">
      <alignment horizontal="center"/>
    </xf>
    <xf numFmtId="43" fontId="0" fillId="0" borderId="1" xfId="1" applyFont="1" applyBorder="1" applyAlignment="1">
      <alignment horizontal="center"/>
    </xf>
    <xf numFmtId="10" fontId="14" fillId="4" borderId="8" xfId="2" applyNumberFormat="1" applyFont="1" applyFill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/>
    </xf>
    <xf numFmtId="10" fontId="46" fillId="0" borderId="1" xfId="0" applyNumberFormat="1" applyFont="1" applyBorder="1" applyAlignment="1">
      <alignment horizontal="center" vertical="center"/>
    </xf>
    <xf numFmtId="165" fontId="46" fillId="0" borderId="1" xfId="0" applyNumberFormat="1" applyFont="1" applyBorder="1" applyAlignment="1">
      <alignment horizontal="center" vertical="center"/>
    </xf>
    <xf numFmtId="0" fontId="2" fillId="0" borderId="37" xfId="0" applyFont="1" applyBorder="1"/>
    <xf numFmtId="43" fontId="2" fillId="0" borderId="3" xfId="0" applyNumberFormat="1" applyFont="1" applyBorder="1"/>
    <xf numFmtId="43" fontId="2" fillId="0" borderId="55" xfId="0" applyNumberFormat="1" applyFont="1" applyBorder="1"/>
    <xf numFmtId="0" fontId="2" fillId="6" borderId="12" xfId="0" applyFont="1" applyFill="1" applyBorder="1"/>
    <xf numFmtId="43" fontId="2" fillId="6" borderId="13" xfId="0" applyNumberFormat="1" applyFont="1" applyFill="1" applyBorder="1"/>
    <xf numFmtId="43" fontId="2" fillId="6" borderId="14" xfId="0" applyNumberFormat="1" applyFont="1" applyFill="1" applyBorder="1"/>
    <xf numFmtId="0" fontId="2" fillId="0" borderId="34" xfId="0" applyFont="1" applyBorder="1"/>
    <xf numFmtId="43" fontId="2" fillId="0" borderId="25" xfId="0" applyNumberFormat="1" applyFont="1" applyBorder="1"/>
    <xf numFmtId="43" fontId="2" fillId="0" borderId="35" xfId="0" applyNumberFormat="1" applyFont="1" applyBorder="1"/>
    <xf numFmtId="43" fontId="4" fillId="2" borderId="13" xfId="0" applyNumberFormat="1" applyFont="1" applyFill="1" applyBorder="1" applyAlignment="1">
      <alignment horizontal="center" vertical="center"/>
    </xf>
    <xf numFmtId="43" fontId="4" fillId="2" borderId="14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8" fillId="16" borderId="1" xfId="0" applyFont="1" applyFill="1" applyBorder="1"/>
    <xf numFmtId="43" fontId="0" fillId="16" borderId="1" xfId="1" applyFont="1" applyFill="1" applyBorder="1"/>
    <xf numFmtId="0" fontId="73" fillId="17" borderId="4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left" vertical="center" indent="1"/>
    </xf>
    <xf numFmtId="0" fontId="73" fillId="17" borderId="9" xfId="0" applyFont="1" applyFill="1" applyBorder="1" applyAlignment="1">
      <alignment horizontal="center" vertical="center"/>
    </xf>
    <xf numFmtId="0" fontId="26" fillId="2" borderId="10" xfId="0" applyFont="1" applyFill="1" applyBorder="1" applyAlignment="1">
      <alignment horizontal="left" vertical="center"/>
    </xf>
    <xf numFmtId="0" fontId="26" fillId="2" borderId="10" xfId="0" applyFont="1" applyFill="1" applyBorder="1" applyAlignment="1"/>
    <xf numFmtId="43" fontId="0" fillId="0" borderId="10" xfId="0" applyNumberFormat="1" applyFont="1" applyBorder="1"/>
    <xf numFmtId="43" fontId="0" fillId="0" borderId="11" xfId="0" applyNumberFormat="1" applyFont="1" applyBorder="1"/>
    <xf numFmtId="0" fontId="8" fillId="17" borderId="1" xfId="0" applyFont="1" applyFill="1" applyBorder="1"/>
    <xf numFmtId="0" fontId="0" fillId="17" borderId="1" xfId="0" applyFill="1" applyBorder="1"/>
    <xf numFmtId="43" fontId="0" fillId="17" borderId="1" xfId="0" applyNumberFormat="1" applyFill="1" applyBorder="1"/>
    <xf numFmtId="0" fontId="0" fillId="0" borderId="0" xfId="0" applyAlignment="1">
      <alignment horizontal="left" indent="1"/>
    </xf>
    <xf numFmtId="43" fontId="13" fillId="0" borderId="0" xfId="0" applyNumberFormat="1" applyFont="1"/>
    <xf numFmtId="0" fontId="26" fillId="2" borderId="5" xfId="0" applyFont="1" applyFill="1" applyBorder="1" applyAlignment="1">
      <alignment horizontal="right" vertical="center" indent="1"/>
    </xf>
    <xf numFmtId="43" fontId="0" fillId="4" borderId="0" xfId="1" applyFont="1" applyFill="1" applyBorder="1"/>
    <xf numFmtId="43" fontId="0" fillId="4" borderId="0" xfId="0" applyNumberFormat="1" applyFill="1"/>
    <xf numFmtId="0" fontId="41" fillId="4" borderId="0" xfId="0" applyFont="1" applyFill="1" applyBorder="1" applyAlignment="1">
      <alignment horizontal="left" indent="1"/>
    </xf>
    <xf numFmtId="43" fontId="0" fillId="4" borderId="0" xfId="1" applyFont="1" applyFill="1"/>
    <xf numFmtId="0" fontId="8" fillId="0" borderId="0" xfId="0" applyFont="1" applyBorder="1" applyAlignment="1">
      <alignment horizontal="center" vertical="center" wrapText="1"/>
    </xf>
    <xf numFmtId="43" fontId="8" fillId="0" borderId="0" xfId="1" applyFont="1" applyBorder="1" applyAlignment="1">
      <alignment horizontal="center" vertical="center" wrapText="1"/>
    </xf>
    <xf numFmtId="43" fontId="8" fillId="0" borderId="0" xfId="0" applyNumberFormat="1" applyFont="1" applyBorder="1" applyAlignment="1">
      <alignment horizontal="center" vertical="center" wrapText="1"/>
    </xf>
    <xf numFmtId="9" fontId="8" fillId="0" borderId="0" xfId="0" applyNumberFormat="1" applyFont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7" fillId="2" borderId="21" xfId="0" applyFont="1" applyFill="1" applyBorder="1" applyAlignment="1">
      <alignment horizontal="center" vertical="center" wrapText="1"/>
    </xf>
    <xf numFmtId="0" fontId="7" fillId="2" borderId="22" xfId="0" applyFont="1" applyFill="1" applyBorder="1" applyAlignment="1">
      <alignment horizontal="center" vertical="center" wrapText="1"/>
    </xf>
    <xf numFmtId="43" fontId="8" fillId="0" borderId="9" xfId="1" applyFont="1" applyBorder="1" applyAlignment="1">
      <alignment horizontal="center" vertical="center" wrapText="1"/>
    </xf>
    <xf numFmtId="43" fontId="8" fillId="0" borderId="10" xfId="0" applyNumberFormat="1" applyFont="1" applyBorder="1" applyAlignment="1">
      <alignment horizontal="center" vertical="center" wrapText="1"/>
    </xf>
    <xf numFmtId="9" fontId="8" fillId="0" borderId="10" xfId="0" applyNumberFormat="1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7" fillId="2" borderId="74" xfId="0" applyFont="1" applyFill="1" applyBorder="1" applyAlignment="1">
      <alignment horizontal="center" vertical="center" wrapText="1"/>
    </xf>
    <xf numFmtId="0" fontId="74" fillId="15" borderId="19" xfId="0" applyFont="1" applyFill="1" applyBorder="1" applyAlignment="1">
      <alignment horizontal="center" vertical="center" wrapText="1"/>
    </xf>
    <xf numFmtId="0" fontId="56" fillId="16" borderId="12" xfId="0" applyFont="1" applyFill="1" applyBorder="1" applyAlignment="1">
      <alignment horizontal="center"/>
    </xf>
    <xf numFmtId="0" fontId="5" fillId="10" borderId="7" xfId="0" applyFont="1" applyFill="1" applyBorder="1"/>
    <xf numFmtId="0" fontId="5" fillId="10" borderId="9" xfId="0" applyFont="1" applyFill="1" applyBorder="1"/>
    <xf numFmtId="165" fontId="5" fillId="0" borderId="1" xfId="2" applyNumberFormat="1" applyFont="1" applyBorder="1" applyAlignment="1">
      <alignment horizontal="center"/>
    </xf>
    <xf numFmtId="165" fontId="5" fillId="0" borderId="10" xfId="2" applyNumberFormat="1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165" fontId="5" fillId="0" borderId="1" xfId="2" applyNumberFormat="1" applyFont="1" applyBorder="1"/>
    <xf numFmtId="0" fontId="56" fillId="16" borderId="20" xfId="0" applyFont="1" applyFill="1" applyBorder="1" applyAlignment="1">
      <alignment horizontal="center"/>
    </xf>
    <xf numFmtId="43" fontId="2" fillId="15" borderId="0" xfId="0" applyNumberFormat="1" applyFont="1" applyFill="1" applyBorder="1"/>
    <xf numFmtId="165" fontId="0" fillId="0" borderId="0" xfId="0" applyNumberFormat="1"/>
    <xf numFmtId="0" fontId="4" fillId="2" borderId="1" xfId="0" applyFont="1" applyFill="1" applyBorder="1" applyAlignment="1">
      <alignment horizontal="center" vertical="center" wrapText="1"/>
    </xf>
    <xf numFmtId="43" fontId="8" fillId="0" borderId="6" xfId="0" applyNumberFormat="1" applyFont="1" applyBorder="1"/>
    <xf numFmtId="0" fontId="41" fillId="0" borderId="7" xfId="0" applyFont="1" applyFill="1" applyBorder="1" applyAlignment="1">
      <alignment horizontal="left" indent="1"/>
    </xf>
    <xf numFmtId="0" fontId="2" fillId="0" borderId="7" xfId="0" applyFont="1" applyBorder="1" applyAlignment="1">
      <alignment vertical="center"/>
    </xf>
    <xf numFmtId="0" fontId="2" fillId="4" borderId="7" xfId="0" applyFont="1" applyFill="1" applyBorder="1" applyAlignment="1">
      <alignment horizontal="left" indent="1"/>
    </xf>
    <xf numFmtId="43" fontId="0" fillId="4" borderId="25" xfId="0" applyNumberFormat="1" applyFill="1" applyBorder="1"/>
    <xf numFmtId="0" fontId="75" fillId="0" borderId="0" xfId="0" applyFont="1"/>
    <xf numFmtId="43" fontId="75" fillId="0" borderId="0" xfId="0" applyNumberFormat="1" applyFont="1"/>
    <xf numFmtId="0" fontId="75" fillId="4" borderId="0" xfId="0" applyFont="1" applyFill="1"/>
    <xf numFmtId="43" fontId="75" fillId="4" borderId="0" xfId="0" applyNumberFormat="1" applyFont="1" applyFill="1" applyAlignment="1">
      <alignment horizontal="center"/>
    </xf>
    <xf numFmtId="0" fontId="5" fillId="0" borderId="7" xfId="0" applyFont="1" applyBorder="1"/>
    <xf numFmtId="165" fontId="5" fillId="0" borderId="8" xfId="2" applyNumberFormat="1" applyFont="1" applyBorder="1"/>
    <xf numFmtId="0" fontId="5" fillId="0" borderId="9" xfId="0" applyFont="1" applyBorder="1"/>
    <xf numFmtId="43" fontId="5" fillId="0" borderId="10" xfId="1" applyFont="1" applyBorder="1"/>
    <xf numFmtId="43" fontId="5" fillId="0" borderId="11" xfId="1" applyFont="1" applyBorder="1"/>
    <xf numFmtId="0" fontId="77" fillId="17" borderId="7" xfId="0" applyFont="1" applyFill="1" applyBorder="1" applyAlignment="1">
      <alignment horizontal="left" indent="1"/>
    </xf>
    <xf numFmtId="43" fontId="78" fillId="17" borderId="1" xfId="1" applyFont="1" applyFill="1" applyBorder="1"/>
    <xf numFmtId="43" fontId="78" fillId="17" borderId="8" xfId="1" applyFont="1" applyFill="1" applyBorder="1"/>
    <xf numFmtId="0" fontId="78" fillId="17" borderId="1" xfId="0" applyFont="1" applyFill="1" applyBorder="1"/>
    <xf numFmtId="43" fontId="78" fillId="17" borderId="1" xfId="0" applyNumberFormat="1" applyFont="1" applyFill="1" applyBorder="1"/>
    <xf numFmtId="43" fontId="78" fillId="17" borderId="8" xfId="0" applyNumberFormat="1" applyFont="1" applyFill="1" applyBorder="1"/>
    <xf numFmtId="0" fontId="77" fillId="17" borderId="9" xfId="0" applyFont="1" applyFill="1" applyBorder="1" applyAlignment="1">
      <alignment horizontal="left" indent="1"/>
    </xf>
    <xf numFmtId="0" fontId="78" fillId="17" borderId="10" xfId="0" applyFont="1" applyFill="1" applyBorder="1"/>
    <xf numFmtId="43" fontId="78" fillId="17" borderId="10" xfId="1" applyFont="1" applyFill="1" applyBorder="1"/>
    <xf numFmtId="43" fontId="78" fillId="17" borderId="11" xfId="1" applyFont="1" applyFill="1" applyBorder="1"/>
    <xf numFmtId="0" fontId="64" fillId="10" borderId="19" xfId="0" applyFont="1" applyFill="1" applyBorder="1" applyAlignment="1">
      <alignment horizontal="center" vertical="center"/>
    </xf>
    <xf numFmtId="0" fontId="37" fillId="2" borderId="51" xfId="0" applyFont="1" applyFill="1" applyBorder="1" applyAlignment="1">
      <alignment vertical="center"/>
    </xf>
    <xf numFmtId="0" fontId="76" fillId="2" borderId="50" xfId="0" applyFont="1" applyFill="1" applyBorder="1" applyAlignment="1">
      <alignment horizontal="center" vertical="center"/>
    </xf>
    <xf numFmtId="0" fontId="76" fillId="2" borderId="52" xfId="0" applyFont="1" applyFill="1" applyBorder="1" applyAlignment="1">
      <alignment horizontal="center" vertical="center"/>
    </xf>
    <xf numFmtId="0" fontId="2" fillId="11" borderId="0" xfId="0" applyFont="1" applyFill="1"/>
    <xf numFmtId="43" fontId="3" fillId="6" borderId="1" xfId="0" applyNumberFormat="1" applyFont="1" applyFill="1" applyBorder="1"/>
    <xf numFmtId="43" fontId="3" fillId="6" borderId="8" xfId="0" applyNumberFormat="1" applyFont="1" applyFill="1" applyBorder="1"/>
    <xf numFmtId="9" fontId="3" fillId="10" borderId="13" xfId="2" applyFont="1" applyFill="1" applyBorder="1" applyAlignment="1">
      <alignment horizontal="center"/>
    </xf>
    <xf numFmtId="9" fontId="3" fillId="10" borderId="14" xfId="2" applyFont="1" applyFill="1" applyBorder="1" applyAlignment="1">
      <alignment horizontal="center"/>
    </xf>
    <xf numFmtId="0" fontId="2" fillId="4" borderId="7" xfId="0" applyFont="1" applyFill="1" applyBorder="1" applyAlignment="1">
      <alignment horizontal="left" indent="2"/>
    </xf>
    <xf numFmtId="0" fontId="2" fillId="4" borderId="4" xfId="0" applyFont="1" applyFill="1" applyBorder="1" applyAlignment="1">
      <alignment horizontal="left" indent="2"/>
    </xf>
    <xf numFmtId="0" fontId="3" fillId="6" borderId="7" xfId="0" applyFont="1" applyFill="1" applyBorder="1"/>
    <xf numFmtId="0" fontId="3" fillId="6" borderId="12" xfId="0" applyFont="1" applyFill="1" applyBorder="1"/>
    <xf numFmtId="43" fontId="3" fillId="6" borderId="13" xfId="0" applyNumberFormat="1" applyFont="1" applyFill="1" applyBorder="1"/>
    <xf numFmtId="43" fontId="3" fillId="6" borderId="14" xfId="0" applyNumberFormat="1" applyFont="1" applyFill="1" applyBorder="1"/>
    <xf numFmtId="0" fontId="79" fillId="10" borderId="19" xfId="0" applyFont="1" applyFill="1" applyBorder="1" applyAlignment="1">
      <alignment horizontal="center" vertical="center"/>
    </xf>
    <xf numFmtId="167" fontId="2" fillId="3" borderId="2" xfId="3" applyNumberFormat="1" applyFont="1" applyFill="1" applyBorder="1" applyAlignment="1" applyProtection="1">
      <alignment horizontal="center" vertical="center"/>
      <protection locked="0"/>
    </xf>
    <xf numFmtId="43" fontId="0" fillId="0" borderId="0" xfId="0" applyNumberFormat="1" applyAlignment="1">
      <alignment horizontal="center"/>
    </xf>
    <xf numFmtId="0" fontId="64" fillId="11" borderId="32" xfId="0" applyFont="1" applyFill="1" applyBorder="1" applyAlignment="1">
      <alignment horizontal="center" vertical="center"/>
    </xf>
    <xf numFmtId="0" fontId="64" fillId="11" borderId="2" xfId="0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left"/>
    </xf>
    <xf numFmtId="0" fontId="2" fillId="4" borderId="7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2" fillId="4" borderId="9" xfId="0" applyFont="1" applyFill="1" applyBorder="1" applyAlignment="1">
      <alignment horizontal="left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55" fillId="10" borderId="26" xfId="0" applyFont="1" applyFill="1" applyBorder="1" applyAlignment="1">
      <alignment horizontal="center" vertical="center" wrapText="1"/>
    </xf>
    <xf numFmtId="0" fontId="55" fillId="10" borderId="27" xfId="0" applyFont="1" applyFill="1" applyBorder="1" applyAlignment="1">
      <alignment horizontal="center" vertical="center" wrapText="1"/>
    </xf>
    <xf numFmtId="0" fontId="55" fillId="10" borderId="28" xfId="0" applyFont="1" applyFill="1" applyBorder="1" applyAlignment="1">
      <alignment horizontal="center" vertical="center" wrapText="1"/>
    </xf>
    <xf numFmtId="0" fontId="55" fillId="10" borderId="29" xfId="0" applyFont="1" applyFill="1" applyBorder="1" applyAlignment="1">
      <alignment horizontal="center" vertical="center" wrapText="1"/>
    </xf>
    <xf numFmtId="0" fontId="55" fillId="10" borderId="30" xfId="0" applyFont="1" applyFill="1" applyBorder="1" applyAlignment="1">
      <alignment horizontal="center" vertical="center" wrapText="1"/>
    </xf>
    <xf numFmtId="0" fontId="55" fillId="10" borderId="31" xfId="0" applyFont="1" applyFill="1" applyBorder="1" applyAlignment="1">
      <alignment horizontal="center" vertical="center" wrapText="1"/>
    </xf>
    <xf numFmtId="0" fontId="54" fillId="15" borderId="26" xfId="0" applyFont="1" applyFill="1" applyBorder="1" applyAlignment="1">
      <alignment horizontal="center" vertical="center"/>
    </xf>
    <xf numFmtId="0" fontId="54" fillId="15" borderId="27" xfId="0" applyFont="1" applyFill="1" applyBorder="1" applyAlignment="1">
      <alignment horizontal="center" vertical="center"/>
    </xf>
    <xf numFmtId="0" fontId="54" fillId="15" borderId="28" xfId="0" applyFont="1" applyFill="1" applyBorder="1" applyAlignment="1">
      <alignment horizontal="center" vertical="center"/>
    </xf>
    <xf numFmtId="0" fontId="54" fillId="15" borderId="29" xfId="0" applyFont="1" applyFill="1" applyBorder="1" applyAlignment="1">
      <alignment horizontal="center" vertical="center"/>
    </xf>
    <xf numFmtId="0" fontId="54" fillId="15" borderId="30" xfId="0" applyFont="1" applyFill="1" applyBorder="1" applyAlignment="1">
      <alignment horizontal="center" vertical="center"/>
    </xf>
    <xf numFmtId="0" fontId="54" fillId="15" borderId="3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53" fillId="10" borderId="26" xfId="0" applyFont="1" applyFill="1" applyBorder="1" applyAlignment="1">
      <alignment horizontal="center" vertical="center"/>
    </xf>
    <xf numFmtId="0" fontId="53" fillId="10" borderId="28" xfId="0" applyFont="1" applyFill="1" applyBorder="1" applyAlignment="1">
      <alignment horizontal="center" vertical="center"/>
    </xf>
    <xf numFmtId="0" fontId="53" fillId="10" borderId="29" xfId="0" applyFont="1" applyFill="1" applyBorder="1" applyAlignment="1">
      <alignment horizontal="center" vertical="center"/>
    </xf>
    <xf numFmtId="0" fontId="53" fillId="10" borderId="31" xfId="0" applyFont="1" applyFill="1" applyBorder="1" applyAlignment="1">
      <alignment horizontal="center" vertical="center"/>
    </xf>
    <xf numFmtId="0" fontId="4" fillId="2" borderId="7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51" fillId="10" borderId="26" xfId="0" applyFont="1" applyFill="1" applyBorder="1" applyAlignment="1">
      <alignment horizontal="center" vertical="center"/>
    </xf>
    <xf numFmtId="0" fontId="51" fillId="10" borderId="27" xfId="0" applyFont="1" applyFill="1" applyBorder="1" applyAlignment="1">
      <alignment horizontal="center" vertical="center"/>
    </xf>
    <xf numFmtId="0" fontId="51" fillId="10" borderId="28" xfId="0" applyFont="1" applyFill="1" applyBorder="1" applyAlignment="1">
      <alignment horizontal="center" vertical="center"/>
    </xf>
    <xf numFmtId="0" fontId="51" fillId="10" borderId="29" xfId="0" applyFont="1" applyFill="1" applyBorder="1" applyAlignment="1">
      <alignment horizontal="center" vertical="center"/>
    </xf>
    <xf numFmtId="0" fontId="51" fillId="10" borderId="30" xfId="0" applyFont="1" applyFill="1" applyBorder="1" applyAlignment="1">
      <alignment horizontal="center" vertical="center"/>
    </xf>
    <xf numFmtId="0" fontId="51" fillId="10" borderId="31" xfId="0" applyFont="1" applyFill="1" applyBorder="1" applyAlignment="1">
      <alignment horizontal="center" vertical="center"/>
    </xf>
    <xf numFmtId="0" fontId="52" fillId="11" borderId="26" xfId="0" applyFont="1" applyFill="1" applyBorder="1" applyAlignment="1">
      <alignment horizontal="center" vertical="center"/>
    </xf>
    <xf numFmtId="0" fontId="52" fillId="11" borderId="27" xfId="0" applyFont="1" applyFill="1" applyBorder="1" applyAlignment="1">
      <alignment horizontal="center" vertical="center"/>
    </xf>
    <xf numFmtId="0" fontId="52" fillId="11" borderId="28" xfId="0" applyFont="1" applyFill="1" applyBorder="1" applyAlignment="1">
      <alignment horizontal="center" vertical="center"/>
    </xf>
    <xf numFmtId="0" fontId="52" fillId="11" borderId="29" xfId="0" applyFont="1" applyFill="1" applyBorder="1" applyAlignment="1">
      <alignment horizontal="center" vertical="center"/>
    </xf>
    <xf numFmtId="0" fontId="52" fillId="11" borderId="30" xfId="0" applyFont="1" applyFill="1" applyBorder="1" applyAlignment="1">
      <alignment horizontal="center" vertical="center"/>
    </xf>
    <xf numFmtId="0" fontId="52" fillId="11" borderId="31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62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45" xfId="0" applyFont="1" applyFill="1" applyBorder="1" applyAlignment="1">
      <alignment horizontal="center" vertical="center" wrapText="1"/>
    </xf>
    <xf numFmtId="0" fontId="49" fillId="2" borderId="32" xfId="0" applyFont="1" applyFill="1" applyBorder="1" applyAlignment="1">
      <alignment horizontal="center" vertical="center" wrapText="1"/>
    </xf>
    <xf numFmtId="0" fontId="49" fillId="2" borderId="33" xfId="0" applyFont="1" applyFill="1" applyBorder="1" applyAlignment="1">
      <alignment horizontal="center" vertical="center" wrapText="1"/>
    </xf>
    <xf numFmtId="0" fontId="49" fillId="2" borderId="2" xfId="0" applyFont="1" applyFill="1" applyBorder="1" applyAlignment="1">
      <alignment horizontal="center" vertical="center" wrapText="1"/>
    </xf>
    <xf numFmtId="0" fontId="9" fillId="2" borderId="32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51" xfId="0" applyFont="1" applyFill="1" applyBorder="1" applyAlignment="1">
      <alignment horizontal="center" vertical="center" wrapText="1"/>
    </xf>
    <xf numFmtId="0" fontId="9" fillId="2" borderId="50" xfId="0" applyFont="1" applyFill="1" applyBorder="1" applyAlignment="1">
      <alignment horizontal="center" vertical="center" wrapText="1"/>
    </xf>
    <xf numFmtId="0" fontId="9" fillId="2" borderId="52" xfId="0" applyFont="1" applyFill="1" applyBorder="1" applyAlignment="1">
      <alignment horizontal="center" vertical="center" wrapText="1"/>
    </xf>
    <xf numFmtId="0" fontId="9" fillId="2" borderId="36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4" fillId="2" borderId="36" xfId="0" applyFont="1" applyFill="1" applyBorder="1" applyAlignment="1">
      <alignment horizontal="center" vertical="top"/>
    </xf>
    <xf numFmtId="0" fontId="4" fillId="2" borderId="17" xfId="0" applyFont="1" applyFill="1" applyBorder="1" applyAlignment="1">
      <alignment horizontal="center" vertical="top"/>
    </xf>
    <xf numFmtId="0" fontId="4" fillId="2" borderId="41" xfId="0" applyFont="1" applyFill="1" applyBorder="1" applyAlignment="1">
      <alignment horizontal="center" vertical="top"/>
    </xf>
    <xf numFmtId="0" fontId="4" fillId="2" borderId="20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67" xfId="0" applyFont="1" applyFill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5" fillId="8" borderId="26" xfId="0" applyFont="1" applyFill="1" applyBorder="1" applyAlignment="1">
      <alignment horizontal="center" vertical="center"/>
    </xf>
    <xf numFmtId="0" fontId="65" fillId="8" borderId="27" xfId="0" applyFont="1" applyFill="1" applyBorder="1" applyAlignment="1">
      <alignment horizontal="center" vertical="center"/>
    </xf>
    <xf numFmtId="0" fontId="65" fillId="8" borderId="28" xfId="0" applyFont="1" applyFill="1" applyBorder="1" applyAlignment="1">
      <alignment horizontal="center" vertical="center"/>
    </xf>
    <xf numFmtId="0" fontId="65" fillId="8" borderId="29" xfId="0" applyFont="1" applyFill="1" applyBorder="1" applyAlignment="1">
      <alignment horizontal="center" vertical="center"/>
    </xf>
    <xf numFmtId="0" fontId="65" fillId="8" borderId="30" xfId="0" applyFont="1" applyFill="1" applyBorder="1" applyAlignment="1">
      <alignment horizontal="center" vertical="center"/>
    </xf>
    <xf numFmtId="0" fontId="65" fillId="8" borderId="31" xfId="0" applyFont="1" applyFill="1" applyBorder="1" applyAlignment="1">
      <alignment horizontal="center" vertical="center"/>
    </xf>
    <xf numFmtId="0" fontId="68" fillId="10" borderId="26" xfId="0" applyFont="1" applyFill="1" applyBorder="1" applyAlignment="1">
      <alignment horizontal="center" vertical="center"/>
    </xf>
    <xf numFmtId="0" fontId="68" fillId="10" borderId="27" xfId="0" applyFont="1" applyFill="1" applyBorder="1" applyAlignment="1">
      <alignment horizontal="center" vertical="center"/>
    </xf>
    <xf numFmtId="0" fontId="68" fillId="10" borderId="28" xfId="0" applyFont="1" applyFill="1" applyBorder="1" applyAlignment="1">
      <alignment horizontal="center" vertical="center"/>
    </xf>
    <xf numFmtId="0" fontId="68" fillId="10" borderId="29" xfId="0" applyFont="1" applyFill="1" applyBorder="1" applyAlignment="1">
      <alignment horizontal="center" vertical="center"/>
    </xf>
    <xf numFmtId="0" fontId="68" fillId="10" borderId="30" xfId="0" applyFont="1" applyFill="1" applyBorder="1" applyAlignment="1">
      <alignment horizontal="center" vertical="center"/>
    </xf>
    <xf numFmtId="0" fontId="68" fillId="10" borderId="31" xfId="0" applyFont="1" applyFill="1" applyBorder="1" applyAlignment="1">
      <alignment horizontal="center" vertical="center"/>
    </xf>
    <xf numFmtId="0" fontId="63" fillId="10" borderId="26" xfId="0" applyFont="1" applyFill="1" applyBorder="1" applyAlignment="1">
      <alignment horizontal="center" vertical="center" wrapText="1"/>
    </xf>
    <xf numFmtId="0" fontId="63" fillId="10" borderId="28" xfId="0" applyFont="1" applyFill="1" applyBorder="1" applyAlignment="1">
      <alignment horizontal="center" vertical="center" wrapText="1"/>
    </xf>
    <xf numFmtId="0" fontId="63" fillId="10" borderId="29" xfId="0" applyFont="1" applyFill="1" applyBorder="1" applyAlignment="1">
      <alignment horizontal="center" vertical="center" wrapText="1"/>
    </xf>
    <xf numFmtId="0" fontId="63" fillId="10" borderId="31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43" fontId="4" fillId="2" borderId="0" xfId="1" applyFont="1" applyFill="1" applyBorder="1" applyAlignment="1">
      <alignment horizontal="center" vertical="center" wrapText="1"/>
    </xf>
    <xf numFmtId="43" fontId="4" fillId="2" borderId="18" xfId="1" applyFont="1" applyFill="1" applyBorder="1" applyAlignment="1">
      <alignment horizontal="center" vertical="center" wrapText="1"/>
    </xf>
    <xf numFmtId="0" fontId="65" fillId="10" borderId="0" xfId="0" applyFont="1" applyFill="1" applyAlignment="1">
      <alignment horizontal="center" vertical="center"/>
    </xf>
    <xf numFmtId="0" fontId="67" fillId="10" borderId="26" xfId="0" applyFont="1" applyFill="1" applyBorder="1" applyAlignment="1">
      <alignment horizontal="center" vertical="center"/>
    </xf>
    <xf numFmtId="0" fontId="67" fillId="10" borderId="27" xfId="0" applyFont="1" applyFill="1" applyBorder="1" applyAlignment="1">
      <alignment horizontal="center" vertical="center"/>
    </xf>
    <xf numFmtId="0" fontId="67" fillId="10" borderId="28" xfId="0" applyFont="1" applyFill="1" applyBorder="1" applyAlignment="1">
      <alignment horizontal="center" vertical="center"/>
    </xf>
    <xf numFmtId="0" fontId="67" fillId="10" borderId="29" xfId="0" applyFont="1" applyFill="1" applyBorder="1" applyAlignment="1">
      <alignment horizontal="center" vertical="center"/>
    </xf>
    <xf numFmtId="0" fontId="67" fillId="10" borderId="30" xfId="0" applyFont="1" applyFill="1" applyBorder="1" applyAlignment="1">
      <alignment horizontal="center" vertical="center"/>
    </xf>
    <xf numFmtId="0" fontId="67" fillId="10" borderId="3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4" fillId="2" borderId="48" xfId="0" applyFont="1" applyFill="1" applyBorder="1" applyAlignment="1">
      <alignment horizontal="center" vertical="center" wrapText="1"/>
    </xf>
    <xf numFmtId="0" fontId="4" fillId="2" borderId="53" xfId="0" applyFont="1" applyFill="1" applyBorder="1" applyAlignment="1">
      <alignment horizontal="center" vertical="center" wrapText="1"/>
    </xf>
    <xf numFmtId="0" fontId="4" fillId="2" borderId="42" xfId="0" applyFont="1" applyFill="1" applyBorder="1" applyAlignment="1">
      <alignment horizontal="center" vertical="center" wrapText="1"/>
    </xf>
    <xf numFmtId="0" fontId="4" fillId="2" borderId="44" xfId="0" applyFont="1" applyFill="1" applyBorder="1" applyAlignment="1">
      <alignment horizontal="center" vertical="center" wrapText="1"/>
    </xf>
    <xf numFmtId="0" fontId="61" fillId="14" borderId="26" xfId="0" applyFont="1" applyFill="1" applyBorder="1" applyAlignment="1">
      <alignment horizontal="center" vertical="center" wrapText="1"/>
    </xf>
    <xf numFmtId="0" fontId="61" fillId="14" borderId="28" xfId="0" applyFont="1" applyFill="1" applyBorder="1" applyAlignment="1">
      <alignment horizontal="center" vertical="center" wrapText="1"/>
    </xf>
    <xf numFmtId="0" fontId="61" fillId="14" borderId="29" xfId="0" applyFont="1" applyFill="1" applyBorder="1" applyAlignment="1">
      <alignment horizontal="center" vertical="center" wrapText="1"/>
    </xf>
    <xf numFmtId="0" fontId="61" fillId="14" borderId="31" xfId="0" applyFont="1" applyFill="1" applyBorder="1" applyAlignment="1">
      <alignment horizontal="center" vertical="center" wrapText="1"/>
    </xf>
    <xf numFmtId="0" fontId="66" fillId="10" borderId="26" xfId="0" applyFont="1" applyFill="1" applyBorder="1" applyAlignment="1">
      <alignment horizontal="center" vertical="center"/>
    </xf>
    <xf numFmtId="0" fontId="66" fillId="10" borderId="27" xfId="0" applyFont="1" applyFill="1" applyBorder="1" applyAlignment="1">
      <alignment horizontal="center" vertical="center"/>
    </xf>
    <xf numFmtId="0" fontId="66" fillId="10" borderId="28" xfId="0" applyFont="1" applyFill="1" applyBorder="1" applyAlignment="1">
      <alignment horizontal="center" vertical="center"/>
    </xf>
    <xf numFmtId="0" fontId="66" fillId="10" borderId="29" xfId="0" applyFont="1" applyFill="1" applyBorder="1" applyAlignment="1">
      <alignment horizontal="center" vertical="center"/>
    </xf>
    <xf numFmtId="0" fontId="66" fillId="10" borderId="30" xfId="0" applyFont="1" applyFill="1" applyBorder="1" applyAlignment="1">
      <alignment horizontal="center" vertical="center"/>
    </xf>
    <xf numFmtId="0" fontId="66" fillId="10" borderId="31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25" xfId="0" applyFont="1" applyFill="1" applyBorder="1" applyAlignment="1">
      <alignment horizontal="center" vertical="center"/>
    </xf>
    <xf numFmtId="0" fontId="29" fillId="14" borderId="51" xfId="0" applyFont="1" applyFill="1" applyBorder="1" applyAlignment="1">
      <alignment horizontal="center"/>
    </xf>
    <xf numFmtId="0" fontId="29" fillId="14" borderId="50" xfId="0" applyFont="1" applyFill="1" applyBorder="1" applyAlignment="1">
      <alignment horizontal="center"/>
    </xf>
    <xf numFmtId="0" fontId="29" fillId="14" borderId="52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 vertical="center"/>
    </xf>
    <xf numFmtId="0" fontId="17" fillId="2" borderId="32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3" fontId="17" fillId="2" borderId="32" xfId="0" applyNumberFormat="1" applyFont="1" applyFill="1" applyBorder="1" applyAlignment="1">
      <alignment horizontal="center"/>
    </xf>
    <xf numFmtId="3" fontId="17" fillId="2" borderId="33" xfId="0" applyNumberFormat="1" applyFont="1" applyFill="1" applyBorder="1" applyAlignment="1">
      <alignment horizontal="center"/>
    </xf>
    <xf numFmtId="3" fontId="17" fillId="2" borderId="2" xfId="0" applyNumberFormat="1" applyFont="1" applyFill="1" applyBorder="1" applyAlignment="1">
      <alignment horizontal="center"/>
    </xf>
    <xf numFmtId="0" fontId="29" fillId="10" borderId="51" xfId="0" applyFont="1" applyFill="1" applyBorder="1" applyAlignment="1">
      <alignment horizontal="center"/>
    </xf>
    <xf numFmtId="0" fontId="29" fillId="10" borderId="50" xfId="0" applyFont="1" applyFill="1" applyBorder="1" applyAlignment="1">
      <alignment horizontal="center"/>
    </xf>
    <xf numFmtId="0" fontId="29" fillId="10" borderId="52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167" fontId="4" fillId="2" borderId="26" xfId="1" applyNumberFormat="1" applyFont="1" applyFill="1" applyBorder="1" applyAlignment="1">
      <alignment horizontal="center" vertical="center"/>
    </xf>
    <xf numFmtId="167" fontId="4" fillId="2" borderId="27" xfId="1" applyNumberFormat="1" applyFont="1" applyFill="1" applyBorder="1" applyAlignment="1">
      <alignment horizontal="center" vertical="center"/>
    </xf>
    <xf numFmtId="167" fontId="4" fillId="2" borderId="28" xfId="1" applyNumberFormat="1" applyFont="1" applyFill="1" applyBorder="1" applyAlignment="1">
      <alignment horizontal="center" vertical="center"/>
    </xf>
    <xf numFmtId="167" fontId="4" fillId="2" borderId="42" xfId="1" applyNumberFormat="1" applyFont="1" applyFill="1" applyBorder="1" applyAlignment="1">
      <alignment horizontal="center" vertical="center"/>
    </xf>
    <xf numFmtId="167" fontId="4" fillId="2" borderId="0" xfId="1" applyNumberFormat="1" applyFont="1" applyFill="1" applyBorder="1" applyAlignment="1">
      <alignment horizontal="center" vertical="center"/>
    </xf>
    <xf numFmtId="167" fontId="4" fillId="2" borderId="43" xfId="1" applyNumberFormat="1" applyFont="1" applyFill="1" applyBorder="1" applyAlignment="1">
      <alignment horizontal="center" vertical="center"/>
    </xf>
    <xf numFmtId="167" fontId="4" fillId="2" borderId="5" xfId="1" applyNumberFormat="1" applyFont="1" applyFill="1" applyBorder="1" applyAlignment="1">
      <alignment horizontal="center" vertical="center" wrapText="1"/>
    </xf>
    <xf numFmtId="167" fontId="4" fillId="2" borderId="1" xfId="1" applyNumberFormat="1" applyFont="1" applyFill="1" applyBorder="1" applyAlignment="1">
      <alignment horizontal="center" vertical="center" wrapText="1"/>
    </xf>
    <xf numFmtId="167" fontId="4" fillId="2" borderId="6" xfId="1" applyNumberFormat="1" applyFont="1" applyFill="1" applyBorder="1" applyAlignment="1">
      <alignment horizontal="center" vertical="center" wrapText="1"/>
    </xf>
    <xf numFmtId="167" fontId="4" fillId="2" borderId="8" xfId="1" applyNumberFormat="1" applyFont="1" applyFill="1" applyBorder="1" applyAlignment="1">
      <alignment horizontal="center" vertical="center" wrapText="1"/>
    </xf>
    <xf numFmtId="0" fontId="4" fillId="2" borderId="36" xfId="0" applyFont="1" applyFill="1" applyBorder="1" applyAlignment="1">
      <alignment horizontal="center"/>
    </xf>
    <xf numFmtId="0" fontId="4" fillId="2" borderId="41" xfId="0" applyFont="1" applyFill="1" applyBorder="1" applyAlignment="1">
      <alignment horizontal="center"/>
    </xf>
    <xf numFmtId="37" fontId="4" fillId="2" borderId="39" xfId="6" applyNumberFormat="1" applyFont="1" applyFill="1" applyBorder="1" applyAlignment="1">
      <alignment horizontal="center" vertical="center"/>
    </xf>
    <xf numFmtId="37" fontId="4" fillId="2" borderId="33" xfId="6" applyNumberFormat="1" applyFont="1" applyFill="1" applyBorder="1" applyAlignment="1">
      <alignment horizontal="center" vertical="center"/>
    </xf>
    <xf numFmtId="37" fontId="4" fillId="2" borderId="2" xfId="6" applyNumberFormat="1" applyFont="1" applyFill="1" applyBorder="1" applyAlignment="1">
      <alignment horizontal="center" vertical="center"/>
    </xf>
    <xf numFmtId="37" fontId="4" fillId="2" borderId="32" xfId="6" applyNumberFormat="1" applyFont="1" applyFill="1" applyBorder="1" applyAlignment="1">
      <alignment horizontal="center" vertical="center"/>
    </xf>
    <xf numFmtId="37" fontId="4" fillId="2" borderId="54" xfId="6" applyNumberFormat="1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0" fontId="4" fillId="2" borderId="53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/>
    </xf>
    <xf numFmtId="37" fontId="4" fillId="2" borderId="1" xfId="6" applyNumberFormat="1" applyFont="1" applyFill="1" applyBorder="1" applyAlignment="1">
      <alignment horizontal="center" vertical="center"/>
    </xf>
    <xf numFmtId="167" fontId="4" fillId="2" borderId="39" xfId="1" applyNumberFormat="1" applyFont="1" applyFill="1" applyBorder="1" applyAlignment="1">
      <alignment horizontal="center" vertical="center"/>
    </xf>
    <xf numFmtId="167" fontId="4" fillId="2" borderId="33" xfId="1" applyNumberFormat="1" applyFont="1" applyFill="1" applyBorder="1" applyAlignment="1">
      <alignment horizontal="center" vertical="center"/>
    </xf>
    <xf numFmtId="167" fontId="4" fillId="2" borderId="2" xfId="1" applyNumberFormat="1" applyFont="1" applyFill="1" applyBorder="1" applyAlignment="1">
      <alignment horizontal="center" vertical="center"/>
    </xf>
    <xf numFmtId="0" fontId="61" fillId="14" borderId="51" xfId="0" applyFont="1" applyFill="1" applyBorder="1" applyAlignment="1">
      <alignment horizontal="center" vertical="center"/>
    </xf>
    <xf numFmtId="0" fontId="61" fillId="14" borderId="50" xfId="0" applyFont="1" applyFill="1" applyBorder="1" applyAlignment="1">
      <alignment horizontal="center" vertical="center"/>
    </xf>
    <xf numFmtId="0" fontId="61" fillId="14" borderId="52" xfId="0" applyFont="1" applyFill="1" applyBorder="1" applyAlignment="1">
      <alignment horizontal="center" vertical="center"/>
    </xf>
    <xf numFmtId="0" fontId="60" fillId="6" borderId="26" xfId="0" applyFont="1" applyFill="1" applyBorder="1" applyAlignment="1">
      <alignment horizontal="center" vertical="center"/>
    </xf>
    <xf numFmtId="0" fontId="60" fillId="6" borderId="27" xfId="0" applyFont="1" applyFill="1" applyBorder="1" applyAlignment="1">
      <alignment horizontal="center" vertical="center"/>
    </xf>
    <xf numFmtId="0" fontId="60" fillId="6" borderId="28" xfId="0" applyFont="1" applyFill="1" applyBorder="1" applyAlignment="1">
      <alignment horizontal="center" vertical="center"/>
    </xf>
    <xf numFmtId="0" fontId="60" fillId="6" borderId="29" xfId="0" applyFont="1" applyFill="1" applyBorder="1" applyAlignment="1">
      <alignment horizontal="center" vertical="center"/>
    </xf>
    <xf numFmtId="0" fontId="60" fillId="6" borderId="30" xfId="0" applyFont="1" applyFill="1" applyBorder="1" applyAlignment="1">
      <alignment horizontal="center" vertical="center"/>
    </xf>
    <xf numFmtId="0" fontId="60" fillId="6" borderId="31" xfId="0" applyFont="1" applyFill="1" applyBorder="1" applyAlignment="1">
      <alignment horizontal="center" vertical="center"/>
    </xf>
    <xf numFmtId="43" fontId="4" fillId="2" borderId="26" xfId="0" applyNumberFormat="1" applyFont="1" applyFill="1" applyBorder="1" applyAlignment="1">
      <alignment horizontal="center" vertical="center"/>
    </xf>
    <xf numFmtId="43" fontId="4" fillId="2" borderId="42" xfId="0" applyNumberFormat="1" applyFont="1" applyFill="1" applyBorder="1" applyAlignment="1">
      <alignment horizontal="center" vertical="center"/>
    </xf>
    <xf numFmtId="43" fontId="4" fillId="2" borderId="29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0" fillId="15" borderId="5" xfId="0" applyFont="1" applyFill="1" applyBorder="1" applyAlignment="1">
      <alignment horizontal="center" vertical="center"/>
    </xf>
    <xf numFmtId="0" fontId="60" fillId="15" borderId="6" xfId="0" applyFont="1" applyFill="1" applyBorder="1" applyAlignment="1">
      <alignment horizontal="center" vertical="center"/>
    </xf>
    <xf numFmtId="0" fontId="60" fillId="15" borderId="1" xfId="0" applyFont="1" applyFill="1" applyBorder="1" applyAlignment="1">
      <alignment horizontal="center" vertical="center"/>
    </xf>
    <xf numFmtId="0" fontId="60" fillId="15" borderId="8" xfId="0" applyFont="1" applyFill="1" applyBorder="1" applyAlignment="1">
      <alignment horizontal="center" vertical="center"/>
    </xf>
    <xf numFmtId="0" fontId="59" fillId="15" borderId="5" xfId="0" applyFont="1" applyFill="1" applyBorder="1" applyAlignment="1">
      <alignment horizontal="center" vertical="center"/>
    </xf>
    <xf numFmtId="0" fontId="59" fillId="15" borderId="6" xfId="0" applyFont="1" applyFill="1" applyBorder="1" applyAlignment="1">
      <alignment horizontal="center" vertical="center"/>
    </xf>
    <xf numFmtId="0" fontId="59" fillId="15" borderId="1" xfId="0" applyFont="1" applyFill="1" applyBorder="1" applyAlignment="1">
      <alignment horizontal="center" vertical="center"/>
    </xf>
    <xf numFmtId="0" fontId="59" fillId="15" borderId="8" xfId="0" applyFont="1" applyFill="1" applyBorder="1" applyAlignment="1">
      <alignment horizontal="center" vertical="center"/>
    </xf>
    <xf numFmtId="0" fontId="62" fillId="15" borderId="26" xfId="0" applyFont="1" applyFill="1" applyBorder="1" applyAlignment="1">
      <alignment horizontal="center" vertical="center"/>
    </xf>
    <xf numFmtId="0" fontId="62" fillId="15" borderId="27" xfId="0" applyFont="1" applyFill="1" applyBorder="1" applyAlignment="1">
      <alignment horizontal="center" vertical="center"/>
    </xf>
    <xf numFmtId="0" fontId="62" fillId="15" borderId="28" xfId="0" applyFont="1" applyFill="1" applyBorder="1" applyAlignment="1">
      <alignment horizontal="center" vertical="center"/>
    </xf>
    <xf numFmtId="0" fontId="62" fillId="15" borderId="42" xfId="0" applyFont="1" applyFill="1" applyBorder="1" applyAlignment="1">
      <alignment horizontal="center" vertical="center"/>
    </xf>
    <xf numFmtId="0" fontId="62" fillId="15" borderId="0" xfId="0" applyFont="1" applyFill="1" applyBorder="1" applyAlignment="1">
      <alignment horizontal="center" vertical="center"/>
    </xf>
    <xf numFmtId="0" fontId="62" fillId="15" borderId="43" xfId="0" applyFont="1" applyFill="1" applyBorder="1" applyAlignment="1">
      <alignment horizontal="center" vertical="center"/>
    </xf>
    <xf numFmtId="0" fontId="56" fillId="15" borderId="26" xfId="0" applyFont="1" applyFill="1" applyBorder="1" applyAlignment="1">
      <alignment horizontal="center" vertical="center"/>
    </xf>
    <xf numFmtId="0" fontId="56" fillId="15" borderId="27" xfId="0" applyFont="1" applyFill="1" applyBorder="1" applyAlignment="1">
      <alignment horizontal="center" vertical="center"/>
    </xf>
    <xf numFmtId="0" fontId="56" fillId="15" borderId="28" xfId="0" applyFont="1" applyFill="1" applyBorder="1" applyAlignment="1">
      <alignment horizontal="center" vertical="center"/>
    </xf>
    <xf numFmtId="0" fontId="56" fillId="15" borderId="38" xfId="0" applyFont="1" applyFill="1" applyBorder="1" applyAlignment="1">
      <alignment horizontal="center" vertical="center"/>
    </xf>
    <xf numFmtId="0" fontId="56" fillId="15" borderId="18" xfId="0" applyFont="1" applyFill="1" applyBorder="1" applyAlignment="1">
      <alignment horizontal="center" vertical="center"/>
    </xf>
    <xf numFmtId="0" fontId="56" fillId="15" borderId="6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51" xfId="0" applyFont="1" applyFill="1" applyBorder="1" applyAlignment="1">
      <alignment horizontal="center"/>
    </xf>
    <xf numFmtId="0" fontId="7" fillId="2" borderId="50" xfId="0" applyFont="1" applyFill="1" applyBorder="1" applyAlignment="1">
      <alignment horizontal="center"/>
    </xf>
    <xf numFmtId="0" fontId="7" fillId="2" borderId="52" xfId="0" applyFont="1" applyFill="1" applyBorder="1" applyAlignment="1">
      <alignment horizontal="center"/>
    </xf>
    <xf numFmtId="0" fontId="61" fillId="14" borderId="27" xfId="0" applyFont="1" applyFill="1" applyBorder="1" applyAlignment="1">
      <alignment horizontal="center" vertical="center" wrapText="1"/>
    </xf>
    <xf numFmtId="0" fontId="61" fillId="14" borderId="30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6" fillId="10" borderId="48" xfId="0" applyFont="1" applyFill="1" applyBorder="1" applyAlignment="1">
      <alignment horizontal="center" vertical="center"/>
    </xf>
    <xf numFmtId="0" fontId="66" fillId="10" borderId="53" xfId="0" applyFont="1" applyFill="1" applyBorder="1" applyAlignment="1">
      <alignment horizontal="center" vertical="center"/>
    </xf>
    <xf numFmtId="0" fontId="34" fillId="10" borderId="51" xfId="0" applyFont="1" applyFill="1" applyBorder="1" applyAlignment="1">
      <alignment horizontal="center" vertical="center"/>
    </xf>
    <xf numFmtId="0" fontId="34" fillId="10" borderId="5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/>
    </xf>
    <xf numFmtId="0" fontId="34" fillId="4" borderId="42" xfId="0" applyFont="1" applyFill="1" applyBorder="1" applyAlignment="1">
      <alignment horizontal="left" vertical="center" indent="1"/>
    </xf>
    <xf numFmtId="0" fontId="34" fillId="4" borderId="0" xfId="0" applyFont="1" applyFill="1" applyBorder="1" applyAlignment="1">
      <alignment horizontal="left" vertical="center" indent="1"/>
    </xf>
    <xf numFmtId="0" fontId="53" fillId="10" borderId="51" xfId="0" applyFont="1" applyFill="1" applyBorder="1" applyAlignment="1">
      <alignment horizontal="center"/>
    </xf>
    <xf numFmtId="0" fontId="53" fillId="10" borderId="50" xfId="0" applyFont="1" applyFill="1" applyBorder="1" applyAlignment="1">
      <alignment horizontal="center"/>
    </xf>
    <xf numFmtId="0" fontId="53" fillId="10" borderId="52" xfId="0" applyFont="1" applyFill="1" applyBorder="1" applyAlignment="1">
      <alignment horizontal="center"/>
    </xf>
    <xf numFmtId="0" fontId="44" fillId="2" borderId="74" xfId="0" applyFont="1" applyFill="1" applyBorder="1" applyAlignment="1">
      <alignment horizontal="center"/>
    </xf>
    <xf numFmtId="0" fontId="44" fillId="2" borderId="18" xfId="0" applyFont="1" applyFill="1" applyBorder="1" applyAlignment="1">
      <alignment horizontal="center"/>
    </xf>
    <xf numFmtId="0" fontId="26" fillId="2" borderId="32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wrapText="1"/>
    </xf>
  </cellXfs>
  <cellStyles count="7">
    <cellStyle name="Millares" xfId="1" builtinId="3"/>
    <cellStyle name="Millares 2" xfId="3" xr:uid="{9BCFDC34-5855-481B-A928-C27116099631}"/>
    <cellStyle name="Millares 4" xfId="6" xr:uid="{01F32F20-670D-4F3F-89E4-5C03420118C4}"/>
    <cellStyle name="Moneda [0] 4" xfId="4" xr:uid="{4B779501-0C49-4542-BB4C-761E6D6ADC9D}"/>
    <cellStyle name="Moneda [0] 7" xfId="5" xr:uid="{20F2A4E0-5F1F-4A13-A254-694D0CF714FF}"/>
    <cellStyle name="Normal" xfId="0" builtinId="0"/>
    <cellStyle name="Porcentaje" xfId="2" builtinId="5"/>
  </cellStyles>
  <dxfs count="34"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35" formatCode="_-* #,##0.00_-;\-* #,##0.00_-;_-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8" formatCode="_-* #,##0_-;\-* #,##0_-;_-* &quot;-&quot;??_-;_-@_-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35" formatCode="_-* #,##0.00_-;\-* #,##0.00_-;_-* &quot;-&quot;??_-;_-@_-"/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fill>
        <patternFill patternType="solid">
          <fgColor indexed="64"/>
          <bgColor theme="8" tint="-0.499984740745262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9" formatCode="0.00_ ;[Red]\-0.0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9" formatCode="0.00_ ;[Red]\-0.0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9" formatCode="0.00_ ;[Red]\-0.0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35" formatCode="_-* #,##0.00_-;\-* #,##0.0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fill>
        <patternFill patternType="solid">
          <fgColor indexed="64"/>
          <bgColor theme="8" tint="-0.499984740745262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sng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u="sng"/>
              <a:t>EERR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sng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BO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EERR!$C$52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EERR!$B$53:$B$60</c:f>
              <c:strCache>
                <c:ptCount val="8"/>
                <c:pt idx="0">
                  <c:v>Ventas</c:v>
                </c:pt>
                <c:pt idx="1">
                  <c:v>C.P</c:v>
                </c:pt>
                <c:pt idx="2">
                  <c:v>Utilidad Bruta</c:v>
                </c:pt>
                <c:pt idx="3">
                  <c:v>Gastos de Com.</c:v>
                </c:pt>
                <c:pt idx="4">
                  <c:v>Gastos de Adm.</c:v>
                </c:pt>
                <c:pt idx="5">
                  <c:v>Deuda</c:v>
                </c:pt>
                <c:pt idx="6">
                  <c:v>EBT</c:v>
                </c:pt>
                <c:pt idx="7">
                  <c:v>Utilidad Neta</c:v>
                </c:pt>
              </c:strCache>
            </c:strRef>
          </c:cat>
          <c:val>
            <c:numRef>
              <c:f>EERR!$C$53:$C$60</c:f>
              <c:numCache>
                <c:formatCode>0.0%</c:formatCode>
                <c:ptCount val="8"/>
                <c:pt idx="0">
                  <c:v>1</c:v>
                </c:pt>
                <c:pt idx="1">
                  <c:v>0.83238119346518147</c:v>
                </c:pt>
                <c:pt idx="2">
                  <c:v>0.16761880653481848</c:v>
                </c:pt>
                <c:pt idx="3">
                  <c:v>4.8185194891019377E-2</c:v>
                </c:pt>
                <c:pt idx="4">
                  <c:v>6.8534068558240999E-2</c:v>
                </c:pt>
                <c:pt idx="5">
                  <c:v>4.3419452327424172E-3</c:v>
                </c:pt>
                <c:pt idx="6">
                  <c:v>4.3571302179877688E-2</c:v>
                </c:pt>
                <c:pt idx="7">
                  <c:v>3.0717768036813774E-2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34-49F4-8D32-0CB429000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742473295"/>
        <c:axId val="753205439"/>
        <c:axId val="0"/>
      </c:bar3DChart>
      <c:catAx>
        <c:axId val="742473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BO"/>
          </a:p>
        </c:txPr>
        <c:crossAx val="753205439"/>
        <c:crosses val="autoZero"/>
        <c:auto val="1"/>
        <c:lblAlgn val="ctr"/>
        <c:lblOffset val="100"/>
        <c:noMultiLvlLbl val="0"/>
      </c:catAx>
      <c:valAx>
        <c:axId val="753205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BO"/>
          </a:p>
        </c:txPr>
        <c:crossAx val="742473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3600" b="1" i="0" u="sng">
                <a:latin typeface="Times New Roman" panose="02020603050405020304" pitchFamily="18" charset="0"/>
                <a:cs typeface="Times New Roman" panose="02020603050405020304" pitchFamily="18" charset="0"/>
              </a:rPr>
              <a:t>Evolución</a:t>
            </a:r>
            <a:r>
              <a:rPr lang="es-BO" sz="3600" b="1" i="0" u="sng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de UB y UN (2025-2034</a:t>
            </a:r>
            <a:r>
              <a:rPr lang="es-BO" sz="3600" b="1" baseline="0"/>
              <a:t>)</a:t>
            </a:r>
            <a:endParaRPr lang="es-BO" sz="3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EERR!$B$55</c:f>
              <c:strCache>
                <c:ptCount val="1"/>
                <c:pt idx="0">
                  <c:v>Utilidad Bruta</c:v>
                </c:pt>
              </c:strCache>
            </c:strRef>
          </c:tx>
          <c:spPr>
            <a:ln w="889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EERR!$C$52:$L$52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EERR!$C$55:$L$55</c:f>
              <c:numCache>
                <c:formatCode>0.0%</c:formatCode>
                <c:ptCount val="10"/>
                <c:pt idx="0">
                  <c:v>0.16761880653481848</c:v>
                </c:pt>
                <c:pt idx="1">
                  <c:v>0.16761880653481848</c:v>
                </c:pt>
                <c:pt idx="2">
                  <c:v>0.16761880653481848</c:v>
                </c:pt>
                <c:pt idx="3">
                  <c:v>0.16761880653481848</c:v>
                </c:pt>
                <c:pt idx="4">
                  <c:v>0.16761880653481848</c:v>
                </c:pt>
                <c:pt idx="5">
                  <c:v>0.16761880653481848</c:v>
                </c:pt>
                <c:pt idx="6">
                  <c:v>0.16761880653481848</c:v>
                </c:pt>
                <c:pt idx="7">
                  <c:v>0.16761880653481848</c:v>
                </c:pt>
                <c:pt idx="8">
                  <c:v>0.16761880653481848</c:v>
                </c:pt>
                <c:pt idx="9">
                  <c:v>0.16761880653481848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CE-4AD2-BB51-AF4F97897EFB}"/>
            </c:ext>
          </c:extLst>
        </c:ser>
        <c:ser>
          <c:idx val="1"/>
          <c:order val="1"/>
          <c:tx>
            <c:strRef>
              <c:f>EERR!$B$60</c:f>
              <c:strCache>
                <c:ptCount val="1"/>
                <c:pt idx="0">
                  <c:v>Utilidad Neta</c:v>
                </c:pt>
              </c:strCache>
            </c:strRef>
          </c:tx>
          <c:spPr>
            <a:ln w="889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EERR!$C$52:$L$52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EERR!$C$60:$L$60</c:f>
              <c:numCache>
                <c:formatCode>0.0%</c:formatCode>
                <c:ptCount val="10"/>
                <c:pt idx="0">
                  <c:v>3.0717768036813774E-2</c:v>
                </c:pt>
                <c:pt idx="1">
                  <c:v>3.1023875175722106E-2</c:v>
                </c:pt>
                <c:pt idx="2">
                  <c:v>3.1329982314630453E-2</c:v>
                </c:pt>
                <c:pt idx="3">
                  <c:v>3.1860634936625533E-2</c:v>
                </c:pt>
                <c:pt idx="4">
                  <c:v>3.2407326521698247E-2</c:v>
                </c:pt>
                <c:pt idx="5">
                  <c:v>3.3435186999099684E-2</c:v>
                </c:pt>
                <c:pt idx="6">
                  <c:v>3.3741294138008027E-2</c:v>
                </c:pt>
                <c:pt idx="7">
                  <c:v>3.4047401276916363E-2</c:v>
                </c:pt>
                <c:pt idx="8">
                  <c:v>3.4353508415824706E-2</c:v>
                </c:pt>
                <c:pt idx="9">
                  <c:v>3.4659615554733042E-2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CE-4AD2-BB51-AF4F97897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0677839"/>
        <c:axId val="1970825279"/>
      </c:lineChart>
      <c:catAx>
        <c:axId val="197067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70825279"/>
        <c:crosses val="autoZero"/>
        <c:auto val="1"/>
        <c:lblAlgn val="ctr"/>
        <c:lblOffset val="100"/>
        <c:noMultiLvlLbl val="0"/>
      </c:catAx>
      <c:valAx>
        <c:axId val="197082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BO"/>
          </a:p>
        </c:txPr>
        <c:crossAx val="197067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63500" dist="50800" dir="16200000">
        <a:prstClr val="black">
          <a:alpha val="50000"/>
        </a:prstClr>
      </a:innerShdw>
    </a:effectLst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BO"/>
              <a:t>Flujo de Efectivo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FC!$B$23</c:f>
              <c:strCache>
                <c:ptCount val="1"/>
                <c:pt idx="0">
                  <c:v>FLUJO DE EFECTIVO ECONÓMICO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FC!$C$23:$M$23</c:f>
              <c:numCache>
                <c:formatCode>_(* #,##0.00_);_(* \(#,##0.00\);_(* "-"??_);_(@_)</c:formatCode>
                <c:ptCount val="11"/>
                <c:pt idx="0">
                  <c:v>-329711.2</c:v>
                </c:pt>
                <c:pt idx="1">
                  <c:v>-371477.06262809224</c:v>
                </c:pt>
                <c:pt idx="2">
                  <c:v>249155.45072190766</c:v>
                </c:pt>
                <c:pt idx="3">
                  <c:v>251397.96407190769</c:v>
                </c:pt>
                <c:pt idx="4">
                  <c:v>252952.14408857434</c:v>
                </c:pt>
                <c:pt idx="5">
                  <c:v>254457.15743857436</c:v>
                </c:pt>
                <c:pt idx="6">
                  <c:v>254487.17078857438</c:v>
                </c:pt>
                <c:pt idx="7">
                  <c:v>256729.6841385744</c:v>
                </c:pt>
                <c:pt idx="8">
                  <c:v>258972.19748857431</c:v>
                </c:pt>
                <c:pt idx="9">
                  <c:v>261214.71083857433</c:v>
                </c:pt>
                <c:pt idx="10">
                  <c:v>349857.22418857436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A8-4B71-ABA5-FA5870C33527}"/>
            </c:ext>
          </c:extLst>
        </c:ser>
        <c:ser>
          <c:idx val="1"/>
          <c:order val="1"/>
          <c:tx>
            <c:strRef>
              <c:f>FC!$B$30</c:f>
              <c:strCache>
                <c:ptCount val="1"/>
                <c:pt idx="0">
                  <c:v>FLUJO DE EFECTIVO FINANCIERO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FC!$C$30:$M$30</c:f>
              <c:numCache>
                <c:formatCode>_(* #,##0.00_);_(* \(#,##0.00\);_(* "-"??_);_(@_)</c:formatCode>
                <c:ptCount val="11"/>
                <c:pt idx="0">
                  <c:v>-40541.200000000012</c:v>
                </c:pt>
                <c:pt idx="1">
                  <c:v>-400394.06262809224</c:v>
                </c:pt>
                <c:pt idx="2">
                  <c:v>220238.45072190766</c:v>
                </c:pt>
                <c:pt idx="3">
                  <c:v>222480.96407190769</c:v>
                </c:pt>
                <c:pt idx="4">
                  <c:v>224035.14408857434</c:v>
                </c:pt>
                <c:pt idx="5">
                  <c:v>225540.15743857436</c:v>
                </c:pt>
                <c:pt idx="6">
                  <c:v>225570.17078857438</c:v>
                </c:pt>
                <c:pt idx="7">
                  <c:v>227812.6841385744</c:v>
                </c:pt>
                <c:pt idx="8">
                  <c:v>230055.19748857431</c:v>
                </c:pt>
                <c:pt idx="9">
                  <c:v>232297.71083857433</c:v>
                </c:pt>
                <c:pt idx="10">
                  <c:v>320940.22418857436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A8-4B71-ABA5-FA5870C335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38168815"/>
        <c:axId val="629113599"/>
      </c:lineChart>
      <c:catAx>
        <c:axId val="638168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29113599"/>
        <c:crosses val="autoZero"/>
        <c:auto val="1"/>
        <c:lblAlgn val="ctr"/>
        <c:lblOffset val="100"/>
        <c:noMultiLvlLbl val="0"/>
      </c:catAx>
      <c:valAx>
        <c:axId val="62911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38168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ACTIVOS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AFE-4ED1-83FD-2E2601D3DB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AFE-4ED1-83FD-2E2601D3DB7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(BG!$B$6,BG!$B$14)</c:f>
              <c:strCache>
                <c:ptCount val="2"/>
                <c:pt idx="0">
                  <c:v>ACTIVOS CORRIENTES</c:v>
                </c:pt>
                <c:pt idx="1">
                  <c:v>ACTIVOS FIJOS</c:v>
                </c:pt>
              </c:strCache>
            </c:strRef>
          </c:cat>
          <c:val>
            <c:numRef>
              <c:f>(BG!$C$6,BG!$C$14)</c:f>
              <c:numCache>
                <c:formatCode>_(* #,##0.00_);_(* \(#,##0.00\);_(* "-"??_);_(@_)</c:formatCode>
                <c:ptCount val="2"/>
                <c:pt idx="0">
                  <c:v>557995.93737190776</c:v>
                </c:pt>
                <c:pt idx="1">
                  <c:v>214462.66666666666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49-4631-8C0E-6FAF680BAB1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/>
              <a:t>Apalancamiento</a:t>
            </a:r>
            <a:r>
              <a:rPr lang="es-BO" baseline="0"/>
              <a:t> 2025</a:t>
            </a:r>
            <a:endParaRPr lang="es-B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B9-4674-AB6A-F3D6203714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B9-4674-AB6A-F3D62037142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(BG!$B$29,BG!$B$33)</c:f>
              <c:strCache>
                <c:ptCount val="2"/>
                <c:pt idx="0">
                  <c:v>PASIVOS </c:v>
                </c:pt>
                <c:pt idx="1">
                  <c:v>PATRIMONIO</c:v>
                </c:pt>
              </c:strCache>
            </c:strRef>
          </c:cat>
          <c:val>
            <c:numRef>
              <c:f>(BG!$C$29,BG!$C$33)</c:f>
              <c:numCache>
                <c:formatCode>_(* #,##0.00_);_(* \(#,##0.00\);_(* "-"??_);_(@_)</c:formatCode>
                <c:ptCount val="2"/>
                <c:pt idx="0">
                  <c:v>260253</c:v>
                </c:pt>
                <c:pt idx="1">
                  <c:v>512205.60403857438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38-4274-B553-6B8B66CB11E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Lines="3" dropStyle="combo" dx="22" fmlaLink="$AK$9" fmlaRange="$AL$10:$AL$12" noThreeD="1" sel="2" val="0"/>
</file>

<file path=xl/ctrlProps/ctrlProp2.xml><?xml version="1.0" encoding="utf-8"?>
<formControlPr xmlns="http://schemas.microsoft.com/office/spreadsheetml/2009/9/main" objectType="Drop" dropLines="2" dropStyle="combo" dx="22" fmlaLink="$AK$14" fmlaRange="$AL$15:$AL$16" noThreeD="1" sel="2" val="0"/>
</file>

<file path=xl/ctrlProps/ctrlProp3.xml><?xml version="1.0" encoding="utf-8"?>
<formControlPr xmlns="http://schemas.microsoft.com/office/spreadsheetml/2009/9/main" objectType="Drop" dropLines="4" dropStyle="combo" dx="22" fmlaLink="$AK$18" fmlaRange="$AL$19:$AL$22" noThreeD="1" sel="1" val="0"/>
</file>

<file path=xl/ctrlProps/ctrlProp4.xml><?xml version="1.0" encoding="utf-8"?>
<formControlPr xmlns="http://schemas.microsoft.com/office/spreadsheetml/2009/9/main" objectType="Drop" dropLines="3" dropStyle="combo" dx="22" fmlaLink="$AK$9" fmlaRange="$AL$10:$AL$12" noThreeD="1" sel="2" val="0"/>
</file>

<file path=xl/ctrlProps/ctrlProp5.xml><?xml version="1.0" encoding="utf-8"?>
<formControlPr xmlns="http://schemas.microsoft.com/office/spreadsheetml/2009/9/main" objectType="Drop" dropLines="2" dropStyle="combo" dx="22" fmlaLink="$AK$14" fmlaRange="$AL$15:$AL$16" noThreeD="1" sel="2" val="0"/>
</file>

<file path=xl/ctrlProps/ctrlProp6.xml><?xml version="1.0" encoding="utf-8"?>
<formControlPr xmlns="http://schemas.microsoft.com/office/spreadsheetml/2009/9/main" objectType="Drop" dropLines="4" dropStyle="combo" dx="22" fmlaLink="$AK$18" fmlaRange="$AL$19:$AL$22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VP!A1"/><Relationship Id="rId7" Type="http://schemas.openxmlformats.org/officeDocument/2006/relationships/image" Target="../media/image1.png"/><Relationship Id="rId2" Type="http://schemas.openxmlformats.org/officeDocument/2006/relationships/hyperlink" Target="#EF!A1"/><Relationship Id="rId1" Type="http://schemas.openxmlformats.org/officeDocument/2006/relationships/hyperlink" Target="#CP!C5"/><Relationship Id="rId6" Type="http://schemas.openxmlformats.org/officeDocument/2006/relationships/hyperlink" Target="#CP!BH5"/><Relationship Id="rId5" Type="http://schemas.openxmlformats.org/officeDocument/2006/relationships/hyperlink" Target="#AS!A2"/><Relationship Id="rId4" Type="http://schemas.openxmlformats.org/officeDocument/2006/relationships/hyperlink" Target="#VP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P!N53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P!S53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P!AQ53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P!AI6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P!AI6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P!W88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286116</xdr:colOff>
      <xdr:row>11</xdr:row>
      <xdr:rowOff>93998</xdr:rowOff>
    </xdr:from>
    <xdr:to>
      <xdr:col>9</xdr:col>
      <xdr:colOff>1636241</xdr:colOff>
      <xdr:row>16</xdr:row>
      <xdr:rowOff>87005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92579" y="2370705"/>
          <a:ext cx="2109028" cy="99971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COSTOS DE PRODUCCIÓN PALMITO</a:t>
          </a:r>
          <a:endParaRPr lang="es-BO" sz="1100"/>
        </a:p>
      </xdr:txBody>
    </xdr:sp>
    <xdr:clientData/>
  </xdr:twoCellAnchor>
  <xdr:twoCellAnchor>
    <xdr:from>
      <xdr:col>42</xdr:col>
      <xdr:colOff>687830</xdr:colOff>
      <xdr:row>53</xdr:row>
      <xdr:rowOff>194066</xdr:rowOff>
    </xdr:from>
    <xdr:to>
      <xdr:col>45</xdr:col>
      <xdr:colOff>285159</xdr:colOff>
      <xdr:row>58</xdr:row>
      <xdr:rowOff>29505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976509" y="11695953"/>
          <a:ext cx="1981575" cy="817892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Estructura Financiera </a:t>
          </a:r>
          <a:endParaRPr lang="es-BO" sz="1100"/>
        </a:p>
      </xdr:txBody>
    </xdr:sp>
    <xdr:clientData/>
  </xdr:twoCellAnchor>
  <xdr:twoCellAnchor>
    <xdr:from>
      <xdr:col>9</xdr:col>
      <xdr:colOff>1542424</xdr:colOff>
      <xdr:row>54</xdr:row>
      <xdr:rowOff>129353</xdr:rowOff>
    </xdr:from>
    <xdr:to>
      <xdr:col>11</xdr:col>
      <xdr:colOff>928981</xdr:colOff>
      <xdr:row>58</xdr:row>
      <xdr:rowOff>121470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549091" y="11876853"/>
          <a:ext cx="2349890" cy="791747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Ventas Mercado Nacional</a:t>
          </a:r>
          <a:endParaRPr lang="es-BO" sz="1100"/>
        </a:p>
      </xdr:txBody>
    </xdr:sp>
    <xdr:clientData/>
  </xdr:twoCellAnchor>
  <xdr:twoCellAnchor>
    <xdr:from>
      <xdr:col>19</xdr:col>
      <xdr:colOff>1491</xdr:colOff>
      <xdr:row>54</xdr:row>
      <xdr:rowOff>93605</xdr:rowOff>
    </xdr:from>
    <xdr:to>
      <xdr:col>20</xdr:col>
      <xdr:colOff>317029</xdr:colOff>
      <xdr:row>58</xdr:row>
      <xdr:rowOff>85722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273991" y="11841105"/>
          <a:ext cx="2349890" cy="791747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Ventas Por</a:t>
          </a:r>
          <a:r>
            <a:rPr lang="es-BO" sz="1800" baseline="0">
              <a:latin typeface="Arial Rounded MT Bold" panose="020F0704030504030204" pitchFamily="34" charset="0"/>
              <a:cs typeface="Segoe UI Semibold" panose="020B0702040204020203" pitchFamily="34" charset="0"/>
            </a:rPr>
            <a:t> Exportación</a:t>
          </a:r>
          <a:endParaRPr lang="es-BO" sz="1100"/>
        </a:p>
      </xdr:txBody>
    </xdr:sp>
    <xdr:clientData/>
  </xdr:twoCellAnchor>
  <xdr:twoCellAnchor>
    <xdr:from>
      <xdr:col>20</xdr:col>
      <xdr:colOff>611091</xdr:colOff>
      <xdr:row>87</xdr:row>
      <xdr:rowOff>167453</xdr:rowOff>
    </xdr:from>
    <xdr:to>
      <xdr:col>23</xdr:col>
      <xdr:colOff>23048</xdr:colOff>
      <xdr:row>89</xdr:row>
      <xdr:rowOff>413570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928291" y="19192053"/>
          <a:ext cx="2358357" cy="804917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Análisis</a:t>
          </a:r>
          <a:r>
            <a:rPr lang="es-BO" sz="1800" baseline="0">
              <a:latin typeface="Arial Rounded MT Bold" panose="020F0704030504030204" pitchFamily="34" charset="0"/>
              <a:cs typeface="Segoe UI Semibold" panose="020B0702040204020203" pitchFamily="34" charset="0"/>
            </a:rPr>
            <a:t> de Sencibilidad</a:t>
          </a:r>
          <a:endParaRPr lang="es-BO" sz="1100"/>
        </a:p>
      </xdr:txBody>
    </xdr:sp>
    <xdr:clientData/>
  </xdr:twoCellAnchor>
  <xdr:twoCellAnchor>
    <xdr:from>
      <xdr:col>36</xdr:col>
      <xdr:colOff>336176</xdr:colOff>
      <xdr:row>10</xdr:row>
      <xdr:rowOff>130736</xdr:rowOff>
    </xdr:from>
    <xdr:to>
      <xdr:col>37</xdr:col>
      <xdr:colOff>1564538</xdr:colOff>
      <xdr:row>15</xdr:row>
      <xdr:rowOff>186765</xdr:rowOff>
    </xdr:to>
    <xdr:sp macro="" textlink="">
      <xdr:nvSpPr>
        <xdr:cNvPr id="8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9108529" y="2203824"/>
          <a:ext cx="1994097" cy="1083235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COSTOS DE PRODUCCIÓN PIÑA</a:t>
          </a:r>
          <a:endParaRPr lang="es-BO" sz="1100"/>
        </a:p>
      </xdr:txBody>
    </xdr:sp>
    <xdr:clientData/>
  </xdr:twoCellAnchor>
  <xdr:twoCellAnchor editAs="oneCell">
    <xdr:from>
      <xdr:col>50</xdr:col>
      <xdr:colOff>364185</xdr:colOff>
      <xdr:row>1</xdr:row>
      <xdr:rowOff>242303</xdr:rowOff>
    </xdr:from>
    <xdr:to>
      <xdr:col>53</xdr:col>
      <xdr:colOff>421728</xdr:colOff>
      <xdr:row>6</xdr:row>
      <xdr:rowOff>24806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31646" y="619334"/>
          <a:ext cx="3197816" cy="1141800"/>
        </a:xfrm>
        <a:prstGeom prst="rect">
          <a:avLst/>
        </a:prstGeom>
      </xdr:spPr>
    </xdr:pic>
    <xdr:clientData/>
  </xdr:twoCellAnchor>
  <xdr:twoCellAnchor editAs="oneCell">
    <xdr:from>
      <xdr:col>24</xdr:col>
      <xdr:colOff>243086</xdr:colOff>
      <xdr:row>73</xdr:row>
      <xdr:rowOff>264274</xdr:rowOff>
    </xdr:from>
    <xdr:to>
      <xdr:col>26</xdr:col>
      <xdr:colOff>633011</xdr:colOff>
      <xdr:row>77</xdr:row>
      <xdr:rowOff>149611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51E2F06-0D16-46DB-8D97-2B75B87E9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562969" y="16908219"/>
          <a:ext cx="2374300" cy="8477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323726</xdr:colOff>
      <xdr:row>0</xdr:row>
      <xdr:rowOff>136960</xdr:rowOff>
    </xdr:from>
    <xdr:to>
      <xdr:col>4</xdr:col>
      <xdr:colOff>2069005</xdr:colOff>
      <xdr:row>3</xdr:row>
      <xdr:rowOff>12451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291667" y="136960"/>
          <a:ext cx="2118809" cy="834216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PANEL DE CONTROL</a:t>
          </a:r>
          <a:endParaRPr lang="es-B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4</xdr:col>
      <xdr:colOff>2115695</xdr:colOff>
      <xdr:row>3</xdr:row>
      <xdr:rowOff>19539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601308" y="205154"/>
          <a:ext cx="2115695" cy="713154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PANEL DE CONTROL</a:t>
          </a:r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493351</xdr:colOff>
      <xdr:row>1</xdr:row>
      <xdr:rowOff>4533</xdr:rowOff>
    </xdr:from>
    <xdr:to>
      <xdr:col>5</xdr:col>
      <xdr:colOff>388582</xdr:colOff>
      <xdr:row>2</xdr:row>
      <xdr:rowOff>445448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834097" y="194085"/>
          <a:ext cx="1515903" cy="763154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PANEL DE CONTROL</a:t>
          </a:r>
          <a:endParaRPr lang="es-BO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12700</xdr:rowOff>
        </xdr:from>
        <xdr:to>
          <xdr:col>2</xdr:col>
          <xdr:colOff>1200150</xdr:colOff>
          <xdr:row>5</xdr:row>
          <xdr:rowOff>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25400</xdr:rowOff>
        </xdr:from>
        <xdr:to>
          <xdr:col>2</xdr:col>
          <xdr:colOff>1200150</xdr:colOff>
          <xdr:row>6</xdr:row>
          <xdr:rowOff>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9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</xdr:row>
          <xdr:rowOff>12700</xdr:rowOff>
        </xdr:from>
        <xdr:to>
          <xdr:col>2</xdr:col>
          <xdr:colOff>1200150</xdr:colOff>
          <xdr:row>6</xdr:row>
          <xdr:rowOff>330200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9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</xdr:row>
          <xdr:rowOff>12700</xdr:rowOff>
        </xdr:from>
        <xdr:to>
          <xdr:col>2</xdr:col>
          <xdr:colOff>1200150</xdr:colOff>
          <xdr:row>5</xdr:row>
          <xdr:rowOff>0</xdr:rowOff>
        </xdr:to>
        <xdr:sp macro="" textlink="">
          <xdr:nvSpPr>
            <xdr:cNvPr id="67585" name="Drop Dow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A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25400</xdr:rowOff>
        </xdr:from>
        <xdr:to>
          <xdr:col>2</xdr:col>
          <xdr:colOff>1200150</xdr:colOff>
          <xdr:row>6</xdr:row>
          <xdr:rowOff>0</xdr:rowOff>
        </xdr:to>
        <xdr:sp macro="" textlink="">
          <xdr:nvSpPr>
            <xdr:cNvPr id="67586" name="Drop Dow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A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</xdr:row>
          <xdr:rowOff>12700</xdr:rowOff>
        </xdr:from>
        <xdr:to>
          <xdr:col>2</xdr:col>
          <xdr:colOff>1200150</xdr:colOff>
          <xdr:row>6</xdr:row>
          <xdr:rowOff>336550</xdr:rowOff>
        </xdr:to>
        <xdr:sp macro="" textlink="">
          <xdr:nvSpPr>
            <xdr:cNvPr id="67587" name="Drop Dow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A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5</xdr:col>
      <xdr:colOff>2118809</xdr:colOff>
      <xdr:row>5</xdr:row>
      <xdr:rowOff>293797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8121316" y="467895"/>
          <a:ext cx="2118809" cy="995639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PANEL DE CONTROL</a:t>
          </a:r>
          <a:endParaRPr lang="es-BO" sz="1100"/>
        </a:p>
      </xdr:txBody>
    </xdr:sp>
    <xdr:clientData/>
  </xdr:twoCellAnchor>
  <xdr:twoCellAnchor>
    <xdr:from>
      <xdr:col>50</xdr:col>
      <xdr:colOff>150396</xdr:colOff>
      <xdr:row>2</xdr:row>
      <xdr:rowOff>116973</xdr:rowOff>
    </xdr:from>
    <xdr:to>
      <xdr:col>51</xdr:col>
      <xdr:colOff>63415</xdr:colOff>
      <xdr:row>5</xdr:row>
      <xdr:rowOff>210243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65722501" y="384341"/>
          <a:ext cx="2118809" cy="995639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PANEL DE CONTROL</a:t>
          </a:r>
          <a:endParaRPr lang="es-BO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148950</xdr:colOff>
      <xdr:row>0</xdr:row>
      <xdr:rowOff>62716</xdr:rowOff>
    </xdr:from>
    <xdr:to>
      <xdr:col>6</xdr:col>
      <xdr:colOff>184041</xdr:colOff>
      <xdr:row>2</xdr:row>
      <xdr:rowOff>148950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860493" y="62716"/>
          <a:ext cx="2120400" cy="823148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PANEL DE CONTROL</a:t>
          </a:r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411574</xdr:colOff>
      <xdr:row>1</xdr:row>
      <xdr:rowOff>94074</xdr:rowOff>
    </xdr:from>
    <xdr:to>
      <xdr:col>3</xdr:col>
      <xdr:colOff>644580</xdr:colOff>
      <xdr:row>4</xdr:row>
      <xdr:rowOff>35278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338704" y="293981"/>
          <a:ext cx="1526524" cy="799630"/>
        </a:xfrm>
        <a:prstGeom prst="roundRect">
          <a:avLst/>
        </a:prstGeom>
        <a:solidFill>
          <a:schemeClr val="tx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prstMaterial="metal">
          <a:bevelT w="171450" h="6985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>
              <a:latin typeface="Arial Rounded MT Bold" panose="020F0704030504030204" pitchFamily="34" charset="0"/>
              <a:cs typeface="Segoe UI Semibold" panose="020B0702040204020203" pitchFamily="34" charset="0"/>
            </a:rPr>
            <a:t>PANEL DE CONTROL</a:t>
          </a:r>
          <a:endParaRPr lang="es-BO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127000</xdr:colOff>
      <xdr:row>3</xdr:row>
      <xdr:rowOff>127000</xdr:rowOff>
    </xdr:from>
    <xdr:to>
      <xdr:col>36</xdr:col>
      <xdr:colOff>247669</xdr:colOff>
      <xdr:row>48</xdr:row>
      <xdr:rowOff>66550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96211</xdr:colOff>
      <xdr:row>50</xdr:row>
      <xdr:rowOff>115455</xdr:rowOff>
    </xdr:from>
    <xdr:to>
      <xdr:col>36</xdr:col>
      <xdr:colOff>238123</xdr:colOff>
      <xdr:row>86</xdr:row>
      <xdr:rowOff>138907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367008</xdr:colOff>
      <xdr:row>34</xdr:row>
      <xdr:rowOff>54459</xdr:rowOff>
    </xdr:from>
    <xdr:to>
      <xdr:col>12</xdr:col>
      <xdr:colOff>527373</xdr:colOff>
      <xdr:row>51</xdr:row>
      <xdr:rowOff>161441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716065</xdr:colOff>
      <xdr:row>5</xdr:row>
      <xdr:rowOff>53771</xdr:rowOff>
    </xdr:from>
    <xdr:to>
      <xdr:col>18</xdr:col>
      <xdr:colOff>351277</xdr:colOff>
      <xdr:row>18</xdr:row>
      <xdr:rowOff>108085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713362</xdr:colOff>
      <xdr:row>21</xdr:row>
      <xdr:rowOff>1</xdr:rowOff>
    </xdr:from>
    <xdr:to>
      <xdr:col>18</xdr:col>
      <xdr:colOff>445851</xdr:colOff>
      <xdr:row>35</xdr:row>
      <xdr:rowOff>13511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184354</xdr:colOff>
      <xdr:row>13</xdr:row>
      <xdr:rowOff>163870</xdr:rowOff>
    </xdr:from>
    <xdr:to>
      <xdr:col>10</xdr:col>
      <xdr:colOff>962741</xdr:colOff>
      <xdr:row>28</xdr:row>
      <xdr:rowOff>92177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4475725" y="2652660"/>
          <a:ext cx="9729839" cy="269363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600" b="1" i="1" u="sng">
              <a:solidFill>
                <a:srgbClr val="FF0000"/>
              </a:solidFill>
              <a:latin typeface="Arial Black" panose="020B0A04020102020204" pitchFamily="34" charset="0"/>
            </a:rPr>
            <a:t>El FCF es el dinero que realmente le queda a la empresa cada año después de operar, pagar el IUE y reinvertir en su crecimiento (capital de trabajo y activos fijos).</a:t>
          </a:r>
        </a:p>
        <a:p>
          <a:pPr algn="ctr"/>
          <a:endParaRPr lang="es-BO" sz="1600" b="1" i="1" u="sng">
            <a:solidFill>
              <a:srgbClr val="FF0000"/>
            </a:solidFill>
            <a:latin typeface="Arial Black" panose="020B0A04020102020204" pitchFamily="34" charset="0"/>
          </a:endParaRPr>
        </a:p>
        <a:p>
          <a:pPr algn="l"/>
          <a:r>
            <a:rPr lang="es-BO" sz="1600" b="1" i="0" u="sng">
              <a:solidFill>
                <a:srgbClr val="002060"/>
              </a:solidFill>
            </a:rPr>
            <a:t>Flujo de caja </a:t>
          </a:r>
          <a:r>
            <a:rPr lang="es-BO" sz="1600" b="1" i="0" u="none">
              <a:solidFill>
                <a:srgbClr val="002060"/>
              </a:solidFill>
            </a:rPr>
            <a:t>=</a:t>
          </a:r>
          <a:r>
            <a:rPr lang="es-BO" sz="1600" b="1" i="0" u="sng">
              <a:solidFill>
                <a:srgbClr val="002060"/>
              </a:solidFill>
            </a:rPr>
            <a:t> </a:t>
          </a:r>
          <a:r>
            <a:rPr lang="es-BO" sz="1600"/>
            <a:t>muestra </a:t>
          </a:r>
          <a:r>
            <a:rPr lang="es-BO" sz="1600" b="1"/>
            <a:t>todo el movimiento de dinero</a:t>
          </a:r>
          <a:r>
            <a:rPr lang="es-BO" sz="1600"/>
            <a:t> (entradas y salidas) en la empresa</a:t>
          </a:r>
          <a:br>
            <a:rPr lang="es-BO" sz="1600"/>
          </a:br>
          <a:r>
            <a:rPr lang="es-BO" sz="1600" b="1" u="sng">
              <a:solidFill>
                <a:srgbClr val="002060"/>
              </a:solidFill>
            </a:rPr>
            <a:t>Flujo de Caja Libre (FCF)</a:t>
          </a:r>
          <a:r>
            <a:rPr lang="es-BO" sz="1600" b="0" u="sng">
              <a:solidFill>
                <a:srgbClr val="002060"/>
              </a:solidFill>
            </a:rPr>
            <a:t> </a:t>
          </a:r>
          <a:r>
            <a:rPr lang="es-BO" sz="1600"/>
            <a:t>= se enfoca solo en lo que </a:t>
          </a:r>
          <a:r>
            <a:rPr lang="es-BO" sz="1600" b="1"/>
            <a:t>la empresa genera por sí sola con su operación</a:t>
          </a:r>
          <a:r>
            <a:rPr lang="es-BO" sz="1600"/>
            <a:t>, restando lo que necesita para seguir funcionando (inversión en activos y capital de trabajo). Es el dinero que podría usar para pagar dividendos, recomprar acciones o pagar deudas.</a:t>
          </a:r>
          <a:endParaRPr lang="es-BO" sz="1600" b="1" i="1" u="sng">
            <a:solidFill>
              <a:srgbClr val="FF000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NDOWS%2010/Documents/SIMULADOR/SIMULAD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PO DE CAMBIO"/>
      <sheetName val="Y4 (LP)"/>
      <sheetName val="Y9 (LP)"/>
      <sheetName val="Y11 (LP)"/>
      <sheetName val="Y11 (CP)"/>
      <sheetName val="Y12 (CP)"/>
      <sheetName val="Y12 (MP)"/>
      <sheetName val="Y12 (LP)"/>
      <sheetName val="Acciones"/>
      <sheetName val="CASH FLOW"/>
      <sheetName val="CASH FLOW (REF)"/>
      <sheetName val="EERR (V)"/>
      <sheetName val="EERR (H)"/>
      <sheetName val="BALANCE GENERAL"/>
      <sheetName val="LOAN 5"/>
      <sheetName val="LOAN 5 (REF)"/>
      <sheetName val="LOAN 4"/>
      <sheetName val="LOAN 4 (REF)"/>
    </sheetNames>
    <sheetDataSet>
      <sheetData sheetId="0" refreshError="1"/>
      <sheetData sheetId="1">
        <row r="5">
          <cell r="H5">
            <v>60000</v>
          </cell>
        </row>
        <row r="6">
          <cell r="H6">
            <v>8.2000000000000003E-2</v>
          </cell>
          <cell r="I6">
            <v>8.2000000000000003E-2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5F176F2-1198-4C81-BCAB-9BE5DC2D3272}" name="PT" displayName="PT" ref="B7:I23" totalsRowShown="0" headerRowDxfId="33" dataDxfId="31" headerRowBorderDxfId="32" tableBorderDxfId="30" totalsRowBorderDxfId="29">
  <autoFilter ref="B7:I23" xr:uid="{AF46B55D-FFE0-444C-AA4F-357CE6B80B77}"/>
  <tableColumns count="8">
    <tableColumn id="1" xr3:uid="{6A5E09FB-BD4F-407E-A0F9-21A40F66748C}" name="CÓDIGO" dataDxfId="28"/>
    <tableColumn id="2" xr3:uid="{0FD2C38E-230D-41B6-93A4-400579066904}" name="PRODUCTO" dataDxfId="27"/>
    <tableColumn id="3" xr3:uid="{2EF49E87-EE54-4A20-8E2F-1A4CF1FBBC5A}" name="PESO Gr." dataDxfId="26"/>
    <tableColumn id="4" xr3:uid="{6A08C776-BDB2-4BC0-B55A-6C53904FD75C}" name="COSTO UNITARIO" dataDxfId="25" dataCellStyle="Millares">
      <calculatedColumnFormula>IFERROR(AVERAGEIFS(ENTRADA_PT[COSTO UNITARIO],ENTRADA_PT[CÓDIGO],PT[CÓDIGO],ENTRADA_PT[COSTO UNITARIO],"&gt;0"),0)</calculatedColumnFormula>
    </tableColumn>
    <tableColumn id="5" xr3:uid="{525246BD-7983-48B9-8FED-A72625BAD585}" name="ENTRADA " dataDxfId="24" dataCellStyle="Millares">
      <calculatedColumnFormula>SUMIF(ENTRADA_PT[[#All],[CÓDIGO]],PT[[#All],[CÓDIGO]],ENTRADA_PT[[#All],[CANTIDAD]])</calculatedColumnFormula>
    </tableColumn>
    <tableColumn id="6" xr3:uid="{359803B4-8468-4758-ABCC-9B4F05394C8F}" name="SALIDAS" dataDxfId="23" dataCellStyle="Millares">
      <calculatedColumnFormula>SUMIF(SALIDA_PT[[#All],[CÓDIGO]],PT[[#All],[CÓDIGO]],SALIDA_PT[[#All],[CANTIDAD]])</calculatedColumnFormula>
    </tableColumn>
    <tableColumn id="7" xr3:uid="{A9228953-B056-4673-821A-D43A08F2DCF2}" name="STOCK" dataDxfId="22" dataCellStyle="Millares">
      <calculatedColumnFormula>PT[[#This Row],[ENTRADA ]]-PT[[#This Row],[SALIDAS]]</calculatedColumnFormula>
    </tableColumn>
    <tableColumn id="8" xr3:uid="{58F469D9-2DD8-43BE-806A-CB5863F629D0}" name="VALOR ACTUAL DE INVENTARIO DE M.P." dataDxfId="21" dataCellStyle="Millares">
      <calculatedColumnFormula>PT[[#This Row],[COSTO UNITARIO]]*PT[[#This Row],[STOCK]]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B2BCD5-D4BD-4F8C-B8E4-B0B5395153D4}" name="ENTRADA_PT" displayName="ENTRADA_PT" ref="K7:P199" totalsRowShown="0" headerRowDxfId="20" dataDxfId="18" headerRowBorderDxfId="19">
  <autoFilter ref="K7:P199" xr:uid="{DC09CD48-777A-4707-8080-E1B29623A2D6}"/>
  <tableColumns count="6">
    <tableColumn id="1" xr3:uid="{EA430B88-91BD-4EEA-944A-BE798E7F5F58}" name="CÓDIGO" dataDxfId="17">
      <calculatedColumnFormula>CP!A417</calculatedColumnFormula>
    </tableColumn>
    <tableColumn id="2" xr3:uid="{E184AA52-D10C-4CD9-B570-002E2A62B7A7}" name="FECHA" dataDxfId="16">
      <calculatedColumnFormula>CP!B417</calculatedColumnFormula>
    </tableColumn>
    <tableColumn id="3" xr3:uid="{30DFEACF-64A6-4E5F-946D-C918707A431A}" name="PRODUCTO" dataDxfId="15">
      <calculatedColumnFormula>IFERROR(VLOOKUP(K8,PT[],2,FALSE),"NO EXISTE")</calculatedColumnFormula>
    </tableColumn>
    <tableColumn id="4" xr3:uid="{992E5044-5440-4D9D-8B4E-439BF340DB2B}" name="CANTIDAD" dataDxfId="14">
      <calculatedColumnFormula>CP!D417</calculatedColumnFormula>
    </tableColumn>
    <tableColumn id="5" xr3:uid="{18BAD43E-902E-44AE-B4D1-5B538AFD3D49}" name="COSTO UNITARIO" dataDxfId="13" dataCellStyle="Millares">
      <calculatedColumnFormula>IFERROR(CP!E417,0*1)</calculatedColumnFormula>
    </tableColumn>
    <tableColumn id="6" xr3:uid="{19F0F4C8-C4B6-4C69-88EC-61F86CE7B0D7}" name="COSTO TOTAL" dataDxfId="12" dataCellStyle="Millares">
      <calculatedColumnFormula>ENTRADA_PT[[#This Row],[CANTIDAD]]*ENTRADA_PT[[#This Row],[COSTO UNITARIO]]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975096E-3009-4536-BC0C-E58F86D5EA59}" name="SALIDA_PT" displayName="SALIDA_PT" ref="R7:X199" totalsRowShown="0" headerRowDxfId="11" dataDxfId="9" headerRowBorderDxfId="10" tableBorderDxfId="8" totalsRowBorderDxfId="7">
  <autoFilter ref="R7:X199" xr:uid="{69A8BED4-9881-45C2-8C77-36082B9764E9}"/>
  <tableColumns count="7">
    <tableColumn id="1" xr3:uid="{F5F2830F-74A5-4A9A-B912-9BAC6AB22559}" name="CÓDIGO" dataDxfId="6">
      <calculatedColumnFormula>ENTRADA_PT[[#This Row],[CÓDIGO]]</calculatedColumnFormula>
    </tableColumn>
    <tableColumn id="2" xr3:uid="{53E4D0AA-F171-4D9A-9FFE-6CD7A629CC8D}" name="FECHA" dataDxfId="5">
      <calculatedColumnFormula>ENTRADA_PT[[#This Row],[FECHA]]</calculatedColumnFormula>
    </tableColumn>
    <tableColumn id="3" xr3:uid="{4AE63D52-1122-4680-A243-F7EA842D9A3F}" name="PRODUCTO" dataDxfId="4">
      <calculatedColumnFormula>IFERROR(VLOOKUP(R8,PT[],2,FALSE),"NO EXISTE")</calculatedColumnFormula>
    </tableColumn>
    <tableColumn id="7" xr3:uid="{A6DF2688-A8A5-4338-871A-F0FA1A707115}" name="% DE SALIDA" dataDxfId="3" dataCellStyle="Porcentaje">
      <calculatedColumnFormula>IFERROR(SALIDA_PT[[#This Row],[CANTIDAD]]/ENTRADA_PT[[#This Row],[CANTIDAD]],0%)</calculatedColumnFormula>
    </tableColumn>
    <tableColumn id="4" xr3:uid="{DFF3232F-E251-410C-8728-24073A5FB618}" name="CANTIDAD" dataDxfId="2" dataCellStyle="Millares"/>
    <tableColumn id="5" xr3:uid="{6D857004-9D7C-42B9-ABBF-20A7DE820ABB}" name="COSTO UNITARIO" dataDxfId="1" dataCellStyle="Millares">
      <calculatedColumnFormula>ENTRADA_PT[[#This Row],[COSTO UNITARIO]]</calculatedColumnFormula>
    </tableColumn>
    <tableColumn id="6" xr3:uid="{E9FC6B93-DD65-454E-A04A-004112BC2848}" name="TOTAL" dataDxfId="0" dataCellStyle="Millares">
      <calculatedColumnFormula>V8*W8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5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694C1-5DE8-4A88-ADDB-D4E5B4A3F1EB}">
  <sheetPr codeName="Hoja1">
    <tabColor theme="7" tint="0.79998168889431442"/>
  </sheetPr>
  <dimension ref="B1:DF95"/>
  <sheetViews>
    <sheetView showGridLines="0" tabSelected="1" topLeftCell="AL3" zoomScale="40" zoomScaleNormal="10" workbookViewId="0">
      <selection activeCell="BC7" sqref="BC7"/>
    </sheetView>
  </sheetViews>
  <sheetFormatPr baseColWidth="10" defaultRowHeight="15.5" x14ac:dyDescent="0.35"/>
  <cols>
    <col min="2" max="2" width="55.08984375" bestFit="1" customWidth="1"/>
    <col min="3" max="3" width="15.26953125" bestFit="1" customWidth="1"/>
    <col min="6" max="6" width="17.81640625" customWidth="1"/>
    <col min="7" max="7" width="14.6328125" customWidth="1"/>
    <col min="10" max="10" width="28.90625" style="6" customWidth="1"/>
    <col min="11" max="11" width="13.453125" style="6" customWidth="1"/>
    <col min="12" max="12" width="13.81640625" style="6" customWidth="1"/>
    <col min="13" max="13" width="17.08984375" style="6" customWidth="1"/>
    <col min="14" max="14" width="13.7265625" style="6" customWidth="1"/>
    <col min="15" max="15" width="12.81640625" style="6" customWidth="1"/>
    <col min="16" max="16" width="13.81640625" style="6" customWidth="1"/>
    <col min="17" max="17" width="11.81640625" style="6" customWidth="1"/>
    <col min="18" max="18" width="11.54296875" style="6" customWidth="1"/>
    <col min="19" max="19" width="9.81640625" style="6" customWidth="1"/>
    <col min="20" max="20" width="29.08984375" style="6" bestFit="1" customWidth="1"/>
    <col min="21" max="21" width="11.453125" style="6" customWidth="1"/>
    <col min="22" max="22" width="12.7265625" style="6" customWidth="1"/>
    <col min="23" max="23" width="17.90625" style="6" customWidth="1"/>
    <col min="24" max="24" width="15.6328125" style="6" customWidth="1"/>
    <col min="25" max="26" width="14.1796875" style="6" customWidth="1"/>
    <col min="27" max="29" width="11" style="6" bestFit="1" customWidth="1"/>
    <col min="30" max="30" width="15.90625" style="6" bestFit="1" customWidth="1"/>
    <col min="31" max="34" width="17.1796875" style="6" customWidth="1"/>
    <col min="35" max="35" width="13.54296875" style="6" customWidth="1"/>
    <col min="36" max="36" width="4.54296875" style="6" customWidth="1"/>
    <col min="37" max="37" width="10.90625" style="6"/>
    <col min="38" max="38" width="31.453125" style="6" customWidth="1"/>
    <col min="39" max="39" width="15.08984375" style="6" customWidth="1"/>
    <col min="40" max="40" width="14.08984375" style="127" customWidth="1"/>
    <col min="41" max="41" width="14.54296875" style="127" bestFit="1" customWidth="1"/>
    <col min="42" max="42" width="14.7265625" style="6" customWidth="1"/>
    <col min="43" max="43" width="14.54296875" style="6" bestFit="1" customWidth="1"/>
    <col min="44" max="44" width="12.1796875" style="6" customWidth="1"/>
    <col min="45" max="45" width="14.6328125" style="6" bestFit="1" customWidth="1"/>
    <col min="46" max="46" width="13.54296875" style="6" bestFit="1" customWidth="1"/>
    <col min="47" max="47" width="17.7265625" style="6" customWidth="1"/>
    <col min="48" max="48" width="35.6328125" style="6" customWidth="1"/>
    <col min="49" max="49" width="14.54296875" style="6" bestFit="1" customWidth="1"/>
    <col min="50" max="50" width="16.453125" style="6" customWidth="1"/>
    <col min="51" max="57" width="15" style="6" bestFit="1" customWidth="1"/>
    <col min="58" max="58" width="14.90625" style="6" bestFit="1" customWidth="1"/>
    <col min="59" max="59" width="19.26953125" style="6" bestFit="1" customWidth="1"/>
    <col min="60" max="60" width="14.90625" style="6" bestFit="1" customWidth="1"/>
    <col min="61" max="61" width="17.81640625" style="6" bestFit="1" customWidth="1"/>
    <col min="62" max="62" width="16.81640625" style="6" bestFit="1" customWidth="1"/>
    <col min="63" max="97" width="10.90625" style="6"/>
    <col min="101" max="101" width="14.08984375" customWidth="1"/>
  </cols>
  <sheetData>
    <row r="1" spans="2:63" ht="29.5" customHeight="1" thickBot="1" x14ac:dyDescent="0.4"/>
    <row r="2" spans="2:63" ht="44" thickBot="1" x14ac:dyDescent="0.4">
      <c r="AL2" s="807" t="s">
        <v>548</v>
      </c>
      <c r="AM2" s="798" t="s">
        <v>164</v>
      </c>
      <c r="AN2" s="799" t="s">
        <v>490</v>
      </c>
      <c r="AO2" s="799" t="s">
        <v>508</v>
      </c>
      <c r="AP2" s="799" t="s">
        <v>495</v>
      </c>
      <c r="AQ2" s="799" t="s">
        <v>491</v>
      </c>
      <c r="AR2" s="799" t="s">
        <v>492</v>
      </c>
      <c r="AS2" s="800" t="s">
        <v>493</v>
      </c>
      <c r="AV2" s="861" t="s">
        <v>548</v>
      </c>
      <c r="AW2" s="862"/>
      <c r="AX2" s="818" t="s">
        <v>563</v>
      </c>
    </row>
    <row r="3" spans="2:63" ht="16" thickBot="1" x14ac:dyDescent="0.4">
      <c r="AL3" s="806" t="s">
        <v>328</v>
      </c>
      <c r="AM3" s="801">
        <f>10000*24</f>
        <v>240000</v>
      </c>
      <c r="AN3" s="802">
        <f>AM3*1.7</f>
        <v>408000</v>
      </c>
      <c r="AO3" s="803">
        <v>0.45</v>
      </c>
      <c r="AP3" s="802">
        <f>AN3*0.45</f>
        <v>183600</v>
      </c>
      <c r="AQ3" s="804">
        <f>AP3/AO3</f>
        <v>408000</v>
      </c>
      <c r="AR3" s="804">
        <v>0.45</v>
      </c>
      <c r="AS3" s="805">
        <f>0.45*1.7</f>
        <v>0.76500000000000001</v>
      </c>
      <c r="AV3" s="863" t="s">
        <v>561</v>
      </c>
      <c r="AW3" s="864"/>
      <c r="AX3" s="95">
        <f>1.27/1000*AX22</f>
        <v>0.43180000000000002</v>
      </c>
    </row>
    <row r="4" spans="2:63" x14ac:dyDescent="0.35">
      <c r="AM4" s="158">
        <f>(AM3*12)</f>
        <v>2880000</v>
      </c>
      <c r="AV4" s="863" t="s">
        <v>562</v>
      </c>
      <c r="AW4" s="864"/>
      <c r="AX4" s="95">
        <f>1.36/1000*AX23</f>
        <v>0.46240000000000003</v>
      </c>
    </row>
    <row r="5" spans="2:63" x14ac:dyDescent="0.35">
      <c r="AM5" s="158">
        <f>AM4/70000</f>
        <v>41.142857142857146</v>
      </c>
      <c r="AN5" s="127" t="s">
        <v>568</v>
      </c>
      <c r="AV5" s="863" t="s">
        <v>561</v>
      </c>
      <c r="AW5" s="864"/>
      <c r="AX5" s="95">
        <f>1.27/1000*AX24</f>
        <v>0.63500000000000001</v>
      </c>
    </row>
    <row r="6" spans="2:63" x14ac:dyDescent="0.35">
      <c r="AM6" s="6" t="s">
        <v>569</v>
      </c>
      <c r="AV6" s="863" t="s">
        <v>562</v>
      </c>
      <c r="AW6" s="864"/>
      <c r="AX6" s="95">
        <f>1.36/1000*AX25</f>
        <v>0.68</v>
      </c>
    </row>
    <row r="7" spans="2:63" ht="22" customHeight="1" thickBot="1" x14ac:dyDescent="0.4">
      <c r="AL7" s="794"/>
      <c r="AM7" s="795"/>
      <c r="AN7" s="796"/>
      <c r="AO7" s="797"/>
      <c r="AP7" s="796"/>
      <c r="AQ7" s="794"/>
      <c r="AR7" s="794"/>
      <c r="AS7" s="794"/>
      <c r="AX7" s="158">
        <f>AY14*12</f>
        <v>2203200</v>
      </c>
      <c r="AY7" s="171">
        <v>435847</v>
      </c>
      <c r="BB7" s="158">
        <f>AY14/10.2</f>
        <v>18000</v>
      </c>
      <c r="BC7" s="158">
        <f>BB7/1800</f>
        <v>10</v>
      </c>
    </row>
    <row r="8" spans="2:63" ht="24" customHeight="1" x14ac:dyDescent="0.35">
      <c r="B8" s="885" t="s">
        <v>405</v>
      </c>
      <c r="C8" s="886"/>
      <c r="I8" s="893" t="s">
        <v>408</v>
      </c>
      <c r="J8" s="894"/>
      <c r="K8" s="894"/>
      <c r="L8" s="894"/>
      <c r="M8" s="894"/>
      <c r="N8" s="894"/>
      <c r="O8" s="894"/>
      <c r="P8" s="894"/>
      <c r="Q8" s="894"/>
      <c r="R8" s="894"/>
      <c r="S8" s="894"/>
      <c r="T8" s="894"/>
      <c r="U8" s="894"/>
      <c r="V8" s="894"/>
      <c r="W8" s="894"/>
      <c r="X8" s="894"/>
      <c r="Y8" s="894"/>
      <c r="Z8" s="894"/>
      <c r="AA8" s="894"/>
      <c r="AB8" s="894"/>
      <c r="AC8" s="894"/>
      <c r="AD8" s="894"/>
      <c r="AE8" s="894"/>
      <c r="AF8" s="894"/>
      <c r="AG8" s="894"/>
      <c r="AH8" s="894"/>
      <c r="AI8" s="894"/>
      <c r="AJ8" s="894"/>
      <c r="AK8" s="894"/>
      <c r="AL8" s="894"/>
      <c r="AM8" s="894"/>
      <c r="AN8" s="894"/>
      <c r="AO8" s="894"/>
      <c r="AP8" s="894"/>
      <c r="AQ8" s="894"/>
      <c r="AR8" s="894"/>
      <c r="AS8" s="894"/>
      <c r="AT8" s="894"/>
      <c r="AU8" s="894"/>
      <c r="AV8" s="894"/>
      <c r="AW8" s="894"/>
      <c r="AX8" s="894"/>
      <c r="AY8" s="894"/>
      <c r="AZ8" s="894"/>
      <c r="BA8" s="894"/>
      <c r="BB8" s="894"/>
      <c r="BC8" s="894"/>
      <c r="BD8" s="894"/>
      <c r="BE8" s="894"/>
      <c r="BF8" s="894"/>
      <c r="BG8" s="894"/>
      <c r="BH8" s="894"/>
      <c r="BI8" s="894"/>
      <c r="BJ8" s="894"/>
      <c r="BK8" s="895"/>
    </row>
    <row r="9" spans="2:63" ht="30" customHeight="1" thickBot="1" x14ac:dyDescent="0.4">
      <c r="B9" s="887"/>
      <c r="C9" s="888"/>
      <c r="I9" s="896"/>
      <c r="J9" s="897"/>
      <c r="K9" s="897"/>
      <c r="L9" s="897"/>
      <c r="M9" s="897"/>
      <c r="N9" s="897"/>
      <c r="O9" s="897"/>
      <c r="P9" s="897"/>
      <c r="Q9" s="897"/>
      <c r="R9" s="897"/>
      <c r="S9" s="897"/>
      <c r="T9" s="897"/>
      <c r="U9" s="897"/>
      <c r="V9" s="897"/>
      <c r="W9" s="897"/>
      <c r="X9" s="897"/>
      <c r="Y9" s="897"/>
      <c r="Z9" s="897"/>
      <c r="AA9" s="897"/>
      <c r="AB9" s="897"/>
      <c r="AC9" s="897"/>
      <c r="AD9" s="897"/>
      <c r="AE9" s="897"/>
      <c r="AF9" s="897"/>
      <c r="AG9" s="897"/>
      <c r="AH9" s="897"/>
      <c r="AI9" s="897"/>
      <c r="AJ9" s="897"/>
      <c r="AK9" s="897"/>
      <c r="AL9" s="897"/>
      <c r="AM9" s="897"/>
      <c r="AN9" s="897"/>
      <c r="AO9" s="897"/>
      <c r="AP9" s="897"/>
      <c r="AQ9" s="897"/>
      <c r="AR9" s="897"/>
      <c r="AS9" s="897"/>
      <c r="AT9" s="897"/>
      <c r="AU9" s="897"/>
      <c r="AV9" s="897"/>
      <c r="AW9" s="897"/>
      <c r="AX9" s="897"/>
      <c r="AY9" s="897"/>
      <c r="AZ9" s="897"/>
      <c r="BA9" s="897"/>
      <c r="BB9" s="897"/>
      <c r="BC9" s="897"/>
      <c r="BD9" s="897"/>
      <c r="BE9" s="897"/>
      <c r="BF9" s="897"/>
      <c r="BG9" s="897"/>
      <c r="BH9" s="897"/>
      <c r="BI9" s="897"/>
      <c r="BJ9" s="897"/>
      <c r="BK9" s="898"/>
    </row>
    <row r="10" spans="2:63" x14ac:dyDescent="0.35">
      <c r="B10" s="577" t="s">
        <v>0</v>
      </c>
      <c r="C10" s="544" t="s">
        <v>204</v>
      </c>
      <c r="I10" s="515"/>
      <c r="J10" s="517"/>
      <c r="K10" s="517"/>
      <c r="L10" s="517"/>
      <c r="M10" s="517"/>
      <c r="N10" s="517"/>
      <c r="O10" s="517"/>
      <c r="P10" s="517"/>
      <c r="Q10" s="517"/>
      <c r="R10" s="517"/>
      <c r="S10" s="899" t="s">
        <v>406</v>
      </c>
      <c r="T10" s="900"/>
      <c r="U10" s="900"/>
      <c r="V10" s="900"/>
      <c r="W10" s="900"/>
      <c r="X10" s="900"/>
      <c r="Y10" s="900"/>
      <c r="Z10" s="901"/>
      <c r="AA10" s="517"/>
      <c r="AB10" s="517"/>
      <c r="AC10" s="517"/>
      <c r="AD10" s="517"/>
      <c r="AE10" s="517"/>
      <c r="AF10" s="517"/>
      <c r="AG10" s="517"/>
      <c r="AH10" s="517"/>
      <c r="AI10" s="518"/>
      <c r="AK10" s="522"/>
      <c r="AL10" s="517"/>
      <c r="AM10" s="517"/>
      <c r="AN10" s="521"/>
      <c r="AO10" s="521"/>
      <c r="AP10" s="517"/>
      <c r="AQ10" s="517"/>
      <c r="AR10" s="517"/>
      <c r="AS10" s="517"/>
      <c r="AT10" s="517"/>
      <c r="AU10" s="517"/>
      <c r="AV10" s="899" t="s">
        <v>407</v>
      </c>
      <c r="AW10" s="900"/>
      <c r="AX10" s="900"/>
      <c r="AY10" s="900"/>
      <c r="AZ10" s="900"/>
      <c r="BA10" s="900"/>
      <c r="BB10" s="900"/>
      <c r="BC10" s="901"/>
      <c r="BD10" s="517"/>
      <c r="BE10" s="517"/>
      <c r="BF10" s="517"/>
      <c r="BG10" s="517"/>
      <c r="BH10" s="517"/>
      <c r="BI10" s="517"/>
      <c r="BJ10" s="517"/>
      <c r="BK10" s="518"/>
    </row>
    <row r="11" spans="2:63" ht="16" thickBot="1" x14ac:dyDescent="0.4">
      <c r="B11" s="578" t="s">
        <v>13</v>
      </c>
      <c r="C11" s="484">
        <v>2025</v>
      </c>
      <c r="I11" s="515"/>
      <c r="J11" s="517"/>
      <c r="K11" s="517"/>
      <c r="L11" s="517"/>
      <c r="M11" s="517"/>
      <c r="N11" s="517"/>
      <c r="O11" s="517"/>
      <c r="P11" s="517"/>
      <c r="Q11" s="517"/>
      <c r="R11" s="517"/>
      <c r="S11" s="902"/>
      <c r="T11" s="903"/>
      <c r="U11" s="903"/>
      <c r="V11" s="903"/>
      <c r="W11" s="903"/>
      <c r="X11" s="903"/>
      <c r="Y11" s="903"/>
      <c r="Z11" s="904"/>
      <c r="AA11" s="517"/>
      <c r="AB11" s="517"/>
      <c r="AC11" s="517"/>
      <c r="AD11" s="517"/>
      <c r="AE11" s="517"/>
      <c r="AF11" s="517"/>
      <c r="AG11" s="517"/>
      <c r="AH11" s="517"/>
      <c r="AI11" s="518"/>
      <c r="AK11" s="522"/>
      <c r="AL11" s="517"/>
      <c r="AM11" s="517"/>
      <c r="AN11" s="521"/>
      <c r="AO11" s="521"/>
      <c r="AP11" s="517"/>
      <c r="AQ11" s="517"/>
      <c r="AR11" s="517"/>
      <c r="AS11" s="517"/>
      <c r="AT11" s="517"/>
      <c r="AU11" s="517"/>
      <c r="AV11" s="902"/>
      <c r="AW11" s="903"/>
      <c r="AX11" s="903"/>
      <c r="AY11" s="903"/>
      <c r="AZ11" s="903"/>
      <c r="BA11" s="903"/>
      <c r="BB11" s="903"/>
      <c r="BC11" s="904"/>
      <c r="BD11" s="517"/>
      <c r="BE11" s="517"/>
      <c r="BF11" s="517"/>
      <c r="BG11" s="517"/>
      <c r="BH11" s="517"/>
      <c r="BI11" s="517"/>
      <c r="BJ11" s="517"/>
      <c r="BK11" s="518"/>
    </row>
    <row r="12" spans="2:63" ht="16" thickBot="1" x14ac:dyDescent="0.4">
      <c r="B12" s="578" t="s">
        <v>271</v>
      </c>
      <c r="C12" s="545">
        <v>1</v>
      </c>
      <c r="I12" s="515"/>
      <c r="J12" s="517"/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8"/>
      <c r="AK12" s="522"/>
      <c r="AL12" s="517"/>
      <c r="AM12" s="517"/>
      <c r="AN12" s="521"/>
      <c r="AO12" s="521"/>
      <c r="AP12" s="517"/>
      <c r="AQ12" s="517"/>
      <c r="AR12" s="517"/>
      <c r="AS12" s="517"/>
      <c r="AT12" s="517"/>
      <c r="AU12" s="517"/>
      <c r="AV12" s="517"/>
      <c r="AW12" s="517"/>
      <c r="AX12" s="517"/>
      <c r="AY12" s="422"/>
      <c r="AZ12" s="517"/>
      <c r="BA12" s="517"/>
      <c r="BB12" s="517"/>
      <c r="BC12" s="517"/>
      <c r="BD12" s="517"/>
      <c r="BE12" s="517"/>
      <c r="BF12" s="517"/>
      <c r="BG12" s="517"/>
      <c r="BH12" s="517"/>
      <c r="BI12" s="517"/>
      <c r="BJ12" s="517"/>
      <c r="BK12" s="518"/>
    </row>
    <row r="13" spans="2:63" ht="15.5" customHeight="1" thickBot="1" x14ac:dyDescent="0.4">
      <c r="B13" s="578" t="s">
        <v>447</v>
      </c>
      <c r="C13" s="484">
        <v>1</v>
      </c>
      <c r="I13" s="515"/>
      <c r="J13" s="517"/>
      <c r="K13" s="517"/>
      <c r="L13" s="918" t="s">
        <v>380</v>
      </c>
      <c r="M13" s="919"/>
      <c r="N13" s="919"/>
      <c r="O13" s="919"/>
      <c r="P13" s="920"/>
      <c r="Q13" s="517"/>
      <c r="R13" s="517"/>
      <c r="S13" s="521"/>
      <c r="T13" s="517"/>
      <c r="U13" s="517"/>
      <c r="V13" s="910" t="s">
        <v>448</v>
      </c>
      <c r="W13" s="542" t="s">
        <v>182</v>
      </c>
      <c r="X13" s="542" t="s">
        <v>183</v>
      </c>
      <c r="Y13" s="542" t="s">
        <v>184</v>
      </c>
      <c r="Z13" s="542" t="s">
        <v>185</v>
      </c>
      <c r="AA13" s="542" t="s">
        <v>186</v>
      </c>
      <c r="AB13" s="542" t="s">
        <v>187</v>
      </c>
      <c r="AC13" s="542" t="s">
        <v>188</v>
      </c>
      <c r="AD13" s="542" t="s">
        <v>189</v>
      </c>
      <c r="AE13" s="542" t="s">
        <v>190</v>
      </c>
      <c r="AF13" s="542" t="s">
        <v>191</v>
      </c>
      <c r="AG13" s="542" t="s">
        <v>192</v>
      </c>
      <c r="AH13" s="543" t="s">
        <v>193</v>
      </c>
      <c r="AI13" s="518"/>
      <c r="AK13" s="522"/>
      <c r="AL13" s="517"/>
      <c r="AM13" s="517"/>
      <c r="AN13" s="915" t="s">
        <v>518</v>
      </c>
      <c r="AO13" s="916"/>
      <c r="AP13" s="916"/>
      <c r="AQ13" s="916"/>
      <c r="AR13" s="917"/>
      <c r="AS13" s="517"/>
      <c r="AT13" s="517"/>
      <c r="AU13" s="517"/>
      <c r="AV13" s="517"/>
      <c r="AW13" s="517"/>
      <c r="AX13" s="930" t="s">
        <v>377</v>
      </c>
      <c r="AY13" s="505" t="s">
        <v>182</v>
      </c>
      <c r="AZ13" s="505" t="s">
        <v>183</v>
      </c>
      <c r="BA13" s="505" t="s">
        <v>184</v>
      </c>
      <c r="BB13" s="505" t="s">
        <v>185</v>
      </c>
      <c r="BC13" s="505" t="s">
        <v>186</v>
      </c>
      <c r="BD13" s="505" t="s">
        <v>187</v>
      </c>
      <c r="BE13" s="505" t="s">
        <v>188</v>
      </c>
      <c r="BF13" s="505" t="s">
        <v>189</v>
      </c>
      <c r="BG13" s="505" t="s">
        <v>190</v>
      </c>
      <c r="BH13" s="505" t="s">
        <v>191</v>
      </c>
      <c r="BI13" s="505" t="s">
        <v>192</v>
      </c>
      <c r="BJ13" s="505" t="s">
        <v>193</v>
      </c>
      <c r="BK13" s="518"/>
    </row>
    <row r="14" spans="2:63" ht="16" thickBot="1" x14ac:dyDescent="0.4">
      <c r="B14" s="578" t="s">
        <v>325</v>
      </c>
      <c r="C14" s="530">
        <v>0.08</v>
      </c>
      <c r="F14" s="817"/>
      <c r="I14" s="515"/>
      <c r="J14" s="517"/>
      <c r="K14" s="586" t="s">
        <v>422</v>
      </c>
      <c r="L14" s="526" t="s">
        <v>397</v>
      </c>
      <c r="M14" s="527" t="s">
        <v>381</v>
      </c>
      <c r="N14" s="528" t="s">
        <v>382</v>
      </c>
      <c r="O14" s="528" t="s">
        <v>383</v>
      </c>
      <c r="P14" s="529" t="s">
        <v>384</v>
      </c>
      <c r="Q14" s="517"/>
      <c r="R14" s="517"/>
      <c r="S14" s="521"/>
      <c r="T14" s="517"/>
      <c r="U14" s="517"/>
      <c r="V14" s="911"/>
      <c r="W14" s="537"/>
      <c r="X14" s="537"/>
      <c r="Y14" s="537"/>
      <c r="Z14" s="537"/>
      <c r="AA14" s="537"/>
      <c r="AB14" s="537"/>
      <c r="AC14" s="537"/>
      <c r="AD14" s="537"/>
      <c r="AE14" s="537"/>
      <c r="AF14" s="537"/>
      <c r="AG14" s="537"/>
      <c r="AH14" s="486"/>
      <c r="AI14" s="518"/>
      <c r="AK14" s="522"/>
      <c r="AL14" s="517"/>
      <c r="AM14" s="586" t="s">
        <v>422</v>
      </c>
      <c r="AN14" s="496" t="s">
        <v>397</v>
      </c>
      <c r="AO14" s="506" t="s">
        <v>381</v>
      </c>
      <c r="AP14" s="507" t="s">
        <v>382</v>
      </c>
      <c r="AQ14" s="507" t="s">
        <v>383</v>
      </c>
      <c r="AR14" s="508" t="s">
        <v>384</v>
      </c>
      <c r="AS14" s="517"/>
      <c r="AT14" s="517"/>
      <c r="AU14" s="517"/>
      <c r="AV14" s="517"/>
      <c r="AW14" s="517"/>
      <c r="AX14" s="906"/>
      <c r="AY14" s="717">
        <v>183600</v>
      </c>
      <c r="AZ14" s="717">
        <v>183600</v>
      </c>
      <c r="BA14" s="717">
        <v>183600</v>
      </c>
      <c r="BB14" s="717">
        <v>183600</v>
      </c>
      <c r="BC14" s="717">
        <v>183600</v>
      </c>
      <c r="BD14" s="717">
        <v>183600</v>
      </c>
      <c r="BE14" s="717">
        <v>183600</v>
      </c>
      <c r="BF14" s="717">
        <v>183600</v>
      </c>
      <c r="BG14" s="717">
        <v>183600</v>
      </c>
      <c r="BH14" s="717">
        <v>183600</v>
      </c>
      <c r="BI14" s="717">
        <v>183600</v>
      </c>
      <c r="BJ14" s="717">
        <v>183600</v>
      </c>
      <c r="BK14" s="518"/>
    </row>
    <row r="15" spans="2:63" x14ac:dyDescent="0.35">
      <c r="B15" s="578" t="s">
        <v>426</v>
      </c>
      <c r="C15" s="530">
        <v>0.11</v>
      </c>
      <c r="I15" s="515"/>
      <c r="J15" s="517"/>
      <c r="K15" s="279">
        <v>12</v>
      </c>
      <c r="L15" s="680">
        <v>800</v>
      </c>
      <c r="M15" s="403">
        <v>5.0000000000000001E-3</v>
      </c>
      <c r="N15" s="403">
        <v>5.0000000000000001E-3</v>
      </c>
      <c r="O15" s="403">
        <v>5.0000000000000001E-3</v>
      </c>
      <c r="P15" s="530">
        <v>5.0000000000000001E-3</v>
      </c>
      <c r="Q15" s="517"/>
      <c r="R15" s="517"/>
      <c r="S15" s="927" t="s">
        <v>370</v>
      </c>
      <c r="T15" s="905" t="s">
        <v>78</v>
      </c>
      <c r="U15" s="905" t="s">
        <v>225</v>
      </c>
      <c r="V15" s="905" t="s">
        <v>329</v>
      </c>
      <c r="W15" s="132" t="s">
        <v>378</v>
      </c>
      <c r="X15" s="132" t="s">
        <v>378</v>
      </c>
      <c r="Y15" s="132" t="s">
        <v>378</v>
      </c>
      <c r="Z15" s="132" t="s">
        <v>378</v>
      </c>
      <c r="AA15" s="132" t="s">
        <v>378</v>
      </c>
      <c r="AB15" s="132" t="s">
        <v>378</v>
      </c>
      <c r="AC15" s="132" t="s">
        <v>378</v>
      </c>
      <c r="AD15" s="132" t="s">
        <v>378</v>
      </c>
      <c r="AE15" s="132" t="s">
        <v>378</v>
      </c>
      <c r="AF15" s="132" t="s">
        <v>378</v>
      </c>
      <c r="AG15" s="132" t="s">
        <v>378</v>
      </c>
      <c r="AH15" s="133" t="s">
        <v>378</v>
      </c>
      <c r="AI15" s="518"/>
      <c r="AK15" s="522"/>
      <c r="AL15" s="517"/>
      <c r="AM15" s="2">
        <v>12</v>
      </c>
      <c r="AN15" s="680">
        <v>850</v>
      </c>
      <c r="AO15" s="403">
        <v>5.0000000000000001E-3</v>
      </c>
      <c r="AP15" s="403">
        <v>5.0000000000000001E-3</v>
      </c>
      <c r="AQ15" s="403">
        <v>5.0000000000000001E-3</v>
      </c>
      <c r="AR15" s="403">
        <v>5.0000000000000001E-3</v>
      </c>
      <c r="AS15" s="517"/>
      <c r="AT15" s="517"/>
      <c r="AU15" s="517"/>
      <c r="AV15" s="909" t="s">
        <v>78</v>
      </c>
      <c r="AW15" s="909" t="s">
        <v>225</v>
      </c>
      <c r="AX15" s="909" t="s">
        <v>329</v>
      </c>
      <c r="AY15" s="3" t="s">
        <v>378</v>
      </c>
      <c r="AZ15" s="3" t="s">
        <v>378</v>
      </c>
      <c r="BA15" s="3" t="s">
        <v>378</v>
      </c>
      <c r="BB15" s="3" t="s">
        <v>378</v>
      </c>
      <c r="BC15" s="3" t="s">
        <v>378</v>
      </c>
      <c r="BD15" s="3" t="s">
        <v>378</v>
      </c>
      <c r="BE15" s="3" t="s">
        <v>378</v>
      </c>
      <c r="BF15" s="3" t="s">
        <v>378</v>
      </c>
      <c r="BG15" s="3" t="s">
        <v>378</v>
      </c>
      <c r="BH15" s="3" t="s">
        <v>378</v>
      </c>
      <c r="BI15" s="3" t="s">
        <v>378</v>
      </c>
      <c r="BJ15" s="3" t="s">
        <v>378</v>
      </c>
      <c r="BK15" s="518"/>
    </row>
    <row r="16" spans="2:63" x14ac:dyDescent="0.35">
      <c r="B16" s="578" t="s">
        <v>3</v>
      </c>
      <c r="C16" s="484" t="s">
        <v>33</v>
      </c>
      <c r="E16" s="242" t="s">
        <v>33</v>
      </c>
      <c r="F16" s="242" t="s">
        <v>14</v>
      </c>
      <c r="G16" s="627" t="s">
        <v>369</v>
      </c>
      <c r="I16" s="515"/>
      <c r="J16" s="517"/>
      <c r="K16" s="279">
        <v>24</v>
      </c>
      <c r="L16" s="680">
        <v>400</v>
      </c>
      <c r="M16" s="403">
        <v>5.0000000000000001E-3</v>
      </c>
      <c r="N16" s="403">
        <v>5.0000000000000001E-3</v>
      </c>
      <c r="O16" s="403">
        <v>5.0000000000000001E-3</v>
      </c>
      <c r="P16" s="530">
        <v>5.0000000000000001E-3</v>
      </c>
      <c r="Q16" s="517"/>
      <c r="R16" s="517"/>
      <c r="S16" s="931"/>
      <c r="T16" s="906"/>
      <c r="U16" s="906"/>
      <c r="V16" s="906"/>
      <c r="W16" s="510">
        <f t="shared" ref="W16:AH16" si="0">SUM(W18:W36)</f>
        <v>0</v>
      </c>
      <c r="X16" s="510">
        <f t="shared" si="0"/>
        <v>0</v>
      </c>
      <c r="Y16" s="510">
        <f t="shared" si="0"/>
        <v>0</v>
      </c>
      <c r="Z16" s="510">
        <f t="shared" si="0"/>
        <v>0</v>
      </c>
      <c r="AA16" s="510">
        <f t="shared" si="0"/>
        <v>0</v>
      </c>
      <c r="AB16" s="510">
        <f t="shared" si="0"/>
        <v>0</v>
      </c>
      <c r="AC16" s="510">
        <f>SUM(AC18:AC36)</f>
        <v>0</v>
      </c>
      <c r="AD16" s="510">
        <f>SUM(AD18:AD36)</f>
        <v>0</v>
      </c>
      <c r="AE16" s="510">
        <f>SUM(AE18:AE36)</f>
        <v>0</v>
      </c>
      <c r="AF16" s="510">
        <f>SUM(AF18:AF36)</f>
        <v>0</v>
      </c>
      <c r="AG16" s="510">
        <f>SUM(AG18:AG36)</f>
        <v>0</v>
      </c>
      <c r="AH16" s="538">
        <f t="shared" si="0"/>
        <v>0</v>
      </c>
      <c r="AI16" s="518"/>
      <c r="AK16" s="522"/>
      <c r="AL16" s="517"/>
      <c r="AM16" s="2">
        <v>24</v>
      </c>
      <c r="AN16" s="680">
        <v>567</v>
      </c>
      <c r="AO16" s="403">
        <v>5.0000000000000001E-3</v>
      </c>
      <c r="AP16" s="403">
        <v>5.0000000000000001E-3</v>
      </c>
      <c r="AQ16" s="403">
        <v>5.0000000000000001E-3</v>
      </c>
      <c r="AR16" s="403">
        <v>5.0000000000000001E-3</v>
      </c>
      <c r="AS16" s="517"/>
      <c r="AT16" s="517"/>
      <c r="AU16" s="517"/>
      <c r="AV16" s="909"/>
      <c r="AW16" s="909"/>
      <c r="AX16" s="909"/>
      <c r="AY16" s="510">
        <f t="shared" ref="AY16:BJ16" si="1">SUM(AY18:AY36)</f>
        <v>0.99999999999999989</v>
      </c>
      <c r="AZ16" s="510">
        <f t="shared" si="1"/>
        <v>0.99999999999999989</v>
      </c>
      <c r="BA16" s="510">
        <f t="shared" si="1"/>
        <v>0.99999999999999989</v>
      </c>
      <c r="BB16" s="510">
        <f t="shared" si="1"/>
        <v>0.99999999999999989</v>
      </c>
      <c r="BC16" s="510">
        <f t="shared" si="1"/>
        <v>0.99999999999999989</v>
      </c>
      <c r="BD16" s="510">
        <f t="shared" si="1"/>
        <v>0.99999999999999989</v>
      </c>
      <c r="BE16" s="510">
        <f t="shared" si="1"/>
        <v>0.99999999999999989</v>
      </c>
      <c r="BF16" s="510">
        <f t="shared" si="1"/>
        <v>0.99999999999999989</v>
      </c>
      <c r="BG16" s="510">
        <f t="shared" si="1"/>
        <v>0.99999999999999989</v>
      </c>
      <c r="BH16" s="510">
        <f t="shared" si="1"/>
        <v>0.99999999999999989</v>
      </c>
      <c r="BI16" s="510">
        <f t="shared" si="1"/>
        <v>0.99999999999999989</v>
      </c>
      <c r="BJ16" s="510">
        <f t="shared" si="1"/>
        <v>0.99999999999999989</v>
      </c>
      <c r="BK16" s="518"/>
    </row>
    <row r="17" spans="2:110" x14ac:dyDescent="0.35">
      <c r="B17" s="579" t="s">
        <v>547</v>
      </c>
      <c r="C17" s="682">
        <f t="shared" ref="C17:C24" si="2">IF($C$16=$E$16,E17,IF($C$16=$F$16,F17,IF($C$16=$G$16,G17)))</f>
        <v>302</v>
      </c>
      <c r="E17" s="813">
        <v>302</v>
      </c>
      <c r="F17" s="813">
        <v>367</v>
      </c>
      <c r="G17" s="813">
        <v>300</v>
      </c>
      <c r="I17" s="515"/>
      <c r="J17" s="517"/>
      <c r="K17" s="279">
        <v>6</v>
      </c>
      <c r="L17" s="680">
        <v>2920</v>
      </c>
      <c r="M17" s="403">
        <v>0.01</v>
      </c>
      <c r="N17" s="403">
        <v>0.01</v>
      </c>
      <c r="O17" s="403">
        <v>0.01</v>
      </c>
      <c r="P17" s="530">
        <v>0.01</v>
      </c>
      <c r="Q17" s="517"/>
      <c r="R17" s="517"/>
      <c r="S17" s="932"/>
      <c r="T17" s="907"/>
      <c r="U17" s="907"/>
      <c r="V17" s="907"/>
      <c r="W17" s="3" t="s">
        <v>404</v>
      </c>
      <c r="X17" s="3" t="s">
        <v>404</v>
      </c>
      <c r="Y17" s="3" t="s">
        <v>404</v>
      </c>
      <c r="Z17" s="3" t="s">
        <v>404</v>
      </c>
      <c r="AA17" s="3" t="s">
        <v>404</v>
      </c>
      <c r="AB17" s="3" t="s">
        <v>404</v>
      </c>
      <c r="AC17" s="3" t="s">
        <v>404</v>
      </c>
      <c r="AD17" s="3" t="s">
        <v>404</v>
      </c>
      <c r="AE17" s="3" t="s">
        <v>404</v>
      </c>
      <c r="AF17" s="3" t="s">
        <v>404</v>
      </c>
      <c r="AG17" s="3" t="s">
        <v>404</v>
      </c>
      <c r="AH17" s="539" t="s">
        <v>404</v>
      </c>
      <c r="AI17" s="518"/>
      <c r="AK17" s="522"/>
      <c r="AL17" s="517"/>
      <c r="AM17" s="2">
        <v>6</v>
      </c>
      <c r="AN17" s="680">
        <v>2920</v>
      </c>
      <c r="AO17" s="403">
        <v>0.01</v>
      </c>
      <c r="AP17" s="403">
        <v>0.01</v>
      </c>
      <c r="AQ17" s="403">
        <v>0.01</v>
      </c>
      <c r="AR17" s="403">
        <v>0.01</v>
      </c>
      <c r="AS17" s="517"/>
      <c r="AT17" s="517"/>
      <c r="AU17" s="517"/>
      <c r="AV17" s="909"/>
      <c r="AW17" s="909"/>
      <c r="AX17" s="909"/>
      <c r="AY17" s="3" t="s">
        <v>404</v>
      </c>
      <c r="AZ17" s="3" t="s">
        <v>404</v>
      </c>
      <c r="BA17" s="3" t="s">
        <v>404</v>
      </c>
      <c r="BB17" s="3" t="s">
        <v>404</v>
      </c>
      <c r="BC17" s="3" t="s">
        <v>404</v>
      </c>
      <c r="BD17" s="3" t="s">
        <v>404</v>
      </c>
      <c r="BE17" s="3" t="s">
        <v>404</v>
      </c>
      <c r="BF17" s="3" t="s">
        <v>404</v>
      </c>
      <c r="BG17" s="3" t="s">
        <v>404</v>
      </c>
      <c r="BH17" s="3" t="s">
        <v>404</v>
      </c>
      <c r="BI17" s="3" t="s">
        <v>404</v>
      </c>
      <c r="BJ17" s="3" t="s">
        <v>404</v>
      </c>
      <c r="BK17" s="518"/>
    </row>
    <row r="18" spans="2:110" ht="16" thickBot="1" x14ac:dyDescent="0.4">
      <c r="B18" s="579" t="s">
        <v>1</v>
      </c>
      <c r="C18" s="546">
        <f t="shared" si="2"/>
        <v>0.29499999999999998</v>
      </c>
      <c r="E18" s="628">
        <v>0.29499999999999998</v>
      </c>
      <c r="F18" s="628">
        <v>0.1</v>
      </c>
      <c r="G18" s="628">
        <v>0.25</v>
      </c>
      <c r="I18" s="515"/>
      <c r="J18" s="517"/>
      <c r="K18" s="280">
        <v>1</v>
      </c>
      <c r="L18" s="681">
        <v>0</v>
      </c>
      <c r="M18" s="531">
        <v>0</v>
      </c>
      <c r="N18" s="531">
        <v>0</v>
      </c>
      <c r="O18" s="531">
        <v>0</v>
      </c>
      <c r="P18" s="532">
        <v>0</v>
      </c>
      <c r="Q18" s="517"/>
      <c r="R18" s="517"/>
      <c r="S18" s="540">
        <v>1</v>
      </c>
      <c r="T18" s="513" t="s">
        <v>398</v>
      </c>
      <c r="U18" s="275">
        <v>800</v>
      </c>
      <c r="V18" s="275">
        <v>500</v>
      </c>
      <c r="W18" s="621"/>
      <c r="X18" s="621"/>
      <c r="Y18" s="621"/>
      <c r="Z18" s="621"/>
      <c r="AA18" s="621"/>
      <c r="AB18" s="621"/>
      <c r="AC18" s="621"/>
      <c r="AD18" s="621"/>
      <c r="AE18" s="621"/>
      <c r="AF18" s="621"/>
      <c r="AG18" s="621"/>
      <c r="AH18" s="621"/>
      <c r="AI18" s="518"/>
      <c r="AK18" s="522"/>
      <c r="AL18" s="517"/>
      <c r="AM18" s="2">
        <v>12</v>
      </c>
      <c r="AN18" s="680">
        <v>822</v>
      </c>
      <c r="AO18" s="403">
        <v>5.0000000000000001E-3</v>
      </c>
      <c r="AP18" s="403">
        <v>5.0000000000000001E-3</v>
      </c>
      <c r="AQ18" s="403">
        <v>5.0000000000000001E-3</v>
      </c>
      <c r="AR18" s="403">
        <v>5.0000000000000001E-3</v>
      </c>
      <c r="AS18" s="517"/>
      <c r="AT18" s="517"/>
      <c r="AU18" s="517"/>
      <c r="AV18" s="713" t="s">
        <v>413</v>
      </c>
      <c r="AW18" s="714">
        <v>850</v>
      </c>
      <c r="AX18" s="714">
        <v>425</v>
      </c>
      <c r="AY18" s="715">
        <v>0</v>
      </c>
      <c r="AZ18" s="715">
        <v>0</v>
      </c>
      <c r="BA18" s="715">
        <v>0</v>
      </c>
      <c r="BB18" s="715">
        <v>0</v>
      </c>
      <c r="BC18" s="715">
        <v>0</v>
      </c>
      <c r="BD18" s="715">
        <v>0</v>
      </c>
      <c r="BE18" s="715">
        <v>0</v>
      </c>
      <c r="BF18" s="715">
        <v>0</v>
      </c>
      <c r="BG18" s="715">
        <v>0</v>
      </c>
      <c r="BH18" s="715">
        <v>0</v>
      </c>
      <c r="BI18" s="715">
        <v>0</v>
      </c>
      <c r="BJ18" s="715">
        <v>0</v>
      </c>
      <c r="BK18" s="518"/>
    </row>
    <row r="19" spans="2:110" ht="16" thickBot="1" x14ac:dyDescent="0.4">
      <c r="B19" s="579" t="s">
        <v>2</v>
      </c>
      <c r="C19" s="546">
        <f t="shared" si="2"/>
        <v>0.18</v>
      </c>
      <c r="E19" s="628">
        <v>0.18</v>
      </c>
      <c r="F19" s="628">
        <v>0.1</v>
      </c>
      <c r="G19" s="628">
        <v>0.14940000000000001</v>
      </c>
      <c r="I19" s="515"/>
      <c r="J19" s="517"/>
      <c r="K19" s="517"/>
      <c r="L19" s="517"/>
      <c r="M19" s="517"/>
      <c r="N19" s="517"/>
      <c r="O19" s="517"/>
      <c r="P19" s="517"/>
      <c r="Q19" s="517"/>
      <c r="R19" s="517"/>
      <c r="S19" s="541">
        <v>0</v>
      </c>
      <c r="T19" s="514" t="s">
        <v>399</v>
      </c>
      <c r="U19" s="2">
        <v>800</v>
      </c>
      <c r="V19" s="2">
        <v>500</v>
      </c>
      <c r="W19" s="621"/>
      <c r="X19" s="621"/>
      <c r="Y19" s="621"/>
      <c r="Z19" s="621"/>
      <c r="AA19" s="621"/>
      <c r="AB19" s="621"/>
      <c r="AC19" s="621"/>
      <c r="AD19" s="621"/>
      <c r="AE19" s="621"/>
      <c r="AF19" s="621"/>
      <c r="AG19" s="621"/>
      <c r="AH19" s="621"/>
      <c r="AI19" s="518"/>
      <c r="AK19" s="522"/>
      <c r="AL19" s="517"/>
      <c r="AM19" s="517"/>
      <c r="AN19" s="517"/>
      <c r="AO19" s="517"/>
      <c r="AP19" s="517"/>
      <c r="AQ19" s="517"/>
      <c r="AR19" s="517"/>
      <c r="AS19" s="517"/>
      <c r="AT19" s="517"/>
      <c r="AU19" s="517"/>
      <c r="AV19" s="716" t="s">
        <v>414</v>
      </c>
      <c r="AW19" s="468">
        <v>850</v>
      </c>
      <c r="AX19" s="468">
        <v>440</v>
      </c>
      <c r="AY19" s="715">
        <v>0</v>
      </c>
      <c r="AZ19" s="715">
        <v>0</v>
      </c>
      <c r="BA19" s="715">
        <v>0</v>
      </c>
      <c r="BB19" s="715">
        <v>0</v>
      </c>
      <c r="BC19" s="715">
        <v>0</v>
      </c>
      <c r="BD19" s="715">
        <v>0</v>
      </c>
      <c r="BE19" s="715">
        <v>0</v>
      </c>
      <c r="BF19" s="715">
        <v>0</v>
      </c>
      <c r="BG19" s="715">
        <v>0</v>
      </c>
      <c r="BH19" s="715">
        <v>0</v>
      </c>
      <c r="BI19" s="715">
        <v>0</v>
      </c>
      <c r="BJ19" s="715">
        <v>0</v>
      </c>
      <c r="BK19" s="518"/>
    </row>
    <row r="20" spans="2:110" ht="31" customHeight="1" x14ac:dyDescent="0.35">
      <c r="B20" s="580" t="s">
        <v>158</v>
      </c>
      <c r="C20" s="546">
        <f t="shared" si="2"/>
        <v>0.3</v>
      </c>
      <c r="E20" s="628">
        <v>0.3</v>
      </c>
      <c r="F20" s="628">
        <v>0.15</v>
      </c>
      <c r="G20" s="628">
        <v>0.125</v>
      </c>
      <c r="I20" s="515"/>
      <c r="J20" s="517"/>
      <c r="K20" s="517"/>
      <c r="L20" s="921" t="s">
        <v>376</v>
      </c>
      <c r="M20" s="922"/>
      <c r="N20" s="922"/>
      <c r="O20" s="922"/>
      <c r="P20" s="923"/>
      <c r="Q20" s="517"/>
      <c r="R20" s="517"/>
      <c r="S20" s="541">
        <v>0</v>
      </c>
      <c r="T20" s="511" t="s">
        <v>400</v>
      </c>
      <c r="U20" s="2">
        <v>800</v>
      </c>
      <c r="V20" s="2">
        <v>500</v>
      </c>
      <c r="W20" s="621"/>
      <c r="X20" s="621"/>
      <c r="Y20" s="621"/>
      <c r="Z20" s="621"/>
      <c r="AA20" s="621"/>
      <c r="AB20" s="621"/>
      <c r="AC20" s="621"/>
      <c r="AD20" s="621"/>
      <c r="AE20" s="621"/>
      <c r="AF20" s="621"/>
      <c r="AG20" s="621"/>
      <c r="AH20" s="621"/>
      <c r="AI20" s="518"/>
      <c r="AK20" s="522"/>
      <c r="AL20" s="517"/>
      <c r="AM20" s="517"/>
      <c r="AN20" s="912" t="s">
        <v>379</v>
      </c>
      <c r="AO20" s="913"/>
      <c r="AP20" s="913"/>
      <c r="AQ20" s="913"/>
      <c r="AR20" s="914"/>
      <c r="AS20" s="517"/>
      <c r="AT20" s="517"/>
      <c r="AU20" s="517"/>
      <c r="AV20" s="467" t="s">
        <v>161</v>
      </c>
      <c r="AW20" s="468">
        <v>2920</v>
      </c>
      <c r="AX20" s="468">
        <v>1825</v>
      </c>
      <c r="AY20" s="715">
        <v>0</v>
      </c>
      <c r="AZ20" s="715">
        <v>0</v>
      </c>
      <c r="BA20" s="715">
        <v>0</v>
      </c>
      <c r="BB20" s="715">
        <v>0</v>
      </c>
      <c r="BC20" s="715">
        <v>0</v>
      </c>
      <c r="BD20" s="715">
        <v>0</v>
      </c>
      <c r="BE20" s="715">
        <v>0</v>
      </c>
      <c r="BF20" s="715">
        <v>0</v>
      </c>
      <c r="BG20" s="715">
        <v>0</v>
      </c>
      <c r="BH20" s="715">
        <v>0</v>
      </c>
      <c r="BI20" s="715">
        <v>0</v>
      </c>
      <c r="BJ20" s="715">
        <v>0</v>
      </c>
      <c r="BK20" s="518"/>
    </row>
    <row r="21" spans="2:110" ht="20.5" customHeight="1" x14ac:dyDescent="0.35">
      <c r="B21" s="580" t="s">
        <v>157</v>
      </c>
      <c r="C21" s="546">
        <f t="shared" si="2"/>
        <v>0.05</v>
      </c>
      <c r="E21" s="628">
        <v>0.05</v>
      </c>
      <c r="F21" s="628">
        <v>0.15</v>
      </c>
      <c r="G21" s="628">
        <v>0</v>
      </c>
      <c r="I21" s="515"/>
      <c r="J21" s="517"/>
      <c r="K21" s="517"/>
      <c r="L21" s="533" t="s">
        <v>397</v>
      </c>
      <c r="M21" s="639" t="s">
        <v>334</v>
      </c>
      <c r="N21" s="639" t="s">
        <v>335</v>
      </c>
      <c r="O21" s="639" t="s">
        <v>336</v>
      </c>
      <c r="P21" s="534" t="s">
        <v>337</v>
      </c>
      <c r="Q21" s="517"/>
      <c r="R21" s="517"/>
      <c r="S21" s="541">
        <v>1</v>
      </c>
      <c r="T21" s="514" t="s">
        <v>401</v>
      </c>
      <c r="U21" s="2">
        <v>400</v>
      </c>
      <c r="V21" s="2">
        <v>220</v>
      </c>
      <c r="W21" s="621"/>
      <c r="X21" s="621"/>
      <c r="Y21" s="621"/>
      <c r="Z21" s="621"/>
      <c r="AA21" s="621"/>
      <c r="AB21" s="621"/>
      <c r="AC21" s="621"/>
      <c r="AD21" s="621"/>
      <c r="AE21" s="621"/>
      <c r="AF21" s="621"/>
      <c r="AG21" s="621"/>
      <c r="AH21" s="621"/>
      <c r="AI21" s="518"/>
      <c r="AK21" s="522"/>
      <c r="AL21" s="517"/>
      <c r="AM21" s="517"/>
      <c r="AN21" s="496" t="s">
        <v>397</v>
      </c>
      <c r="AO21" s="496" t="s">
        <v>334</v>
      </c>
      <c r="AP21" s="496" t="s">
        <v>335</v>
      </c>
      <c r="AQ21" s="496" t="s">
        <v>336</v>
      </c>
      <c r="AR21" s="496" t="s">
        <v>419</v>
      </c>
      <c r="AS21" s="517"/>
      <c r="AT21" s="847"/>
      <c r="AU21" s="847"/>
      <c r="AV21" s="716" t="s">
        <v>162</v>
      </c>
      <c r="AW21" s="468">
        <v>2920</v>
      </c>
      <c r="AX21" s="468">
        <v>1825</v>
      </c>
      <c r="AY21" s="715">
        <v>0</v>
      </c>
      <c r="AZ21" s="715">
        <v>0</v>
      </c>
      <c r="BA21" s="715">
        <v>0</v>
      </c>
      <c r="BB21" s="715">
        <v>0</v>
      </c>
      <c r="BC21" s="715">
        <v>0</v>
      </c>
      <c r="BD21" s="715">
        <v>0</v>
      </c>
      <c r="BE21" s="715">
        <v>0</v>
      </c>
      <c r="BF21" s="715">
        <v>0</v>
      </c>
      <c r="BG21" s="715">
        <v>0</v>
      </c>
      <c r="BH21" s="715">
        <v>0</v>
      </c>
      <c r="BI21" s="715">
        <v>0</v>
      </c>
      <c r="BJ21" s="715">
        <v>0</v>
      </c>
      <c r="BK21" s="518"/>
    </row>
    <row r="22" spans="2:110" x14ac:dyDescent="0.35">
      <c r="B22" s="579" t="s">
        <v>326</v>
      </c>
      <c r="C22" s="682">
        <f t="shared" si="2"/>
        <v>0.72739049617235807</v>
      </c>
      <c r="E22" s="102">
        <f>(0.773545381540957+0.681235610803759)/2</f>
        <v>0.72739049617235807</v>
      </c>
      <c r="F22" s="102">
        <f>(0.783545781540957+0.681535610803759)/2</f>
        <v>0.73254069617235795</v>
      </c>
      <c r="G22" s="102">
        <v>2.0699999999999998</v>
      </c>
      <c r="I22" s="515"/>
      <c r="J22" s="517"/>
      <c r="K22" s="517"/>
      <c r="L22" s="535">
        <f>L15</f>
        <v>800</v>
      </c>
      <c r="M22" s="89"/>
      <c r="N22" s="89"/>
      <c r="O22" s="89"/>
      <c r="P22" s="484"/>
      <c r="Q22" s="517"/>
      <c r="R22" s="517"/>
      <c r="S22" s="541">
        <v>0</v>
      </c>
      <c r="T22" s="514" t="s">
        <v>402</v>
      </c>
      <c r="U22" s="2">
        <v>400</v>
      </c>
      <c r="V22" s="2">
        <v>220</v>
      </c>
      <c r="W22" s="621"/>
      <c r="X22" s="621"/>
      <c r="Y22" s="621"/>
      <c r="Z22" s="621"/>
      <c r="AA22" s="621"/>
      <c r="AB22" s="621"/>
      <c r="AC22" s="621"/>
      <c r="AD22" s="621"/>
      <c r="AE22" s="621"/>
      <c r="AF22" s="621"/>
      <c r="AG22" s="621"/>
      <c r="AH22" s="621"/>
      <c r="AI22" s="518"/>
      <c r="AK22" s="522"/>
      <c r="AL22" s="517"/>
      <c r="AM22" s="517"/>
      <c r="AN22" s="535">
        <f>AN15</f>
        <v>850</v>
      </c>
      <c r="AO22" s="711"/>
      <c r="AP22" s="711"/>
      <c r="AQ22" s="748"/>
      <c r="AR22" s="748"/>
      <c r="AS22" s="750"/>
      <c r="AT22" s="847"/>
      <c r="AU22" s="847"/>
      <c r="AV22" s="716" t="s">
        <v>415</v>
      </c>
      <c r="AW22" s="468">
        <v>567</v>
      </c>
      <c r="AX22" s="468">
        <v>340</v>
      </c>
      <c r="AY22" s="715">
        <v>0.5</v>
      </c>
      <c r="AZ22" s="715">
        <v>0.5</v>
      </c>
      <c r="BA22" s="715">
        <v>0.5</v>
      </c>
      <c r="BB22" s="715">
        <v>0.5</v>
      </c>
      <c r="BC22" s="715">
        <v>0.5</v>
      </c>
      <c r="BD22" s="715">
        <v>0.5</v>
      </c>
      <c r="BE22" s="715">
        <v>0.5</v>
      </c>
      <c r="BF22" s="715">
        <v>0.5</v>
      </c>
      <c r="BG22" s="715">
        <v>0.5</v>
      </c>
      <c r="BH22" s="715">
        <v>0.6</v>
      </c>
      <c r="BI22" s="715">
        <v>0.6</v>
      </c>
      <c r="BJ22" s="715">
        <v>0.6</v>
      </c>
      <c r="BK22" s="518"/>
    </row>
    <row r="23" spans="2:110" ht="15" customHeight="1" x14ac:dyDescent="0.35">
      <c r="B23" s="579" t="s">
        <v>327</v>
      </c>
      <c r="C23" s="682">
        <f t="shared" si="2"/>
        <v>0.5298324655605845</v>
      </c>
      <c r="E23" s="102">
        <f>(0.523244997599716+0.536419933521453)/2</f>
        <v>0.5298324655605845</v>
      </c>
      <c r="F23" s="102">
        <f>(0.543244997599716+0.539419933521453)/2</f>
        <v>0.54133246556058445</v>
      </c>
      <c r="G23" s="102">
        <v>1</v>
      </c>
      <c r="I23" s="515"/>
      <c r="J23" s="517"/>
      <c r="K23" s="517"/>
      <c r="L23" s="535">
        <f>L16</f>
        <v>400</v>
      </c>
      <c r="M23" s="89"/>
      <c r="N23" s="89"/>
      <c r="O23" s="89"/>
      <c r="P23" s="484"/>
      <c r="Q23" s="517"/>
      <c r="R23" s="517"/>
      <c r="S23" s="541">
        <v>0</v>
      </c>
      <c r="T23" s="514" t="s">
        <v>403</v>
      </c>
      <c r="U23" s="2">
        <v>400</v>
      </c>
      <c r="V23" s="2">
        <v>236</v>
      </c>
      <c r="W23" s="621"/>
      <c r="X23" s="621"/>
      <c r="Y23" s="621"/>
      <c r="Z23" s="621"/>
      <c r="AA23" s="621"/>
      <c r="AB23" s="621"/>
      <c r="AC23" s="621"/>
      <c r="AD23" s="621"/>
      <c r="AE23" s="621"/>
      <c r="AF23" s="621"/>
      <c r="AG23" s="621"/>
      <c r="AH23" s="621"/>
      <c r="AI23" s="518"/>
      <c r="AK23" s="522"/>
      <c r="AL23" s="517"/>
      <c r="AM23" s="517"/>
      <c r="AN23" s="535">
        <f t="shared" ref="AN23:AN24" si="3">AN16</f>
        <v>567</v>
      </c>
      <c r="AO23" s="711">
        <v>0.23</v>
      </c>
      <c r="AP23" s="711">
        <v>5.5E-2</v>
      </c>
      <c r="AQ23" s="748">
        <f>0.0213333333333333*24</f>
        <v>0.51199999999999923</v>
      </c>
      <c r="AR23" s="748">
        <v>3.3045977011494254E-2</v>
      </c>
      <c r="AS23" s="750"/>
      <c r="AT23" s="847"/>
      <c r="AU23" s="847"/>
      <c r="AV23" s="716" t="s">
        <v>416</v>
      </c>
      <c r="AW23" s="468">
        <v>567</v>
      </c>
      <c r="AX23" s="468">
        <v>340</v>
      </c>
      <c r="AY23" s="715">
        <v>0.2</v>
      </c>
      <c r="AZ23" s="715">
        <v>0.2</v>
      </c>
      <c r="BA23" s="715">
        <v>0.2</v>
      </c>
      <c r="BB23" s="715">
        <v>0.2</v>
      </c>
      <c r="BC23" s="715">
        <v>0.2</v>
      </c>
      <c r="BD23" s="715">
        <v>0.2</v>
      </c>
      <c r="BE23" s="715">
        <v>0.2</v>
      </c>
      <c r="BF23" s="715">
        <v>0.2</v>
      </c>
      <c r="BG23" s="715">
        <v>0.2</v>
      </c>
      <c r="BH23" s="715">
        <v>0.3</v>
      </c>
      <c r="BI23" s="715">
        <v>0.3</v>
      </c>
      <c r="BJ23" s="715">
        <v>0.3</v>
      </c>
      <c r="BK23" s="518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</row>
    <row r="24" spans="2:110" ht="20.5" customHeight="1" thickBot="1" x14ac:dyDescent="0.4">
      <c r="B24" s="581" t="s">
        <v>517</v>
      </c>
      <c r="C24" s="759">
        <f t="shared" si="2"/>
        <v>6.4600000000000005E-2</v>
      </c>
      <c r="E24" s="762">
        <v>6.4600000000000005E-2</v>
      </c>
      <c r="F24" s="761">
        <v>7.2599999999999998E-2</v>
      </c>
      <c r="G24" s="762">
        <v>0.06</v>
      </c>
      <c r="I24" s="515"/>
      <c r="J24" s="517"/>
      <c r="K24" s="517"/>
      <c r="L24" s="535">
        <f>L17</f>
        <v>2920</v>
      </c>
      <c r="M24" s="89"/>
      <c r="N24" s="89"/>
      <c r="O24" s="89"/>
      <c r="P24" s="484"/>
      <c r="Q24" s="517"/>
      <c r="R24" s="517"/>
      <c r="S24" s="541">
        <v>0</v>
      </c>
      <c r="T24" s="514" t="s">
        <v>159</v>
      </c>
      <c r="U24" s="2">
        <v>2920</v>
      </c>
      <c r="V24" s="2">
        <v>1825</v>
      </c>
      <c r="W24" s="6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313"/>
      <c r="AI24" s="518"/>
      <c r="AK24" s="522"/>
      <c r="AL24" s="517"/>
      <c r="AM24" s="517"/>
      <c r="AN24" s="535">
        <f t="shared" si="3"/>
        <v>2920</v>
      </c>
      <c r="AO24" s="89"/>
      <c r="AP24" s="89"/>
      <c r="AQ24" s="89"/>
      <c r="AR24" s="89"/>
      <c r="AS24" s="517"/>
      <c r="AT24" s="847"/>
      <c r="AU24" s="847"/>
      <c r="AV24" s="716" t="s">
        <v>417</v>
      </c>
      <c r="AW24" s="468">
        <v>822</v>
      </c>
      <c r="AX24" s="468">
        <v>500</v>
      </c>
      <c r="AY24" s="749">
        <v>0.2</v>
      </c>
      <c r="AZ24" s="749">
        <v>0.2</v>
      </c>
      <c r="BA24" s="749">
        <v>0.2</v>
      </c>
      <c r="BB24" s="749">
        <v>0.2</v>
      </c>
      <c r="BC24" s="749">
        <v>0.2</v>
      </c>
      <c r="BD24" s="749">
        <v>0.2</v>
      </c>
      <c r="BE24" s="749">
        <v>0.2</v>
      </c>
      <c r="BF24" s="749">
        <v>0.2</v>
      </c>
      <c r="BG24" s="749">
        <v>0.2</v>
      </c>
      <c r="BH24" s="749">
        <v>0.1</v>
      </c>
      <c r="BI24" s="749">
        <v>0.1</v>
      </c>
      <c r="BJ24" s="749">
        <v>0.1</v>
      </c>
      <c r="BK24" s="518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</row>
    <row r="25" spans="2:110" ht="15.5" customHeight="1" thickBot="1" x14ac:dyDescent="0.4">
      <c r="I25" s="515"/>
      <c r="J25" s="517"/>
      <c r="K25" s="517"/>
      <c r="L25" s="536">
        <f>L18</f>
        <v>0</v>
      </c>
      <c r="M25" s="537"/>
      <c r="N25" s="537"/>
      <c r="O25" s="537"/>
      <c r="P25" s="486"/>
      <c r="Q25" s="517"/>
      <c r="R25" s="517"/>
      <c r="S25" s="541">
        <v>0</v>
      </c>
      <c r="T25" s="511" t="s">
        <v>160</v>
      </c>
      <c r="U25" s="2">
        <v>2920</v>
      </c>
      <c r="V25" s="2">
        <v>1825</v>
      </c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313"/>
      <c r="AI25" s="518"/>
      <c r="AK25" s="522"/>
      <c r="AL25" s="517"/>
      <c r="AM25" s="517"/>
      <c r="AN25" s="536">
        <f>AN18</f>
        <v>822</v>
      </c>
      <c r="AO25" s="711">
        <v>0.24</v>
      </c>
      <c r="AP25" s="711">
        <v>7.0000000000000007E-2</v>
      </c>
      <c r="AQ25" s="748">
        <f>0.0426666666666667*12</f>
        <v>0.51200000000000045</v>
      </c>
      <c r="AR25" s="748">
        <v>3.3045977011494254E-2</v>
      </c>
      <c r="AS25" s="517"/>
      <c r="AT25" s="847"/>
      <c r="AU25" s="847"/>
      <c r="AV25" s="467" t="s">
        <v>418</v>
      </c>
      <c r="AW25" s="468">
        <v>822</v>
      </c>
      <c r="AX25" s="468">
        <v>500</v>
      </c>
      <c r="AY25" s="749">
        <v>0.1</v>
      </c>
      <c r="AZ25" s="749">
        <v>0.1</v>
      </c>
      <c r="BA25" s="749">
        <v>0.1</v>
      </c>
      <c r="BB25" s="749">
        <v>0.1</v>
      </c>
      <c r="BC25" s="749">
        <v>0.1</v>
      </c>
      <c r="BD25" s="749">
        <v>0.1</v>
      </c>
      <c r="BE25" s="749">
        <v>0.1</v>
      </c>
      <c r="BF25" s="749">
        <v>0.1</v>
      </c>
      <c r="BG25" s="749">
        <v>0.1</v>
      </c>
      <c r="BH25" s="749">
        <v>0</v>
      </c>
      <c r="BI25" s="749">
        <v>0</v>
      </c>
      <c r="BJ25" s="749">
        <v>0</v>
      </c>
      <c r="BK25" s="518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</row>
    <row r="26" spans="2:110" ht="16" thickBot="1" x14ac:dyDescent="0.4">
      <c r="I26" s="515"/>
      <c r="J26" s="517"/>
      <c r="K26" s="517"/>
      <c r="L26" s="517"/>
      <c r="M26" s="517"/>
      <c r="N26" s="517"/>
      <c r="O26" s="517"/>
      <c r="P26" s="517"/>
      <c r="Q26" s="517"/>
      <c r="R26" s="517"/>
      <c r="S26" s="693"/>
      <c r="T26" s="694"/>
      <c r="U26" s="695"/>
      <c r="V26" s="695"/>
      <c r="W26" s="695"/>
      <c r="X26" s="695"/>
      <c r="Y26" s="695"/>
      <c r="Z26" s="695"/>
      <c r="AA26" s="695"/>
      <c r="AB26" s="695"/>
      <c r="AC26" s="695"/>
      <c r="AD26" s="695"/>
      <c r="AE26" s="695"/>
      <c r="AF26" s="695"/>
      <c r="AG26" s="695"/>
      <c r="AH26" s="696"/>
      <c r="AI26" s="518"/>
      <c r="AK26" s="522"/>
      <c r="AL26" s="517"/>
      <c r="AM26" s="517"/>
      <c r="AN26" s="517"/>
      <c r="AO26" s="517"/>
      <c r="AP26" s="517"/>
      <c r="AQ26" s="517"/>
      <c r="AR26" s="517"/>
      <c r="AS26" s="517"/>
      <c r="AT26" s="517"/>
      <c r="AU26" s="517"/>
      <c r="AV26" s="704"/>
      <c r="AW26" s="695"/>
      <c r="AX26" s="695"/>
      <c r="AY26" s="695"/>
      <c r="AZ26" s="695"/>
      <c r="BA26" s="695"/>
      <c r="BB26" s="695"/>
      <c r="BC26" s="695"/>
      <c r="BD26" s="695"/>
      <c r="BE26" s="695"/>
      <c r="BF26" s="695"/>
      <c r="BG26" s="695"/>
      <c r="BH26" s="695"/>
      <c r="BI26" s="695"/>
      <c r="BJ26" s="695"/>
      <c r="BK26" s="518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</row>
    <row r="27" spans="2:110" x14ac:dyDescent="0.35">
      <c r="I27" s="515"/>
      <c r="J27" s="517"/>
      <c r="K27" s="517"/>
      <c r="L27" s="517"/>
      <c r="M27" s="924" t="s">
        <v>348</v>
      </c>
      <c r="N27" s="925"/>
      <c r="O27" s="925"/>
      <c r="P27" s="926"/>
      <c r="Q27" s="517"/>
      <c r="R27" s="517"/>
      <c r="S27" s="693"/>
      <c r="T27" s="697"/>
      <c r="U27" s="695"/>
      <c r="V27" s="695"/>
      <c r="W27" s="695"/>
      <c r="X27" s="695"/>
      <c r="Y27" s="695"/>
      <c r="Z27" s="695"/>
      <c r="AA27" s="695"/>
      <c r="AB27" s="695"/>
      <c r="AC27" s="695"/>
      <c r="AD27" s="695"/>
      <c r="AE27" s="695"/>
      <c r="AF27" s="695"/>
      <c r="AG27" s="695"/>
      <c r="AH27" s="696"/>
      <c r="AI27" s="518"/>
      <c r="AK27" s="522"/>
      <c r="AL27" s="517"/>
      <c r="AM27" s="517"/>
      <c r="AN27" s="517"/>
      <c r="AO27" s="909" t="s">
        <v>349</v>
      </c>
      <c r="AP27" s="909"/>
      <c r="AQ27" s="909"/>
      <c r="AR27" s="909"/>
      <c r="AS27" s="517"/>
      <c r="AT27" s="517"/>
      <c r="AU27" s="517"/>
      <c r="AV27" s="705"/>
      <c r="AW27" s="695"/>
      <c r="AX27" s="695"/>
      <c r="AY27" s="695"/>
      <c r="AZ27" s="695"/>
      <c r="BA27" s="695"/>
      <c r="BB27" s="695"/>
      <c r="BC27" s="695"/>
      <c r="BD27" s="695"/>
      <c r="BE27" s="695"/>
      <c r="BF27" s="695"/>
      <c r="BG27" s="695"/>
      <c r="BH27" s="695"/>
      <c r="BI27" s="695"/>
      <c r="BJ27" s="695"/>
      <c r="BK27" s="518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</row>
    <row r="28" spans="2:110" ht="30" x14ac:dyDescent="0.35">
      <c r="I28" s="515"/>
      <c r="J28" s="517"/>
      <c r="K28" s="517"/>
      <c r="L28" s="517"/>
      <c r="M28" s="506" t="s">
        <v>385</v>
      </c>
      <c r="N28" s="507" t="s">
        <v>386</v>
      </c>
      <c r="O28" s="507" t="s">
        <v>387</v>
      </c>
      <c r="P28" s="508" t="s">
        <v>388</v>
      </c>
      <c r="Q28" s="517"/>
      <c r="R28" s="517"/>
      <c r="S28" s="693"/>
      <c r="T28" s="697"/>
      <c r="U28" s="695"/>
      <c r="V28" s="695"/>
      <c r="W28" s="695"/>
      <c r="X28" s="695"/>
      <c r="Y28" s="695"/>
      <c r="Z28" s="695"/>
      <c r="AA28" s="695"/>
      <c r="AB28" s="695"/>
      <c r="AC28" s="695"/>
      <c r="AD28" s="695"/>
      <c r="AE28" s="695"/>
      <c r="AF28" s="695"/>
      <c r="AG28" s="695"/>
      <c r="AH28" s="696"/>
      <c r="AI28" s="518"/>
      <c r="AK28" s="522"/>
      <c r="AL28" s="517"/>
      <c r="AM28" s="517"/>
      <c r="AN28" s="517"/>
      <c r="AO28" s="507" t="s">
        <v>393</v>
      </c>
      <c r="AP28" s="507" t="s">
        <v>394</v>
      </c>
      <c r="AQ28" s="507" t="s">
        <v>395</v>
      </c>
      <c r="AR28" s="507" t="s">
        <v>396</v>
      </c>
      <c r="AS28" s="517"/>
      <c r="AT28" s="517"/>
      <c r="AU28" s="517"/>
      <c r="AV28" s="705"/>
      <c r="AW28" s="695"/>
      <c r="AX28" s="695"/>
      <c r="AY28" s="695"/>
      <c r="AZ28" s="695"/>
      <c r="BA28" s="695"/>
      <c r="BB28" s="695"/>
      <c r="BC28" s="695"/>
      <c r="BD28" s="695"/>
      <c r="BE28" s="695"/>
      <c r="BF28" s="695"/>
      <c r="BG28" s="695"/>
      <c r="BH28" s="695"/>
      <c r="BI28" s="695"/>
      <c r="BJ28" s="695"/>
      <c r="BK28" s="518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</row>
    <row r="29" spans="2:110" x14ac:dyDescent="0.35">
      <c r="I29" s="515"/>
      <c r="J29" s="517"/>
      <c r="K29" s="517"/>
      <c r="L29" s="517"/>
      <c r="M29" s="483">
        <v>140</v>
      </c>
      <c r="N29" s="89">
        <v>145</v>
      </c>
      <c r="O29" s="89">
        <v>130</v>
      </c>
      <c r="P29" s="484">
        <v>125</v>
      </c>
      <c r="Q29" s="517"/>
      <c r="R29" s="517"/>
      <c r="S29" s="693"/>
      <c r="T29" s="694"/>
      <c r="U29" s="695"/>
      <c r="V29" s="695"/>
      <c r="W29" s="695"/>
      <c r="X29" s="695"/>
      <c r="Y29" s="695"/>
      <c r="Z29" s="695"/>
      <c r="AA29" s="695"/>
      <c r="AB29" s="695"/>
      <c r="AC29" s="695"/>
      <c r="AD29" s="695"/>
      <c r="AE29" s="695"/>
      <c r="AF29" s="695"/>
      <c r="AG29" s="695"/>
      <c r="AH29" s="696"/>
      <c r="AI29" s="518"/>
      <c r="AK29" s="522"/>
      <c r="AL29" s="517"/>
      <c r="AM29" s="517"/>
      <c r="AN29" s="517"/>
      <c r="AO29" s="712">
        <v>0.45</v>
      </c>
      <c r="AP29" s="712">
        <v>0.45</v>
      </c>
      <c r="AQ29" s="712">
        <v>0.45</v>
      </c>
      <c r="AR29" s="712">
        <v>0.45</v>
      </c>
      <c r="AS29" s="517"/>
      <c r="AT29" s="517"/>
      <c r="AU29" s="517"/>
      <c r="AV29" s="704"/>
      <c r="AW29" s="695"/>
      <c r="AX29" s="695"/>
      <c r="AY29" s="695"/>
      <c r="AZ29" s="695"/>
      <c r="BA29" s="695"/>
      <c r="BB29" s="695"/>
      <c r="BC29" s="695"/>
      <c r="BD29" s="695"/>
      <c r="BE29" s="695"/>
      <c r="BF29" s="695"/>
      <c r="BG29" s="695"/>
      <c r="BH29" s="695"/>
      <c r="BI29" s="695"/>
      <c r="BJ29" s="695"/>
      <c r="BK29" s="518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</row>
    <row r="30" spans="2:110" ht="30" x14ac:dyDescent="0.35">
      <c r="I30" s="515"/>
      <c r="J30" s="517"/>
      <c r="K30" s="517"/>
      <c r="L30" s="517"/>
      <c r="M30" s="506" t="s">
        <v>389</v>
      </c>
      <c r="N30" s="507" t="s">
        <v>390</v>
      </c>
      <c r="O30" s="507" t="s">
        <v>391</v>
      </c>
      <c r="P30" s="508" t="s">
        <v>392</v>
      </c>
      <c r="Q30" s="517"/>
      <c r="R30" s="517"/>
      <c r="S30" s="693"/>
      <c r="T30" s="697"/>
      <c r="U30" s="695"/>
      <c r="V30" s="695"/>
      <c r="W30" s="695"/>
      <c r="X30" s="695"/>
      <c r="Y30" s="695"/>
      <c r="Z30" s="695"/>
      <c r="AA30" s="695"/>
      <c r="AB30" s="695"/>
      <c r="AC30" s="695"/>
      <c r="AD30" s="695"/>
      <c r="AE30" s="695"/>
      <c r="AF30" s="695"/>
      <c r="AG30" s="695"/>
      <c r="AH30" s="696"/>
      <c r="AI30" s="518"/>
      <c r="AK30" s="522"/>
      <c r="AL30" s="517"/>
      <c r="AM30" s="517"/>
      <c r="AN30" s="517"/>
      <c r="AO30" s="506" t="s">
        <v>389</v>
      </c>
      <c r="AP30" s="507" t="s">
        <v>390</v>
      </c>
      <c r="AQ30" s="507" t="s">
        <v>391</v>
      </c>
      <c r="AR30" s="508" t="s">
        <v>392</v>
      </c>
      <c r="AS30" s="517"/>
      <c r="AT30" s="517"/>
      <c r="AU30" s="517"/>
      <c r="AV30" s="705"/>
      <c r="AW30" s="695"/>
      <c r="AX30" s="695"/>
      <c r="AY30" s="695"/>
      <c r="AZ30" s="695"/>
      <c r="BA30" s="695"/>
      <c r="BB30" s="695"/>
      <c r="BC30" s="695"/>
      <c r="BD30" s="695"/>
      <c r="BE30" s="695"/>
      <c r="BF30" s="695"/>
      <c r="BG30" s="695"/>
      <c r="BH30" s="695"/>
      <c r="BI30" s="695"/>
      <c r="BJ30" s="695"/>
      <c r="BK30" s="518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</row>
    <row r="31" spans="2:110" ht="16" thickBot="1" x14ac:dyDescent="0.4">
      <c r="I31" s="515"/>
      <c r="J31" s="517"/>
      <c r="K31" s="517"/>
      <c r="L31" s="517"/>
      <c r="M31" s="485"/>
      <c r="N31" s="537"/>
      <c r="O31" s="537"/>
      <c r="P31" s="486"/>
      <c r="Q31" s="517"/>
      <c r="R31" s="517"/>
      <c r="S31" s="698"/>
      <c r="T31" s="699"/>
      <c r="U31" s="695"/>
      <c r="V31" s="695"/>
      <c r="W31" s="695"/>
      <c r="X31" s="695"/>
      <c r="Y31" s="695"/>
      <c r="Z31" s="695"/>
      <c r="AA31" s="695"/>
      <c r="AB31" s="695"/>
      <c r="AC31" s="695"/>
      <c r="AD31" s="695"/>
      <c r="AE31" s="695"/>
      <c r="AF31" s="695"/>
      <c r="AG31" s="695"/>
      <c r="AH31" s="696"/>
      <c r="AI31" s="518"/>
      <c r="AK31" s="522"/>
      <c r="AL31" s="517"/>
      <c r="AM31" s="525"/>
      <c r="AN31" s="525"/>
      <c r="AO31" s="711">
        <v>0.45</v>
      </c>
      <c r="AP31" s="711">
        <v>0.45</v>
      </c>
      <c r="AQ31" s="711">
        <v>0.45</v>
      </c>
      <c r="AR31" s="711">
        <v>0.45</v>
      </c>
      <c r="AS31" s="517"/>
      <c r="AT31" s="517"/>
      <c r="AU31" s="517"/>
      <c r="AV31" s="706"/>
      <c r="AW31" s="695"/>
      <c r="AX31" s="695"/>
      <c r="AY31" s="695"/>
      <c r="AZ31" s="695"/>
      <c r="BA31" s="695"/>
      <c r="BB31" s="695"/>
      <c r="BC31" s="695"/>
      <c r="BD31" s="695"/>
      <c r="BE31" s="695"/>
      <c r="BF31" s="695"/>
      <c r="BG31" s="695"/>
      <c r="BH31" s="695"/>
      <c r="BI31" s="695"/>
      <c r="BJ31" s="695"/>
      <c r="BK31" s="518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</row>
    <row r="32" spans="2:110" ht="16" thickBot="1" x14ac:dyDescent="0.4">
      <c r="I32" s="515"/>
      <c r="J32" s="517"/>
      <c r="K32" s="521"/>
      <c r="L32" s="517"/>
      <c r="M32" s="517"/>
      <c r="N32" s="517"/>
      <c r="O32" s="517"/>
      <c r="P32" s="517"/>
      <c r="Q32" s="517"/>
      <c r="R32" s="517"/>
      <c r="S32" s="698"/>
      <c r="T32" s="699"/>
      <c r="U32" s="695"/>
      <c r="V32" s="695"/>
      <c r="W32" s="695"/>
      <c r="X32" s="695"/>
      <c r="Y32" s="695"/>
      <c r="Z32" s="695"/>
      <c r="AA32" s="695"/>
      <c r="AB32" s="695"/>
      <c r="AC32" s="695"/>
      <c r="AD32" s="695"/>
      <c r="AE32" s="695"/>
      <c r="AF32" s="695"/>
      <c r="AG32" s="695"/>
      <c r="AH32" s="696"/>
      <c r="AI32" s="518"/>
      <c r="AK32" s="522"/>
      <c r="AL32" s="517"/>
      <c r="AM32" s="525"/>
      <c r="AN32" s="525"/>
      <c r="AO32" s="525"/>
      <c r="AP32" s="517"/>
      <c r="AQ32" s="517"/>
      <c r="AR32" s="517"/>
      <c r="AS32" s="517"/>
      <c r="AT32" s="517"/>
      <c r="AU32" s="517"/>
      <c r="AV32" s="706"/>
      <c r="AW32" s="695"/>
      <c r="AX32" s="695"/>
      <c r="AY32" s="695"/>
      <c r="AZ32" s="695"/>
      <c r="BA32" s="695"/>
      <c r="BB32" s="695"/>
      <c r="BC32" s="695"/>
      <c r="BD32" s="695"/>
      <c r="BE32" s="695"/>
      <c r="BF32" s="695"/>
      <c r="BG32" s="695"/>
      <c r="BH32" s="695"/>
      <c r="BI32" s="695"/>
      <c r="BJ32" s="695"/>
      <c r="BK32" s="518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</row>
    <row r="33" spans="9:110" x14ac:dyDescent="0.35">
      <c r="I33" s="515"/>
      <c r="J33" s="517"/>
      <c r="K33" s="521"/>
      <c r="L33" s="517"/>
      <c r="M33" s="517"/>
      <c r="N33" s="890" t="s">
        <v>375</v>
      </c>
      <c r="O33" s="891"/>
      <c r="P33" s="892"/>
      <c r="Q33" s="517"/>
      <c r="R33" s="517"/>
      <c r="S33" s="698"/>
      <c r="T33" s="699"/>
      <c r="U33" s="695"/>
      <c r="V33" s="695"/>
      <c r="W33" s="695"/>
      <c r="X33" s="695"/>
      <c r="Y33" s="695"/>
      <c r="Z33" s="695"/>
      <c r="AA33" s="695"/>
      <c r="AB33" s="695"/>
      <c r="AC33" s="695"/>
      <c r="AD33" s="695"/>
      <c r="AE33" s="695"/>
      <c r="AF33" s="695"/>
      <c r="AG33" s="695"/>
      <c r="AH33" s="696"/>
      <c r="AI33" s="518"/>
      <c r="AK33" s="522"/>
      <c r="AL33" s="517"/>
      <c r="AM33" s="517"/>
      <c r="AN33" s="517"/>
      <c r="AO33" s="517"/>
      <c r="AP33" s="890" t="s">
        <v>375</v>
      </c>
      <c r="AQ33" s="891"/>
      <c r="AR33" s="892"/>
      <c r="AS33" s="517"/>
      <c r="AT33" s="517"/>
      <c r="AU33" s="517"/>
      <c r="AV33" s="706"/>
      <c r="AW33" s="695"/>
      <c r="AX33" s="695"/>
      <c r="AY33" s="695"/>
      <c r="AZ33" s="695"/>
      <c r="BA33" s="695"/>
      <c r="BB33" s="695"/>
      <c r="BC33" s="695"/>
      <c r="BD33" s="695"/>
      <c r="BE33" s="695"/>
      <c r="BF33" s="695"/>
      <c r="BG33" s="695"/>
      <c r="BH33" s="695"/>
      <c r="BI33" s="695"/>
      <c r="BJ33" s="695"/>
      <c r="BK33" s="518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</row>
    <row r="34" spans="9:110" ht="30" x14ac:dyDescent="0.35">
      <c r="I34" s="515"/>
      <c r="J34" s="517"/>
      <c r="K34" s="521"/>
      <c r="L34" s="517"/>
      <c r="M34" s="517"/>
      <c r="N34" s="495" t="s">
        <v>374</v>
      </c>
      <c r="O34" s="494" t="s">
        <v>363</v>
      </c>
      <c r="P34" s="493" t="s">
        <v>364</v>
      </c>
      <c r="Q34" s="517"/>
      <c r="R34" s="517"/>
      <c r="S34" s="698"/>
      <c r="T34" s="699"/>
      <c r="U34" s="695"/>
      <c r="V34" s="695"/>
      <c r="W34" s="695"/>
      <c r="X34" s="695"/>
      <c r="Y34" s="695"/>
      <c r="Z34" s="695"/>
      <c r="AA34" s="695"/>
      <c r="AB34" s="695"/>
      <c r="AC34" s="695"/>
      <c r="AD34" s="695"/>
      <c r="AE34" s="695"/>
      <c r="AF34" s="695"/>
      <c r="AG34" s="695"/>
      <c r="AH34" s="696"/>
      <c r="AI34" s="518"/>
      <c r="AK34" s="522"/>
      <c r="AL34" s="517"/>
      <c r="AM34" s="517"/>
      <c r="AN34" s="517"/>
      <c r="AO34" s="517"/>
      <c r="AP34" s="495" t="s">
        <v>374</v>
      </c>
      <c r="AQ34" s="494" t="s">
        <v>363</v>
      </c>
      <c r="AR34" s="493" t="s">
        <v>364</v>
      </c>
      <c r="AS34" s="517"/>
      <c r="AT34" s="517"/>
      <c r="AU34" s="517"/>
      <c r="AV34" s="707"/>
      <c r="AW34" s="695"/>
      <c r="AX34" s="695"/>
      <c r="AY34" s="695"/>
      <c r="AZ34" s="695"/>
      <c r="BA34" s="695"/>
      <c r="BB34" s="695"/>
      <c r="BC34" s="695"/>
      <c r="BD34" s="695"/>
      <c r="BE34" s="695"/>
      <c r="BF34" s="695"/>
      <c r="BG34" s="695"/>
      <c r="BH34" s="695"/>
      <c r="BI34" s="695"/>
      <c r="BJ34" s="695"/>
      <c r="BK34" s="518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</row>
    <row r="35" spans="9:110" ht="16" thickBot="1" x14ac:dyDescent="0.4">
      <c r="I35" s="515"/>
      <c r="J35" s="517"/>
      <c r="K35" s="517"/>
      <c r="L35" s="517"/>
      <c r="M35" s="517"/>
      <c r="N35" s="708">
        <v>1.4367816091954025E-2</v>
      </c>
      <c r="O35" s="709">
        <v>5.459770114942529E-2</v>
      </c>
      <c r="P35" s="710">
        <v>0.37</v>
      </c>
      <c r="Q35" s="517"/>
      <c r="R35" s="517"/>
      <c r="S35" s="698"/>
      <c r="T35" s="699"/>
      <c r="U35" s="695"/>
      <c r="V35" s="695"/>
      <c r="W35" s="695"/>
      <c r="X35" s="695"/>
      <c r="Y35" s="695"/>
      <c r="Z35" s="695"/>
      <c r="AA35" s="695"/>
      <c r="AB35" s="695"/>
      <c r="AC35" s="695"/>
      <c r="AD35" s="695"/>
      <c r="AE35" s="695"/>
      <c r="AF35" s="695"/>
      <c r="AG35" s="695"/>
      <c r="AH35" s="696"/>
      <c r="AI35" s="518"/>
      <c r="AK35" s="522"/>
      <c r="AL35" s="517"/>
      <c r="AM35" s="517"/>
      <c r="AN35" s="521"/>
      <c r="AO35" s="521"/>
      <c r="AP35" s="561">
        <f>N35</f>
        <v>1.4367816091954025E-2</v>
      </c>
      <c r="AQ35" s="561">
        <f>O35</f>
        <v>5.459770114942529E-2</v>
      </c>
      <c r="AR35" s="747">
        <f>P35</f>
        <v>0.37</v>
      </c>
      <c r="AS35" s="517"/>
      <c r="AT35" s="517"/>
      <c r="AU35" s="517"/>
      <c r="AV35" s="706"/>
      <c r="AW35" s="695"/>
      <c r="AX35" s="695"/>
      <c r="AY35" s="695"/>
      <c r="AZ35" s="695"/>
      <c r="BA35" s="695"/>
      <c r="BB35" s="695"/>
      <c r="BC35" s="695"/>
      <c r="BD35" s="695"/>
      <c r="BE35" s="695"/>
      <c r="BF35" s="695"/>
      <c r="BG35" s="695"/>
      <c r="BH35" s="695"/>
      <c r="BI35" s="695"/>
      <c r="BJ35" s="695"/>
      <c r="BK35" s="518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</row>
    <row r="36" spans="9:110" ht="16" thickBot="1" x14ac:dyDescent="0.4">
      <c r="I36" s="515"/>
      <c r="J36" s="517"/>
      <c r="K36" s="517"/>
      <c r="L36" s="517"/>
      <c r="M36" s="517"/>
      <c r="N36" s="517"/>
      <c r="O36" s="517"/>
      <c r="P36" s="517"/>
      <c r="Q36" s="517"/>
      <c r="R36" s="517"/>
      <c r="S36" s="700"/>
      <c r="T36" s="701"/>
      <c r="U36" s="702"/>
      <c r="V36" s="702"/>
      <c r="W36" s="702"/>
      <c r="X36" s="702"/>
      <c r="Y36" s="702"/>
      <c r="Z36" s="702"/>
      <c r="AA36" s="702"/>
      <c r="AB36" s="702"/>
      <c r="AC36" s="702"/>
      <c r="AD36" s="702"/>
      <c r="AE36" s="702"/>
      <c r="AF36" s="702"/>
      <c r="AG36" s="702"/>
      <c r="AH36" s="703"/>
      <c r="AI36" s="518"/>
      <c r="AK36" s="522"/>
      <c r="AL36" s="517"/>
      <c r="AM36" s="517"/>
      <c r="AN36" s="521"/>
      <c r="AO36" s="521"/>
      <c r="AP36" s="517"/>
      <c r="AQ36" s="517"/>
      <c r="AR36" s="517"/>
      <c r="AS36" s="422">
        <f>AQ37+AR35</f>
        <v>0.48982570806100217</v>
      </c>
      <c r="AT36" s="517"/>
      <c r="AU36" s="517"/>
      <c r="AV36" s="706"/>
      <c r="AW36" s="695"/>
      <c r="AX36" s="695"/>
      <c r="AY36" s="695"/>
      <c r="AZ36" s="695"/>
      <c r="BA36" s="695"/>
      <c r="BB36" s="695"/>
      <c r="BC36" s="695"/>
      <c r="BD36" s="695"/>
      <c r="BE36" s="695"/>
      <c r="BF36" s="695"/>
      <c r="BG36" s="695"/>
      <c r="BH36" s="695"/>
      <c r="BI36" s="695"/>
      <c r="BJ36" s="695"/>
      <c r="BK36" s="518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</row>
    <row r="37" spans="9:110" x14ac:dyDescent="0.35">
      <c r="I37" s="515"/>
      <c r="J37" s="517"/>
      <c r="K37" s="517"/>
      <c r="L37" s="517"/>
      <c r="M37" s="517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17"/>
      <c r="Y37" s="517"/>
      <c r="Z37" s="517"/>
      <c r="AA37" s="517"/>
      <c r="AB37" s="517"/>
      <c r="AC37" s="517"/>
      <c r="AD37" s="517"/>
      <c r="AE37" s="517"/>
      <c r="AF37" s="517"/>
      <c r="AG37" s="517"/>
      <c r="AH37" s="517"/>
      <c r="AI37" s="518"/>
      <c r="AK37" s="522"/>
      <c r="AL37" s="517"/>
      <c r="AM37" s="517"/>
      <c r="AN37" s="521"/>
      <c r="AO37" s="521"/>
      <c r="AP37" s="517"/>
      <c r="AQ37" s="422">
        <f>22000/AY14</f>
        <v>0.11982570806100218</v>
      </c>
      <c r="AR37" s="517"/>
      <c r="AS37" s="517"/>
      <c r="AT37" s="517"/>
      <c r="AU37" s="517"/>
      <c r="AV37" s="517"/>
      <c r="AW37" s="517"/>
      <c r="AX37" s="517"/>
      <c r="AY37" s="517"/>
      <c r="AZ37" s="517"/>
      <c r="BA37" s="517"/>
      <c r="BB37" s="517"/>
      <c r="BC37" s="517"/>
      <c r="BD37" s="517"/>
      <c r="BE37" s="517"/>
      <c r="BF37" s="517"/>
      <c r="BG37" s="517"/>
      <c r="BH37" s="517"/>
      <c r="BI37" s="517"/>
      <c r="BJ37" s="517"/>
      <c r="BK37" s="518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</row>
    <row r="38" spans="9:110" x14ac:dyDescent="0.35">
      <c r="I38" s="515"/>
      <c r="J38" s="517"/>
      <c r="K38" s="517"/>
      <c r="L38" s="517"/>
      <c r="M38" s="517"/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  <c r="AA38" s="517"/>
      <c r="AB38" s="517"/>
      <c r="AC38" s="517"/>
      <c r="AD38" s="517"/>
      <c r="AE38" s="517"/>
      <c r="AF38" s="517"/>
      <c r="AG38" s="517"/>
      <c r="AH38" s="517"/>
      <c r="AI38" s="518"/>
      <c r="AK38" s="522"/>
      <c r="AL38" s="517"/>
      <c r="AM38" s="517"/>
      <c r="AN38" s="521"/>
      <c r="AO38" s="521"/>
      <c r="AP38" s="517"/>
      <c r="AQ38" s="517"/>
      <c r="AR38" s="517"/>
      <c r="AS38" s="517"/>
      <c r="AT38" s="517"/>
      <c r="AU38" s="517"/>
      <c r="AV38" s="517"/>
      <c r="AW38" s="517"/>
      <c r="AX38" s="517"/>
      <c r="AY38" s="517"/>
      <c r="AZ38" s="517"/>
      <c r="BA38" s="517"/>
      <c r="BB38" s="517"/>
      <c r="BC38" s="517"/>
      <c r="BD38" s="517"/>
      <c r="BE38" s="517"/>
      <c r="BF38" s="517"/>
      <c r="BG38" s="517"/>
      <c r="BH38" s="517"/>
      <c r="BI38" s="517"/>
      <c r="BJ38" s="517"/>
      <c r="BK38" s="518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</row>
    <row r="39" spans="9:110" x14ac:dyDescent="0.35">
      <c r="I39" s="515"/>
      <c r="J39" s="517"/>
      <c r="K39" s="517"/>
      <c r="L39" s="517"/>
      <c r="M39" s="517"/>
      <c r="N39" s="517"/>
      <c r="O39" s="517"/>
      <c r="P39" s="517"/>
      <c r="Q39" s="517"/>
      <c r="R39" s="517"/>
      <c r="S39" s="517"/>
      <c r="T39" s="517"/>
      <c r="U39" s="517"/>
      <c r="V39" s="517"/>
      <c r="W39" s="517"/>
      <c r="X39" s="517"/>
      <c r="Y39" s="517"/>
      <c r="Z39" s="517"/>
      <c r="AA39" s="517"/>
      <c r="AB39" s="517"/>
      <c r="AC39" s="517"/>
      <c r="AD39" s="517"/>
      <c r="AE39" s="517"/>
      <c r="AF39" s="517"/>
      <c r="AG39" s="517"/>
      <c r="AH39" s="517"/>
      <c r="AI39" s="518"/>
      <c r="AK39" s="522"/>
      <c r="AL39" s="517"/>
      <c r="AM39" s="517"/>
      <c r="AN39" s="750"/>
      <c r="AO39" s="521"/>
      <c r="AP39" s="517"/>
      <c r="AQ39" s="517"/>
      <c r="AR39" s="517"/>
      <c r="AS39" s="517"/>
      <c r="AT39" s="517"/>
      <c r="AU39" s="517"/>
      <c r="AV39" s="517"/>
      <c r="AW39" s="517"/>
      <c r="AX39" s="517"/>
      <c r="AY39" s="517"/>
      <c r="AZ39" s="517"/>
      <c r="BA39" s="517"/>
      <c r="BB39" s="517"/>
      <c r="BC39" s="517"/>
      <c r="BD39" s="517"/>
      <c r="BE39" s="517"/>
      <c r="BF39" s="517"/>
      <c r="BG39" s="517"/>
      <c r="BH39" s="517"/>
      <c r="BI39" s="517"/>
      <c r="BJ39" s="517"/>
      <c r="BK39" s="518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</row>
    <row r="40" spans="9:110" x14ac:dyDescent="0.35">
      <c r="I40" s="515"/>
      <c r="J40" s="517"/>
      <c r="K40" s="517"/>
      <c r="L40" s="517"/>
      <c r="M40" s="517"/>
      <c r="N40" s="517"/>
      <c r="O40" s="517"/>
      <c r="P40" s="517"/>
      <c r="Q40" s="517"/>
      <c r="R40" s="517"/>
      <c r="S40" s="517"/>
      <c r="T40" s="517"/>
      <c r="U40" s="517"/>
      <c r="V40" s="517"/>
      <c r="W40" s="517"/>
      <c r="X40" s="517"/>
      <c r="Y40" s="517"/>
      <c r="Z40" s="517"/>
      <c r="AA40" s="517"/>
      <c r="AB40" s="517"/>
      <c r="AC40" s="517"/>
      <c r="AD40" s="517"/>
      <c r="AE40" s="517"/>
      <c r="AF40" s="517"/>
      <c r="AG40" s="517"/>
      <c r="AH40" s="517"/>
      <c r="AI40" s="518"/>
      <c r="AK40" s="522"/>
      <c r="AL40" s="517"/>
      <c r="AM40" s="517"/>
      <c r="AN40" s="750"/>
      <c r="AO40" s="521"/>
      <c r="AP40" s="517"/>
      <c r="AQ40" s="517"/>
      <c r="AR40" s="517"/>
      <c r="AS40" s="517"/>
      <c r="AT40" s="517"/>
      <c r="AU40" s="517"/>
      <c r="AV40" s="517"/>
      <c r="AW40" s="517"/>
      <c r="AX40" s="517"/>
      <c r="AY40" s="517"/>
      <c r="AZ40" s="517"/>
      <c r="BA40" s="517"/>
      <c r="BB40" s="517"/>
      <c r="BC40" s="517"/>
      <c r="BD40" s="517"/>
      <c r="BE40" s="517"/>
      <c r="BF40" s="517"/>
      <c r="BG40" s="517"/>
      <c r="BH40" s="517"/>
      <c r="BI40" s="517"/>
      <c r="BJ40" s="517"/>
      <c r="BK40" s="518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</row>
    <row r="41" spans="9:110" ht="16" thickBot="1" x14ac:dyDescent="0.4">
      <c r="I41" s="515"/>
      <c r="J41" s="517"/>
      <c r="K41" s="517"/>
      <c r="L41" s="517"/>
      <c r="M41" s="517"/>
      <c r="N41" s="517"/>
      <c r="O41" s="517"/>
      <c r="P41" s="517"/>
      <c r="Q41" s="517"/>
      <c r="R41" s="517"/>
      <c r="S41" s="517"/>
      <c r="T41" s="517"/>
      <c r="U41" s="517"/>
      <c r="V41" s="517"/>
      <c r="W41" s="517"/>
      <c r="X41" s="517"/>
      <c r="Y41" s="517"/>
      <c r="Z41" s="517"/>
      <c r="AA41" s="517"/>
      <c r="AB41" s="517"/>
      <c r="AC41" s="517"/>
      <c r="AD41" s="517"/>
      <c r="AE41" s="517"/>
      <c r="AF41" s="517"/>
      <c r="AG41" s="517"/>
      <c r="AH41" s="517"/>
      <c r="AI41" s="518"/>
      <c r="AK41" s="522"/>
      <c r="AL41" s="517"/>
      <c r="AM41" s="517"/>
      <c r="AN41" s="521"/>
      <c r="AO41" s="521"/>
      <c r="AP41" s="517"/>
      <c r="AQ41" s="517"/>
      <c r="AR41" s="517"/>
      <c r="AS41" s="517"/>
      <c r="AT41" s="517"/>
      <c r="AU41" s="517"/>
      <c r="AV41" s="517"/>
      <c r="AW41" s="517"/>
      <c r="AX41" s="517"/>
      <c r="AY41" s="517"/>
      <c r="AZ41" s="517"/>
      <c r="BA41" s="517"/>
      <c r="BB41" s="517"/>
      <c r="BC41" s="517"/>
      <c r="BD41" s="517"/>
      <c r="BE41" s="517"/>
      <c r="BF41" s="517"/>
      <c r="BG41" s="517"/>
      <c r="BH41" s="517"/>
      <c r="BI41" s="517"/>
      <c r="BJ41" s="517"/>
      <c r="BK41" s="518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</row>
    <row r="42" spans="9:110" ht="16" thickBot="1" x14ac:dyDescent="0.4">
      <c r="I42" s="515"/>
      <c r="J42" s="521"/>
      <c r="K42" s="927" t="s">
        <v>182</v>
      </c>
      <c r="L42" s="928"/>
      <c r="M42" s="908" t="s">
        <v>183</v>
      </c>
      <c r="N42" s="889"/>
      <c r="O42" s="927" t="s">
        <v>184</v>
      </c>
      <c r="P42" s="928"/>
      <c r="Q42" s="889" t="s">
        <v>185</v>
      </c>
      <c r="R42" s="929"/>
      <c r="S42" s="883" t="s">
        <v>186</v>
      </c>
      <c r="T42" s="884"/>
      <c r="U42" s="883" t="s">
        <v>187</v>
      </c>
      <c r="V42" s="908"/>
      <c r="W42" s="889" t="s">
        <v>188</v>
      </c>
      <c r="X42" s="908"/>
      <c r="Y42" s="889" t="s">
        <v>189</v>
      </c>
      <c r="Z42" s="908"/>
      <c r="AA42" s="889" t="s">
        <v>190</v>
      </c>
      <c r="AB42" s="908"/>
      <c r="AC42" s="889" t="s">
        <v>191</v>
      </c>
      <c r="AD42" s="908"/>
      <c r="AE42" s="889" t="s">
        <v>192</v>
      </c>
      <c r="AF42" s="908"/>
      <c r="AG42" s="889" t="s">
        <v>193</v>
      </c>
      <c r="AH42" s="884"/>
      <c r="AI42" s="518"/>
      <c r="AK42" s="522"/>
      <c r="AL42" s="521"/>
      <c r="AM42" s="927" t="s">
        <v>182</v>
      </c>
      <c r="AN42" s="928"/>
      <c r="AO42" s="908" t="s">
        <v>183</v>
      </c>
      <c r="AP42" s="889"/>
      <c r="AQ42" s="927" t="s">
        <v>184</v>
      </c>
      <c r="AR42" s="928"/>
      <c r="AS42" s="889" t="s">
        <v>185</v>
      </c>
      <c r="AT42" s="929"/>
      <c r="AU42" s="883" t="s">
        <v>186</v>
      </c>
      <c r="AV42" s="884"/>
      <c r="AW42" s="883" t="s">
        <v>187</v>
      </c>
      <c r="AX42" s="908"/>
      <c r="AY42" s="889" t="s">
        <v>188</v>
      </c>
      <c r="AZ42" s="908"/>
      <c r="BA42" s="889" t="s">
        <v>189</v>
      </c>
      <c r="BB42" s="908"/>
      <c r="BC42" s="889" t="s">
        <v>190</v>
      </c>
      <c r="BD42" s="908"/>
      <c r="BE42" s="889" t="s">
        <v>191</v>
      </c>
      <c r="BF42" s="908"/>
      <c r="BG42" s="889" t="s">
        <v>192</v>
      </c>
      <c r="BH42" s="908"/>
      <c r="BI42" s="889" t="s">
        <v>193</v>
      </c>
      <c r="BJ42" s="884"/>
      <c r="BK42" s="518"/>
      <c r="CW42" s="6"/>
      <c r="CX42" s="6"/>
      <c r="CY42" s="6"/>
      <c r="CZ42" s="6"/>
      <c r="DA42" s="6"/>
      <c r="DB42" s="6"/>
      <c r="DC42" s="6"/>
      <c r="DD42" s="6"/>
      <c r="DE42" s="6"/>
      <c r="DF42" s="6"/>
    </row>
    <row r="43" spans="9:110" x14ac:dyDescent="0.35">
      <c r="I43" s="515"/>
      <c r="J43" s="499" t="s">
        <v>15</v>
      </c>
      <c r="K43" s="547" t="s">
        <v>372</v>
      </c>
      <c r="L43" s="548" t="s">
        <v>373</v>
      </c>
      <c r="M43" s="548" t="s">
        <v>372</v>
      </c>
      <c r="N43" s="548" t="s">
        <v>373</v>
      </c>
      <c r="O43" s="548" t="s">
        <v>372</v>
      </c>
      <c r="P43" s="548" t="s">
        <v>373</v>
      </c>
      <c r="Q43" s="548" t="s">
        <v>372</v>
      </c>
      <c r="R43" s="548" t="s">
        <v>373</v>
      </c>
      <c r="S43" s="548" t="s">
        <v>372</v>
      </c>
      <c r="T43" s="548" t="s">
        <v>373</v>
      </c>
      <c r="U43" s="548" t="s">
        <v>372</v>
      </c>
      <c r="V43" s="548" t="s">
        <v>373</v>
      </c>
      <c r="W43" s="548" t="s">
        <v>372</v>
      </c>
      <c r="X43" s="548" t="s">
        <v>373</v>
      </c>
      <c r="Y43" s="548" t="s">
        <v>372</v>
      </c>
      <c r="Z43" s="548" t="s">
        <v>373</v>
      </c>
      <c r="AA43" s="548" t="s">
        <v>372</v>
      </c>
      <c r="AB43" s="548" t="s">
        <v>373</v>
      </c>
      <c r="AC43" s="548" t="s">
        <v>372</v>
      </c>
      <c r="AD43" s="548" t="s">
        <v>373</v>
      </c>
      <c r="AE43" s="548" t="s">
        <v>372</v>
      </c>
      <c r="AF43" s="548" t="s">
        <v>373</v>
      </c>
      <c r="AG43" s="548" t="s">
        <v>372</v>
      </c>
      <c r="AH43" s="549" t="s">
        <v>373</v>
      </c>
      <c r="AI43" s="518"/>
      <c r="AK43" s="522"/>
      <c r="AL43" s="502" t="s">
        <v>78</v>
      </c>
      <c r="AM43" s="548" t="s">
        <v>372</v>
      </c>
      <c r="AN43" s="548" t="s">
        <v>373</v>
      </c>
      <c r="AO43" s="548" t="s">
        <v>372</v>
      </c>
      <c r="AP43" s="548" t="s">
        <v>373</v>
      </c>
      <c r="AQ43" s="548" t="s">
        <v>372</v>
      </c>
      <c r="AR43" s="548" t="s">
        <v>373</v>
      </c>
      <c r="AS43" s="548" t="s">
        <v>372</v>
      </c>
      <c r="AT43" s="548" t="s">
        <v>373</v>
      </c>
      <c r="AU43" s="548" t="s">
        <v>372</v>
      </c>
      <c r="AV43" s="548" t="s">
        <v>373</v>
      </c>
      <c r="AW43" s="548" t="s">
        <v>372</v>
      </c>
      <c r="AX43" s="548" t="s">
        <v>373</v>
      </c>
      <c r="AY43" s="548" t="s">
        <v>372</v>
      </c>
      <c r="AZ43" s="548" t="s">
        <v>373</v>
      </c>
      <c r="BA43" s="548" t="s">
        <v>372</v>
      </c>
      <c r="BB43" s="548" t="s">
        <v>373</v>
      </c>
      <c r="BC43" s="548" t="s">
        <v>372</v>
      </c>
      <c r="BD43" s="548" t="s">
        <v>373</v>
      </c>
      <c r="BE43" s="548" t="s">
        <v>372</v>
      </c>
      <c r="BF43" s="548" t="s">
        <v>373</v>
      </c>
      <c r="BG43" s="548" t="s">
        <v>372</v>
      </c>
      <c r="BH43" s="548" t="s">
        <v>373</v>
      </c>
      <c r="BI43" s="548" t="s">
        <v>372</v>
      </c>
      <c r="BJ43" s="548" t="s">
        <v>373</v>
      </c>
      <c r="BK43" s="518"/>
      <c r="CW43" s="6"/>
      <c r="CX43" s="6"/>
      <c r="CY43" s="6"/>
      <c r="CZ43" s="6"/>
      <c r="DA43" s="6"/>
      <c r="DB43" s="6"/>
      <c r="DC43" s="6"/>
      <c r="DD43" s="6"/>
      <c r="DE43" s="6"/>
      <c r="DF43" s="6"/>
    </row>
    <row r="44" spans="9:110" x14ac:dyDescent="0.35">
      <c r="I44" s="515"/>
      <c r="J44" s="500" t="s">
        <v>371</v>
      </c>
      <c r="K44" s="483">
        <v>7.92E-3</v>
      </c>
      <c r="L44" s="89">
        <v>8.0440000000000005</v>
      </c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484"/>
      <c r="AI44" s="518"/>
      <c r="AK44" s="522"/>
      <c r="AL44" s="503" t="s">
        <v>371</v>
      </c>
      <c r="AM44" s="746">
        <v>2.5000000000000001E-3</v>
      </c>
      <c r="AN44" s="71">
        <v>0.95</v>
      </c>
      <c r="AO44" s="745">
        <v>2.5000000000000001E-3</v>
      </c>
      <c r="AP44" s="711">
        <v>0.95</v>
      </c>
      <c r="AQ44" s="745">
        <v>2.5000000000000001E-3</v>
      </c>
      <c r="AR44" s="711">
        <v>0.95</v>
      </c>
      <c r="AS44" s="745">
        <v>2.5000000000000001E-3</v>
      </c>
      <c r="AT44" s="711">
        <v>0.95</v>
      </c>
      <c r="AU44" s="745">
        <v>2.5000000000000001E-3</v>
      </c>
      <c r="AV44" s="711">
        <v>0.95</v>
      </c>
      <c r="AW44" s="745">
        <v>2.5000000000000001E-3</v>
      </c>
      <c r="AX44" s="711">
        <v>0.95</v>
      </c>
      <c r="AY44" s="745">
        <v>2.5000000000000001E-3</v>
      </c>
      <c r="AZ44" s="711">
        <v>0.95</v>
      </c>
      <c r="BA44" s="745">
        <v>2.5000000000000001E-3</v>
      </c>
      <c r="BB44" s="711">
        <v>0.95</v>
      </c>
      <c r="BC44" s="745">
        <v>2.5000000000000001E-3</v>
      </c>
      <c r="BD44" s="711">
        <v>0.95</v>
      </c>
      <c r="BE44" s="745">
        <v>2.5000000000000001E-3</v>
      </c>
      <c r="BF44" s="711">
        <v>0.95</v>
      </c>
      <c r="BG44" s="745">
        <v>2.5000000000000001E-3</v>
      </c>
      <c r="BH44" s="711">
        <v>0.95</v>
      </c>
      <c r="BI44" s="745">
        <v>2.5000000000000001E-3</v>
      </c>
      <c r="BJ44" s="711">
        <v>0.95</v>
      </c>
      <c r="BK44" s="518"/>
      <c r="CW44" s="6"/>
      <c r="CX44" s="6"/>
      <c r="CY44" s="6"/>
      <c r="CZ44" s="6"/>
      <c r="DA44" s="6"/>
      <c r="DB44" s="6"/>
      <c r="DC44" s="6"/>
      <c r="DD44" s="6"/>
      <c r="DE44" s="6"/>
      <c r="DF44" s="6"/>
    </row>
    <row r="45" spans="9:110" ht="16" thickBot="1" x14ac:dyDescent="0.4">
      <c r="I45" s="515"/>
      <c r="J45" s="501" t="s">
        <v>172</v>
      </c>
      <c r="K45" s="485">
        <v>2.1909999999999999E-2</v>
      </c>
      <c r="L45" s="537">
        <v>2.3490000000000002</v>
      </c>
      <c r="M45" s="537"/>
      <c r="N45" s="537"/>
      <c r="O45" s="537"/>
      <c r="P45" s="537"/>
      <c r="Q45" s="537"/>
      <c r="R45" s="537"/>
      <c r="S45" s="537"/>
      <c r="T45" s="537"/>
      <c r="U45" s="537"/>
      <c r="V45" s="537"/>
      <c r="W45" s="537"/>
      <c r="X45" s="537"/>
      <c r="Y45" s="537"/>
      <c r="Z45" s="537"/>
      <c r="AA45" s="537"/>
      <c r="AB45" s="537"/>
      <c r="AC45" s="537"/>
      <c r="AD45" s="537"/>
      <c r="AE45" s="537"/>
      <c r="AF45" s="537"/>
      <c r="AG45" s="537"/>
      <c r="AH45" s="486"/>
      <c r="AI45" s="518"/>
      <c r="AK45" s="522"/>
      <c r="AL45" s="504" t="s">
        <v>231</v>
      </c>
      <c r="AM45" s="746">
        <v>0.16600000000000001</v>
      </c>
      <c r="AN45" s="71">
        <v>0.76919999999999999</v>
      </c>
      <c r="AO45" s="745">
        <v>0.16600000000000001</v>
      </c>
      <c r="AP45" s="711">
        <v>0.76919999999999999</v>
      </c>
      <c r="AQ45" s="745">
        <v>0.16600000000000001</v>
      </c>
      <c r="AR45" s="711">
        <v>0.76919999999999999</v>
      </c>
      <c r="AS45" s="745">
        <v>0.16600000000000001</v>
      </c>
      <c r="AT45" s="711">
        <v>0.76919999999999999</v>
      </c>
      <c r="AU45" s="745">
        <v>0.16600000000000001</v>
      </c>
      <c r="AV45" s="711">
        <v>0.76919999999999999</v>
      </c>
      <c r="AW45" s="745">
        <v>0.16600000000000001</v>
      </c>
      <c r="AX45" s="711">
        <v>0.76919999999999999</v>
      </c>
      <c r="AY45" s="745">
        <v>0.16600000000000001</v>
      </c>
      <c r="AZ45" s="711">
        <v>0.76919999999999999</v>
      </c>
      <c r="BA45" s="745">
        <v>0.16600000000000001</v>
      </c>
      <c r="BB45" s="711">
        <v>0.76919999999999999</v>
      </c>
      <c r="BC45" s="745">
        <v>0.16600000000000001</v>
      </c>
      <c r="BD45" s="711">
        <v>0.76919999999999999</v>
      </c>
      <c r="BE45" s="745">
        <v>0.16600000000000001</v>
      </c>
      <c r="BF45" s="711">
        <v>0.76919999999999999</v>
      </c>
      <c r="BG45" s="745">
        <v>0.16600000000000001</v>
      </c>
      <c r="BH45" s="711">
        <v>0.76919999999999999</v>
      </c>
      <c r="BI45" s="745">
        <v>0.16600000000000001</v>
      </c>
      <c r="BJ45" s="711">
        <v>0.76919999999999999</v>
      </c>
      <c r="BK45" s="518"/>
      <c r="CW45" s="6"/>
      <c r="CX45" s="6"/>
      <c r="CY45" s="6"/>
      <c r="CZ45" s="6"/>
      <c r="DA45" s="6"/>
      <c r="DB45" s="6"/>
      <c r="DC45" s="6"/>
      <c r="DD45" s="6"/>
      <c r="DE45" s="6"/>
      <c r="DF45" s="6"/>
    </row>
    <row r="46" spans="9:110" x14ac:dyDescent="0.35">
      <c r="I46" s="515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517"/>
      <c r="X46" s="517"/>
      <c r="Y46" s="517"/>
      <c r="Z46" s="517"/>
      <c r="AA46" s="517"/>
      <c r="AB46" s="517"/>
      <c r="AC46" s="517"/>
      <c r="AD46" s="517"/>
      <c r="AE46" s="517"/>
      <c r="AF46" s="517"/>
      <c r="AG46" s="517"/>
      <c r="AH46" s="517"/>
      <c r="AI46" s="518"/>
      <c r="AK46" s="522"/>
      <c r="AL46" s="517"/>
      <c r="AM46" s="517"/>
      <c r="AN46" s="521"/>
      <c r="AO46" s="521"/>
      <c r="AP46" s="517"/>
      <c r="AQ46" s="517"/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517"/>
      <c r="BD46" s="517"/>
      <c r="BE46" s="517"/>
      <c r="BF46" s="517"/>
      <c r="BG46" s="517"/>
      <c r="BH46" s="517"/>
      <c r="BI46" s="517"/>
      <c r="BJ46" s="517"/>
      <c r="BK46" s="518"/>
      <c r="CW46" s="6"/>
      <c r="CX46" s="6"/>
      <c r="CY46" s="6"/>
      <c r="CZ46" s="6"/>
      <c r="DA46" s="6"/>
      <c r="DB46" s="6"/>
      <c r="DC46" s="6"/>
      <c r="DD46" s="6"/>
      <c r="DE46" s="6"/>
      <c r="DF46" s="6"/>
    </row>
    <row r="47" spans="9:110" ht="16" thickBot="1" x14ac:dyDescent="0.4">
      <c r="I47" s="516"/>
      <c r="J47" s="520"/>
      <c r="K47" s="520"/>
      <c r="L47" s="520"/>
      <c r="M47" s="520"/>
      <c r="N47" s="520"/>
      <c r="O47" s="520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19"/>
      <c r="AK47" s="523"/>
      <c r="AL47" s="520"/>
      <c r="AM47" s="520"/>
      <c r="AN47" s="524"/>
      <c r="AO47" s="524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19"/>
      <c r="CW47" s="6"/>
      <c r="CX47" s="6"/>
      <c r="CY47" s="6"/>
      <c r="CZ47" s="6"/>
      <c r="DA47" s="6"/>
      <c r="DB47" s="6"/>
      <c r="DC47" s="6"/>
      <c r="DD47" s="6"/>
      <c r="DE47" s="6"/>
      <c r="DF47" s="6"/>
    </row>
    <row r="48" spans="9:110" x14ac:dyDescent="0.35">
      <c r="CW48" s="6"/>
      <c r="CX48" s="6"/>
      <c r="CY48" s="6"/>
      <c r="CZ48" s="6"/>
      <c r="DA48" s="6"/>
      <c r="DB48" s="6"/>
      <c r="DC48" s="6"/>
      <c r="DD48" s="6"/>
      <c r="DE48" s="6"/>
      <c r="DF48" s="6"/>
    </row>
    <row r="49" spans="9:110" x14ac:dyDescent="0.35">
      <c r="CW49" s="6"/>
      <c r="CX49" s="6"/>
      <c r="CY49" s="6"/>
      <c r="CZ49" s="6"/>
      <c r="DA49" s="6"/>
      <c r="DB49" s="6"/>
      <c r="DC49" s="6"/>
      <c r="DD49" s="6"/>
      <c r="DE49" s="6"/>
      <c r="DF49" s="6"/>
    </row>
    <row r="50" spans="9:110" ht="16" thickBot="1" x14ac:dyDescent="0.4">
      <c r="CW50" s="6"/>
      <c r="CX50" s="6"/>
      <c r="CY50" s="6"/>
      <c r="CZ50" s="6"/>
      <c r="DA50" s="6"/>
      <c r="DB50" s="6"/>
      <c r="DC50" s="6"/>
      <c r="DD50" s="6"/>
      <c r="DE50" s="6"/>
      <c r="DF50" s="6"/>
    </row>
    <row r="51" spans="9:110" ht="16" thickBot="1" x14ac:dyDescent="0.4">
      <c r="I51" s="871" t="s">
        <v>423</v>
      </c>
      <c r="J51" s="872"/>
      <c r="K51" s="872"/>
      <c r="L51" s="872"/>
      <c r="M51" s="872"/>
      <c r="N51" s="872"/>
      <c r="O51" s="872"/>
      <c r="P51" s="872"/>
      <c r="Q51" s="872"/>
      <c r="R51" s="872"/>
      <c r="S51" s="872"/>
      <c r="T51" s="872"/>
      <c r="U51" s="872"/>
      <c r="V51" s="872"/>
      <c r="W51" s="872"/>
      <c r="X51" s="872"/>
      <c r="Y51" s="872"/>
      <c r="Z51" s="872"/>
      <c r="AA51" s="873"/>
      <c r="CW51" s="6"/>
      <c r="CX51" s="6"/>
      <c r="CY51" s="6"/>
      <c r="CZ51" s="6"/>
      <c r="DA51" s="6"/>
      <c r="DB51" s="6"/>
      <c r="DC51" s="6"/>
      <c r="DD51" s="6"/>
      <c r="DE51" s="6"/>
      <c r="DF51" s="6"/>
    </row>
    <row r="52" spans="9:110" ht="21.5" customHeight="1" thickBot="1" x14ac:dyDescent="0.4">
      <c r="I52" s="874"/>
      <c r="J52" s="875"/>
      <c r="K52" s="875"/>
      <c r="L52" s="875"/>
      <c r="M52" s="875"/>
      <c r="N52" s="875"/>
      <c r="O52" s="875"/>
      <c r="P52" s="875"/>
      <c r="Q52" s="875"/>
      <c r="R52" s="875"/>
      <c r="S52" s="875"/>
      <c r="T52" s="875"/>
      <c r="U52" s="875"/>
      <c r="V52" s="875"/>
      <c r="W52" s="875"/>
      <c r="X52" s="875"/>
      <c r="Y52" s="875"/>
      <c r="Z52" s="875"/>
      <c r="AA52" s="876"/>
      <c r="AK52" s="871" t="s">
        <v>428</v>
      </c>
      <c r="AL52" s="872"/>
      <c r="AM52" s="872"/>
      <c r="AN52" s="872"/>
      <c r="AO52" s="872"/>
      <c r="AP52" s="872"/>
      <c r="AQ52" s="872"/>
      <c r="AR52" s="872"/>
      <c r="AS52" s="872"/>
      <c r="AT52" s="872"/>
      <c r="AU52" s="872"/>
      <c r="AV52" s="872"/>
      <c r="AW52" s="872"/>
      <c r="AX52" s="872"/>
      <c r="AY52" s="872"/>
      <c r="AZ52" s="873"/>
      <c r="BA52"/>
      <c r="BB52"/>
      <c r="BC52"/>
      <c r="CW52" s="6"/>
      <c r="CX52" s="6"/>
      <c r="CY52" s="6"/>
      <c r="CZ52" s="6"/>
      <c r="DA52" s="6"/>
      <c r="DB52" s="6"/>
      <c r="DC52" s="6"/>
      <c r="DD52" s="6"/>
      <c r="DE52" s="6"/>
      <c r="DF52" s="6"/>
    </row>
    <row r="53" spans="9:110" ht="16" customHeight="1" thickBot="1" x14ac:dyDescent="0.4">
      <c r="I53" s="565"/>
      <c r="J53" s="877" t="s">
        <v>424</v>
      </c>
      <c r="K53" s="878"/>
      <c r="L53" s="878"/>
      <c r="M53" s="878"/>
      <c r="N53" s="878"/>
      <c r="O53" s="878"/>
      <c r="P53" s="879"/>
      <c r="Q53" s="566"/>
      <c r="R53" s="566"/>
      <c r="S53" s="566"/>
      <c r="T53" s="877" t="s">
        <v>425</v>
      </c>
      <c r="U53" s="878"/>
      <c r="V53" s="878"/>
      <c r="W53" s="878"/>
      <c r="X53" s="878"/>
      <c r="Y53" s="878"/>
      <c r="Z53" s="879"/>
      <c r="AA53" s="567"/>
      <c r="AK53" s="874"/>
      <c r="AL53" s="875"/>
      <c r="AM53" s="875"/>
      <c r="AN53" s="875"/>
      <c r="AO53" s="875"/>
      <c r="AP53" s="875"/>
      <c r="AQ53" s="875"/>
      <c r="AR53" s="875"/>
      <c r="AS53" s="875"/>
      <c r="AT53" s="875"/>
      <c r="AU53" s="875"/>
      <c r="AV53" s="875"/>
      <c r="AW53" s="875"/>
      <c r="AX53" s="875"/>
      <c r="AY53" s="875"/>
      <c r="AZ53" s="876"/>
      <c r="BA53"/>
      <c r="BB53"/>
      <c r="BC53"/>
      <c r="CW53" s="6"/>
      <c r="CX53" s="6"/>
      <c r="CY53" s="6"/>
      <c r="CZ53" s="6"/>
      <c r="DA53" s="6"/>
      <c r="DB53" s="6"/>
      <c r="DC53" s="6"/>
      <c r="DD53" s="6"/>
      <c r="DE53" s="6"/>
      <c r="DF53" s="6"/>
    </row>
    <row r="54" spans="9:110" ht="16" thickBot="1" x14ac:dyDescent="0.4">
      <c r="I54" s="568"/>
      <c r="J54" s="880"/>
      <c r="K54" s="881"/>
      <c r="L54" s="881"/>
      <c r="M54" s="881"/>
      <c r="N54" s="881"/>
      <c r="O54" s="881"/>
      <c r="P54" s="882"/>
      <c r="Q54" s="569"/>
      <c r="R54" s="569"/>
      <c r="S54" s="569"/>
      <c r="T54" s="880"/>
      <c r="U54" s="881"/>
      <c r="V54" s="881"/>
      <c r="W54" s="881"/>
      <c r="X54" s="881"/>
      <c r="Y54" s="881"/>
      <c r="Z54" s="882"/>
      <c r="AA54" s="570"/>
      <c r="AK54" s="609"/>
      <c r="AL54" s="611"/>
      <c r="AM54" s="611"/>
      <c r="AN54" s="612"/>
      <c r="AO54" s="612"/>
      <c r="AP54" s="611"/>
      <c r="AQ54" s="611"/>
      <c r="AR54" s="611"/>
      <c r="AS54" s="611"/>
      <c r="AT54" s="611"/>
      <c r="AU54" s="611"/>
      <c r="AV54" s="611"/>
      <c r="AW54" s="611"/>
      <c r="AX54" s="611"/>
      <c r="AY54" s="611"/>
      <c r="AZ54" s="613"/>
      <c r="CW54" s="6"/>
      <c r="CX54" s="6"/>
      <c r="CY54" s="6"/>
      <c r="CZ54" s="6"/>
      <c r="DA54" s="6"/>
      <c r="DB54" s="6"/>
      <c r="DC54" s="6"/>
      <c r="DD54" s="6"/>
      <c r="DE54" s="6"/>
      <c r="DF54" s="6"/>
    </row>
    <row r="55" spans="9:110" x14ac:dyDescent="0.35">
      <c r="I55" s="568"/>
      <c r="J55" s="569"/>
      <c r="K55" s="569"/>
      <c r="L55" s="569"/>
      <c r="M55" s="569"/>
      <c r="N55" s="569"/>
      <c r="O55" s="569"/>
      <c r="P55" s="569"/>
      <c r="Q55" s="569"/>
      <c r="R55" s="569"/>
      <c r="S55" s="569"/>
      <c r="T55" s="569"/>
      <c r="U55" s="569"/>
      <c r="V55" s="569"/>
      <c r="W55" s="569"/>
      <c r="X55" s="569"/>
      <c r="Y55" s="569"/>
      <c r="Z55" s="569"/>
      <c r="AA55" s="570"/>
      <c r="AK55" s="609"/>
      <c r="AL55" s="611"/>
      <c r="AM55" s="611"/>
      <c r="AN55" s="612"/>
      <c r="AO55" s="612"/>
      <c r="AP55" s="611"/>
      <c r="AQ55" s="611"/>
      <c r="AR55" s="611"/>
      <c r="AS55" s="611"/>
      <c r="AT55" s="611"/>
      <c r="AU55" s="611"/>
      <c r="AV55" s="611"/>
      <c r="AW55" s="611"/>
      <c r="AX55" s="611"/>
      <c r="AY55" s="611"/>
      <c r="AZ55" s="613"/>
      <c r="CW55" s="6"/>
      <c r="CX55" s="6"/>
      <c r="CY55" s="6"/>
      <c r="CZ55" s="6"/>
      <c r="DA55" s="6"/>
      <c r="DB55" s="6"/>
      <c r="DC55" s="6"/>
      <c r="DD55" s="6"/>
      <c r="DE55" s="6"/>
      <c r="DF55" s="6"/>
    </row>
    <row r="56" spans="9:110" x14ac:dyDescent="0.35">
      <c r="I56" s="568"/>
      <c r="J56" s="569"/>
      <c r="K56" s="569"/>
      <c r="L56" s="569"/>
      <c r="M56" s="569"/>
      <c r="N56" s="569"/>
      <c r="O56" s="569"/>
      <c r="P56" s="569"/>
      <c r="Q56" s="569"/>
      <c r="R56" s="569"/>
      <c r="S56" s="569"/>
      <c r="T56" s="569"/>
      <c r="U56" s="569"/>
      <c r="V56" s="569"/>
      <c r="W56" s="569"/>
      <c r="X56" s="569"/>
      <c r="Y56" s="569"/>
      <c r="Z56" s="569"/>
      <c r="AA56" s="570"/>
      <c r="AK56" s="609"/>
      <c r="AL56" s="611"/>
      <c r="AM56" s="611"/>
      <c r="AN56" s="612"/>
      <c r="AO56" s="612"/>
      <c r="AP56" s="611"/>
      <c r="AQ56" s="611"/>
      <c r="AR56" s="611"/>
      <c r="AS56" s="611"/>
      <c r="AT56" s="611"/>
      <c r="AU56" s="611"/>
      <c r="AV56" s="611"/>
      <c r="AW56" s="611"/>
      <c r="AX56" s="611"/>
      <c r="AY56" s="611"/>
      <c r="AZ56" s="613"/>
      <c r="CW56" s="6"/>
      <c r="CX56" s="6"/>
      <c r="CY56" s="6"/>
      <c r="CZ56" s="6"/>
      <c r="DA56" s="6"/>
      <c r="DB56" s="6"/>
      <c r="DC56" s="6"/>
      <c r="DD56" s="6"/>
      <c r="DE56" s="6"/>
      <c r="DF56" s="6"/>
    </row>
    <row r="57" spans="9:110" x14ac:dyDescent="0.35">
      <c r="I57" s="568"/>
      <c r="J57" s="569"/>
      <c r="K57" s="569"/>
      <c r="L57" s="569"/>
      <c r="M57" s="569"/>
      <c r="N57" s="569"/>
      <c r="O57" s="569"/>
      <c r="P57" s="569"/>
      <c r="Q57" s="569"/>
      <c r="R57" s="569"/>
      <c r="S57" s="569"/>
      <c r="T57" s="569"/>
      <c r="U57" s="569"/>
      <c r="V57" s="569"/>
      <c r="W57" s="569"/>
      <c r="X57" s="569"/>
      <c r="Y57" s="569"/>
      <c r="Z57" s="569"/>
      <c r="AA57" s="570"/>
      <c r="AK57" s="609"/>
      <c r="AL57" s="611"/>
      <c r="AM57" s="611"/>
      <c r="AN57" s="612"/>
      <c r="AO57" s="612"/>
      <c r="AP57" s="611"/>
      <c r="AQ57" s="611"/>
      <c r="AR57" s="611"/>
      <c r="AS57" s="611"/>
      <c r="AT57" s="611"/>
      <c r="AU57" s="611"/>
      <c r="AV57" s="611"/>
      <c r="AW57" s="611"/>
      <c r="AX57" s="611"/>
      <c r="AY57" s="611"/>
      <c r="AZ57" s="613"/>
      <c r="CW57" s="6"/>
      <c r="CX57" s="6"/>
      <c r="CY57" s="6"/>
      <c r="CZ57" s="6"/>
      <c r="DA57" s="6"/>
      <c r="DB57" s="6"/>
      <c r="DC57" s="6"/>
      <c r="DD57" s="6"/>
      <c r="DE57" s="6"/>
      <c r="DF57" s="6"/>
    </row>
    <row r="58" spans="9:110" ht="16" thickBot="1" x14ac:dyDescent="0.4">
      <c r="I58" s="568"/>
      <c r="J58" s="569"/>
      <c r="K58" s="569"/>
      <c r="L58" s="569"/>
      <c r="M58" s="569"/>
      <c r="N58" s="569"/>
      <c r="O58" s="569"/>
      <c r="P58" s="569"/>
      <c r="Q58" s="569"/>
      <c r="R58" s="569"/>
      <c r="S58" s="569"/>
      <c r="T58" s="569"/>
      <c r="U58" s="569"/>
      <c r="V58" s="569"/>
      <c r="W58" s="569"/>
      <c r="X58" s="569"/>
      <c r="Y58" s="569"/>
      <c r="Z58" s="569"/>
      <c r="AA58" s="570"/>
      <c r="AK58" s="609"/>
      <c r="AL58" s="611"/>
      <c r="AM58" s="611"/>
      <c r="AN58" s="612"/>
      <c r="AO58" s="612"/>
      <c r="AP58" s="611"/>
      <c r="AQ58" s="611"/>
      <c r="AR58" s="611"/>
      <c r="AS58" s="611"/>
      <c r="AT58" s="611"/>
      <c r="AU58" s="611"/>
      <c r="AV58" s="611"/>
      <c r="AW58" s="611"/>
      <c r="AX58" s="611"/>
      <c r="AY58" s="611"/>
      <c r="AZ58" s="613"/>
      <c r="CW58" s="6"/>
      <c r="CX58" s="6"/>
      <c r="CY58" s="6"/>
      <c r="CZ58" s="6"/>
      <c r="DA58" s="6"/>
      <c r="DB58" s="6"/>
      <c r="DC58" s="6"/>
      <c r="DD58" s="6"/>
      <c r="DE58" s="6"/>
      <c r="DF58" s="6"/>
    </row>
    <row r="59" spans="9:110" ht="18" customHeight="1" thickBot="1" x14ac:dyDescent="0.4">
      <c r="I59" s="568"/>
      <c r="J59" s="569"/>
      <c r="K59" s="569"/>
      <c r="L59" s="569"/>
      <c r="M59" s="569"/>
      <c r="N59" s="569"/>
      <c r="O59" s="569"/>
      <c r="P59" s="569"/>
      <c r="Q59" s="569"/>
      <c r="R59" s="569"/>
      <c r="S59" s="569"/>
      <c r="T59" s="569"/>
      <c r="U59" s="569"/>
      <c r="V59" s="569"/>
      <c r="W59" s="569"/>
      <c r="X59" s="569"/>
      <c r="Y59" s="569"/>
      <c r="Z59" s="569"/>
      <c r="AA59" s="570"/>
      <c r="AK59" s="609"/>
      <c r="AL59" s="70" t="s">
        <v>205</v>
      </c>
      <c r="AM59" s="645">
        <v>0</v>
      </c>
      <c r="AN59" s="612"/>
      <c r="AO59" s="612"/>
      <c r="AP59" s="611"/>
      <c r="AQ59" s="611"/>
      <c r="AR59" s="611"/>
      <c r="AS59" s="611"/>
      <c r="AT59" s="611"/>
      <c r="AU59" s="611"/>
      <c r="AV59" s="659" t="s">
        <v>205</v>
      </c>
      <c r="AW59" s="661">
        <f>EF!C23</f>
        <v>2027</v>
      </c>
      <c r="AX59" s="612"/>
      <c r="AY59" s="611"/>
      <c r="AZ59" s="613"/>
      <c r="CW59" s="6"/>
      <c r="CX59" s="6"/>
      <c r="CY59" s="6"/>
      <c r="CZ59" s="6"/>
      <c r="DA59" s="6"/>
      <c r="DB59" s="6"/>
      <c r="DC59" s="6"/>
      <c r="DD59" s="6"/>
      <c r="DE59" s="6"/>
      <c r="DF59" s="6"/>
    </row>
    <row r="60" spans="9:110" ht="31" x14ac:dyDescent="0.35">
      <c r="I60" s="568"/>
      <c r="J60" s="562" t="s">
        <v>181</v>
      </c>
      <c r="K60" s="497" t="s">
        <v>422</v>
      </c>
      <c r="L60" s="497" t="s">
        <v>420</v>
      </c>
      <c r="M60" s="497" t="s">
        <v>421</v>
      </c>
      <c r="N60" s="569"/>
      <c r="O60" s="635"/>
      <c r="P60" s="636"/>
      <c r="Q60" s="569"/>
      <c r="R60" s="569"/>
      <c r="S60" s="569"/>
      <c r="T60" s="562" t="s">
        <v>181</v>
      </c>
      <c r="U60" s="497" t="s">
        <v>422</v>
      </c>
      <c r="V60" s="497" t="s">
        <v>420</v>
      </c>
      <c r="W60" s="497" t="s">
        <v>421</v>
      </c>
      <c r="X60" s="569"/>
      <c r="Y60" s="636"/>
      <c r="Z60" s="569"/>
      <c r="AA60" s="570"/>
      <c r="AK60" s="609"/>
      <c r="AL60" s="599" t="s">
        <v>78</v>
      </c>
      <c r="AM60" s="599" t="s">
        <v>69</v>
      </c>
      <c r="AN60" s="599" t="s">
        <v>303</v>
      </c>
      <c r="AO60" s="599" t="s">
        <v>427</v>
      </c>
      <c r="AP60" s="611"/>
      <c r="AQ60" s="611"/>
      <c r="AR60" s="611"/>
      <c r="AS60" s="611"/>
      <c r="AT60" s="611"/>
      <c r="AU60" s="611"/>
      <c r="AV60" s="599" t="s">
        <v>78</v>
      </c>
      <c r="AW60" s="660" t="s">
        <v>69</v>
      </c>
      <c r="AX60" s="599" t="s">
        <v>303</v>
      </c>
      <c r="AY60" s="599" t="s">
        <v>427</v>
      </c>
      <c r="AZ60" s="613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</row>
    <row r="61" spans="9:110" x14ac:dyDescent="0.35">
      <c r="I61" s="568"/>
      <c r="J61" s="641" t="str">
        <f t="shared" ref="J61:J68" si="4">T18</f>
        <v xml:space="preserve">PALMITO ENTERO 800 </v>
      </c>
      <c r="K61" s="2"/>
      <c r="L61" s="2"/>
      <c r="M61" s="563">
        <f t="shared" ref="M61:M68" si="5">IFERROR(L61/K61,0*1)</f>
        <v>0</v>
      </c>
      <c r="N61" s="640"/>
      <c r="O61" s="569"/>
      <c r="P61" s="569"/>
      <c r="Q61" s="569"/>
      <c r="R61" s="569"/>
      <c r="S61" s="569"/>
      <c r="T61" s="642" t="str">
        <f t="shared" ref="T61:T68" si="6">T18</f>
        <v xml:space="preserve">PALMITO ENTERO 800 </v>
      </c>
      <c r="U61" s="95">
        <f>K61</f>
        <v>0</v>
      </c>
      <c r="V61" s="2"/>
      <c r="W61" s="563">
        <f t="shared" ref="W61:W68" si="7">IFERROR(V61/U61,0*1)</f>
        <v>0</v>
      </c>
      <c r="X61" s="569"/>
      <c r="Y61" s="569"/>
      <c r="Z61" s="569"/>
      <c r="AA61" s="570"/>
      <c r="AK61" s="609"/>
      <c r="AL61" s="1" t="str">
        <f>EF!B9</f>
        <v>TERRENOS</v>
      </c>
      <c r="AM61" s="93">
        <f>EF!C9</f>
        <v>0</v>
      </c>
      <c r="AN61" s="509">
        <v>0.5</v>
      </c>
      <c r="AO61" s="92">
        <f t="shared" ref="AO61:AO71" si="8">1-AN61</f>
        <v>0.5</v>
      </c>
      <c r="AP61" s="611"/>
      <c r="AQ61" s="611"/>
      <c r="AR61" s="611"/>
      <c r="AS61" s="611"/>
      <c r="AT61" s="611"/>
      <c r="AU61" s="611"/>
      <c r="AV61" s="1" t="str">
        <f>EF!B26</f>
        <v>TERRENOS</v>
      </c>
      <c r="AW61" s="93">
        <f>EF!C26</f>
        <v>0</v>
      </c>
      <c r="AX61" s="509">
        <v>1</v>
      </c>
      <c r="AY61" s="92">
        <f t="shared" ref="AY61:AY71" si="9">1-AX61</f>
        <v>0</v>
      </c>
      <c r="AZ61" s="613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</row>
    <row r="62" spans="9:110" x14ac:dyDescent="0.35">
      <c r="I62" s="568"/>
      <c r="J62" s="641" t="str">
        <f t="shared" si="4"/>
        <v>PALMITO RODAJA 800</v>
      </c>
      <c r="K62" s="2"/>
      <c r="L62" s="2"/>
      <c r="M62" s="563">
        <f t="shared" si="5"/>
        <v>0</v>
      </c>
      <c r="N62" s="640"/>
      <c r="O62" s="569"/>
      <c r="P62" s="569"/>
      <c r="Q62" s="569"/>
      <c r="R62" s="569"/>
      <c r="S62" s="569"/>
      <c r="T62" s="642" t="str">
        <f t="shared" si="6"/>
        <v>PALMITO RODAJA 800</v>
      </c>
      <c r="U62" s="95">
        <f t="shared" ref="U62:U68" si="10">K62</f>
        <v>0</v>
      </c>
      <c r="V62" s="2"/>
      <c r="W62" s="563">
        <f t="shared" si="7"/>
        <v>0</v>
      </c>
      <c r="X62" s="569"/>
      <c r="Y62" s="569"/>
      <c r="Z62" s="569"/>
      <c r="AA62" s="570"/>
      <c r="AK62" s="609"/>
      <c r="AL62" s="1" t="str">
        <f>EF!B10</f>
        <v>EDIFICIOS Y OBRAS CIVILES</v>
      </c>
      <c r="AM62" s="93">
        <f>EF!C10</f>
        <v>108000</v>
      </c>
      <c r="AN62" s="509">
        <v>0.5</v>
      </c>
      <c r="AO62" s="92">
        <f t="shared" si="8"/>
        <v>0.5</v>
      </c>
      <c r="AP62" s="611"/>
      <c r="AQ62" s="611"/>
      <c r="AR62" s="611"/>
      <c r="AS62" s="611"/>
      <c r="AT62" s="611"/>
      <c r="AU62" s="611"/>
      <c r="AV62" s="1" t="str">
        <f>EF!B27</f>
        <v>EDIFICIOS Y OBRAS CIVILES</v>
      </c>
      <c r="AW62" s="93">
        <f>EF!C27</f>
        <v>0</v>
      </c>
      <c r="AX62" s="509">
        <v>1</v>
      </c>
      <c r="AY62" s="92">
        <f t="shared" si="9"/>
        <v>0</v>
      </c>
      <c r="AZ62" s="613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</row>
    <row r="63" spans="9:110" x14ac:dyDescent="0.35">
      <c r="I63" s="568"/>
      <c r="J63" s="641" t="str">
        <f t="shared" si="4"/>
        <v>PALMITO TROZO 800</v>
      </c>
      <c r="K63" s="2"/>
      <c r="L63" s="2"/>
      <c r="M63" s="563">
        <f t="shared" si="5"/>
        <v>0</v>
      </c>
      <c r="N63" s="640"/>
      <c r="O63" s="569"/>
      <c r="P63" s="569"/>
      <c r="Q63" s="569"/>
      <c r="R63" s="569"/>
      <c r="S63" s="569"/>
      <c r="T63" s="642" t="str">
        <f t="shared" si="6"/>
        <v>PALMITO TROZO 800</v>
      </c>
      <c r="U63" s="95">
        <f t="shared" si="10"/>
        <v>0</v>
      </c>
      <c r="V63" s="2"/>
      <c r="W63" s="563">
        <f t="shared" si="7"/>
        <v>0</v>
      </c>
      <c r="X63" s="569"/>
      <c r="Y63" s="569"/>
      <c r="Z63" s="569"/>
      <c r="AA63" s="570"/>
      <c r="AK63" s="609"/>
      <c r="AL63" s="1" t="str">
        <f>EF!B11</f>
        <v xml:space="preserve">EQUIPO Y MAQUINARIA </v>
      </c>
      <c r="AM63" s="93">
        <f>EF!C11</f>
        <v>72000</v>
      </c>
      <c r="AN63" s="509">
        <v>0.5</v>
      </c>
      <c r="AO63" s="92">
        <f t="shared" si="8"/>
        <v>0.5</v>
      </c>
      <c r="AP63" s="611"/>
      <c r="AQ63" s="611"/>
      <c r="AR63" s="611"/>
      <c r="AS63" s="611"/>
      <c r="AT63" s="611"/>
      <c r="AU63" s="611"/>
      <c r="AV63" s="1" t="str">
        <f>EF!B28</f>
        <v xml:space="preserve">EQUIPO Y MAQUINARIA </v>
      </c>
      <c r="AW63" s="93">
        <f>EF!C28</f>
        <v>0</v>
      </c>
      <c r="AX63" s="607">
        <v>1</v>
      </c>
      <c r="AY63" s="92">
        <f t="shared" si="9"/>
        <v>0</v>
      </c>
      <c r="AZ63" s="613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</row>
    <row r="64" spans="9:110" x14ac:dyDescent="0.35">
      <c r="I64" s="568"/>
      <c r="J64" s="641" t="str">
        <f t="shared" si="4"/>
        <v>PALMITO ENTERO 400</v>
      </c>
      <c r="K64" s="2"/>
      <c r="L64" s="2"/>
      <c r="M64" s="563">
        <f t="shared" si="5"/>
        <v>0</v>
      </c>
      <c r="N64" s="640"/>
      <c r="O64" s="569"/>
      <c r="P64" s="569"/>
      <c r="Q64" s="569"/>
      <c r="R64" s="569"/>
      <c r="S64" s="569"/>
      <c r="T64" s="642" t="str">
        <f t="shared" si="6"/>
        <v>PALMITO ENTERO 400</v>
      </c>
      <c r="U64" s="95">
        <f t="shared" si="10"/>
        <v>0</v>
      </c>
      <c r="V64" s="2"/>
      <c r="W64" s="563">
        <f t="shared" si="7"/>
        <v>0</v>
      </c>
      <c r="X64" s="569"/>
      <c r="Y64" s="569"/>
      <c r="Z64" s="569"/>
      <c r="AA64" s="570"/>
      <c r="AK64" s="609"/>
      <c r="AL64" s="1" t="str">
        <f>EF!B12</f>
        <v>MUEBLES Y ENSERES</v>
      </c>
      <c r="AM64" s="93">
        <f>EF!C12</f>
        <v>1840</v>
      </c>
      <c r="AN64" s="509">
        <v>0.5</v>
      </c>
      <c r="AO64" s="92">
        <f t="shared" si="8"/>
        <v>0.5</v>
      </c>
      <c r="AP64" s="611"/>
      <c r="AQ64" s="611"/>
      <c r="AR64" s="611"/>
      <c r="AS64" s="611"/>
      <c r="AT64" s="611"/>
      <c r="AU64" s="611"/>
      <c r="AV64" s="1" t="str">
        <f>EF!B29</f>
        <v>MUEBLES Y ENSERES</v>
      </c>
      <c r="AW64" s="93">
        <f>EF!C29</f>
        <v>0</v>
      </c>
      <c r="AX64" s="607">
        <v>1</v>
      </c>
      <c r="AY64" s="92">
        <f t="shared" si="9"/>
        <v>0</v>
      </c>
      <c r="AZ64" s="613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</row>
    <row r="65" spans="9:110" x14ac:dyDescent="0.35">
      <c r="I65" s="568"/>
      <c r="J65" s="641" t="str">
        <f t="shared" si="4"/>
        <v>PALMITO RODAJA 400</v>
      </c>
      <c r="K65" s="2"/>
      <c r="L65" s="2"/>
      <c r="M65" s="563">
        <f t="shared" si="5"/>
        <v>0</v>
      </c>
      <c r="N65" s="640"/>
      <c r="O65" s="569"/>
      <c r="P65" s="569"/>
      <c r="Q65" s="569"/>
      <c r="R65" s="569"/>
      <c r="S65" s="569"/>
      <c r="T65" s="642" t="str">
        <f t="shared" si="6"/>
        <v>PALMITO RODAJA 400</v>
      </c>
      <c r="U65" s="95">
        <f t="shared" si="10"/>
        <v>0</v>
      </c>
      <c r="V65" s="2"/>
      <c r="W65" s="563">
        <f t="shared" si="7"/>
        <v>0</v>
      </c>
      <c r="X65" s="569"/>
      <c r="Y65" s="569"/>
      <c r="Z65" s="569"/>
      <c r="AA65" s="570"/>
      <c r="AK65" s="609"/>
      <c r="AL65" s="1" t="str">
        <f>EF!B13</f>
        <v>EQUIPOS DE COMPUTACIÓN</v>
      </c>
      <c r="AM65" s="93">
        <f>EF!C13</f>
        <v>7000</v>
      </c>
      <c r="AN65" s="509">
        <v>0.5</v>
      </c>
      <c r="AO65" s="92">
        <f t="shared" si="8"/>
        <v>0.5</v>
      </c>
      <c r="AP65" s="611"/>
      <c r="AQ65" s="611"/>
      <c r="AR65" s="611"/>
      <c r="AS65" s="611"/>
      <c r="AT65" s="611"/>
      <c r="AU65" s="611"/>
      <c r="AV65" s="1" t="str">
        <f>EF!B30</f>
        <v>EQUIPOS DE COMPUTACIÓN</v>
      </c>
      <c r="AW65" s="93">
        <f>EF!C30</f>
        <v>0</v>
      </c>
      <c r="AX65" s="607">
        <v>1</v>
      </c>
      <c r="AY65" s="92">
        <f t="shared" si="9"/>
        <v>0</v>
      </c>
      <c r="AZ65" s="613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</row>
    <row r="66" spans="9:110" x14ac:dyDescent="0.35">
      <c r="I66" s="568"/>
      <c r="J66" s="641" t="str">
        <f t="shared" si="4"/>
        <v>PALMITO TROZO 400</v>
      </c>
      <c r="K66" s="2"/>
      <c r="L66" s="2"/>
      <c r="M66" s="563">
        <f t="shared" si="5"/>
        <v>0</v>
      </c>
      <c r="N66" s="640"/>
      <c r="O66" s="569"/>
      <c r="P66" s="569"/>
      <c r="Q66" s="569"/>
      <c r="R66" s="569"/>
      <c r="S66" s="569"/>
      <c r="T66" s="642" t="str">
        <f t="shared" si="6"/>
        <v>PALMITO TROZO 400</v>
      </c>
      <c r="U66" s="95">
        <f t="shared" si="10"/>
        <v>0</v>
      </c>
      <c r="V66" s="2"/>
      <c r="W66" s="563">
        <f t="shared" si="7"/>
        <v>0</v>
      </c>
      <c r="X66" s="569"/>
      <c r="Y66" s="569"/>
      <c r="Z66" s="569"/>
      <c r="AA66" s="570"/>
      <c r="AK66" s="609"/>
      <c r="AL66" s="1" t="str">
        <f>EF!B14</f>
        <v>VEHICULOS</v>
      </c>
      <c r="AM66" s="93">
        <f>EF!C14</f>
        <v>37500</v>
      </c>
      <c r="AN66" s="509">
        <v>0.5</v>
      </c>
      <c r="AO66" s="92">
        <f t="shared" si="8"/>
        <v>0.5</v>
      </c>
      <c r="AP66" s="611"/>
      <c r="AQ66" s="611"/>
      <c r="AR66" s="611"/>
      <c r="AS66" s="611"/>
      <c r="AT66" s="611"/>
      <c r="AU66" s="611"/>
      <c r="AV66" s="1" t="str">
        <f>EF!B31</f>
        <v>VEHICULOS</v>
      </c>
      <c r="AW66" s="93">
        <f>EF!C31</f>
        <v>0</v>
      </c>
      <c r="AX66" s="607">
        <v>1</v>
      </c>
      <c r="AY66" s="92">
        <f t="shared" si="9"/>
        <v>0</v>
      </c>
      <c r="AZ66" s="613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</row>
    <row r="67" spans="9:110" x14ac:dyDescent="0.35">
      <c r="I67" s="568"/>
      <c r="J67" s="641" t="str">
        <f t="shared" si="4"/>
        <v>PALMITO TROZO  A-10</v>
      </c>
      <c r="K67" s="2"/>
      <c r="L67" s="2"/>
      <c r="M67" s="563">
        <f t="shared" si="5"/>
        <v>0</v>
      </c>
      <c r="N67" s="640"/>
      <c r="O67" s="569"/>
      <c r="P67" s="569"/>
      <c r="Q67" s="569"/>
      <c r="R67" s="569"/>
      <c r="S67" s="569"/>
      <c r="T67" s="642" t="str">
        <f t="shared" si="6"/>
        <v>PALMITO TROZO  A-10</v>
      </c>
      <c r="U67" s="95">
        <f t="shared" si="10"/>
        <v>0</v>
      </c>
      <c r="V67" s="2"/>
      <c r="W67" s="563">
        <f t="shared" si="7"/>
        <v>0</v>
      </c>
      <c r="X67" s="569"/>
      <c r="Y67" s="569"/>
      <c r="Z67" s="569"/>
      <c r="AA67" s="570"/>
      <c r="AK67" s="609"/>
      <c r="AL67" s="1" t="str">
        <f>EF!B15</f>
        <v>PLANTACIÓN AGRÍCOLA</v>
      </c>
      <c r="AM67" s="93">
        <f>EF!C15</f>
        <v>0</v>
      </c>
      <c r="AN67" s="509">
        <v>0.5</v>
      </c>
      <c r="AO67" s="92">
        <f t="shared" si="8"/>
        <v>0.5</v>
      </c>
      <c r="AP67" s="611"/>
      <c r="AQ67" s="611"/>
      <c r="AR67" s="611"/>
      <c r="AS67" s="611"/>
      <c r="AT67" s="611"/>
      <c r="AU67" s="611"/>
      <c r="AV67" s="1" t="str">
        <f>EF!B32</f>
        <v>PLANTACIÓN AGRÍCOLA</v>
      </c>
      <c r="AW67" s="93">
        <f>EF!C32</f>
        <v>0</v>
      </c>
      <c r="AX67" s="607">
        <v>1</v>
      </c>
      <c r="AY67" s="92">
        <f t="shared" si="9"/>
        <v>0</v>
      </c>
      <c r="AZ67" s="613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</row>
    <row r="68" spans="9:110" x14ac:dyDescent="0.35">
      <c r="I68" s="568"/>
      <c r="J68" s="641" t="str">
        <f t="shared" si="4"/>
        <v>PALMITO RODAJA  A-10</v>
      </c>
      <c r="K68" s="2"/>
      <c r="L68" s="2"/>
      <c r="M68" s="563">
        <f t="shared" si="5"/>
        <v>0</v>
      </c>
      <c r="N68" s="640"/>
      <c r="O68" s="569"/>
      <c r="P68" s="569"/>
      <c r="Q68" s="569"/>
      <c r="R68" s="569"/>
      <c r="S68" s="569"/>
      <c r="T68" s="642" t="str">
        <f t="shared" si="6"/>
        <v>PALMITO RODAJA  A-10</v>
      </c>
      <c r="U68" s="95">
        <f t="shared" si="10"/>
        <v>0</v>
      </c>
      <c r="V68" s="2"/>
      <c r="W68" s="563">
        <f t="shared" si="7"/>
        <v>0</v>
      </c>
      <c r="X68" s="569"/>
      <c r="Y68" s="569"/>
      <c r="Z68" s="569"/>
      <c r="AA68" s="570"/>
      <c r="AK68" s="609"/>
      <c r="AL68" s="1" t="str">
        <f>EF!B16</f>
        <v>ANIMALES REPRODUCTORES</v>
      </c>
      <c r="AM68" s="93">
        <f>EF!C16</f>
        <v>0</v>
      </c>
      <c r="AN68" s="509">
        <v>0.5</v>
      </c>
      <c r="AO68" s="92">
        <f t="shared" si="8"/>
        <v>0.5</v>
      </c>
      <c r="AP68" s="611"/>
      <c r="AQ68" s="611"/>
      <c r="AR68" s="611"/>
      <c r="AS68" s="611"/>
      <c r="AT68" s="611"/>
      <c r="AU68" s="611"/>
      <c r="AV68" s="1" t="str">
        <f>EF!B33</f>
        <v>ANIMALES REPRODUCTORES</v>
      </c>
      <c r="AW68" s="93">
        <f>EF!C33</f>
        <v>0</v>
      </c>
      <c r="AX68" s="509">
        <v>1</v>
      </c>
      <c r="AY68" s="92">
        <f t="shared" si="9"/>
        <v>0</v>
      </c>
      <c r="AZ68" s="613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</row>
    <row r="69" spans="9:110" x14ac:dyDescent="0.35">
      <c r="I69" s="568"/>
      <c r="J69" s="611"/>
      <c r="K69" s="611"/>
      <c r="L69" s="611"/>
      <c r="M69" s="611"/>
      <c r="N69" s="640"/>
      <c r="O69" s="569"/>
      <c r="P69" s="569"/>
      <c r="Q69" s="569"/>
      <c r="R69" s="569"/>
      <c r="S69" s="569"/>
      <c r="T69" s="611"/>
      <c r="U69" s="611"/>
      <c r="V69" s="611"/>
      <c r="W69" s="611"/>
      <c r="X69" s="569"/>
      <c r="Y69" s="569"/>
      <c r="Z69" s="569"/>
      <c r="AA69" s="570"/>
      <c r="AK69" s="609"/>
      <c r="AL69" s="1" t="str">
        <f>EF!B17</f>
        <v>OTROS ACTIVOS</v>
      </c>
      <c r="AM69" s="93">
        <f>EF!C17</f>
        <v>0</v>
      </c>
      <c r="AN69" s="509">
        <v>0.5</v>
      </c>
      <c r="AO69" s="92">
        <f t="shared" si="8"/>
        <v>0.5</v>
      </c>
      <c r="AP69" s="611"/>
      <c r="AQ69" s="611"/>
      <c r="AR69" s="611"/>
      <c r="AS69" s="611"/>
      <c r="AT69" s="611"/>
      <c r="AU69" s="611"/>
      <c r="AV69" s="1" t="str">
        <f>EF!B34</f>
        <v>OTROS ACTIVOS</v>
      </c>
      <c r="AW69" s="93">
        <f>EF!C34</f>
        <v>0</v>
      </c>
      <c r="AX69" s="509">
        <v>1</v>
      </c>
      <c r="AY69" s="92">
        <f t="shared" si="9"/>
        <v>0</v>
      </c>
      <c r="AZ69" s="613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</row>
    <row r="70" spans="9:110" x14ac:dyDescent="0.35">
      <c r="I70" s="568"/>
      <c r="J70" s="562" t="s">
        <v>163</v>
      </c>
      <c r="K70" s="228" t="s">
        <v>422</v>
      </c>
      <c r="L70" s="228" t="s">
        <v>420</v>
      </c>
      <c r="M70" s="228" t="s">
        <v>421</v>
      </c>
      <c r="N70" s="640"/>
      <c r="O70" s="569"/>
      <c r="P70" s="569"/>
      <c r="Q70" s="569"/>
      <c r="R70" s="569"/>
      <c r="S70" s="569"/>
      <c r="T70" s="562" t="s">
        <v>163</v>
      </c>
      <c r="U70" s="228" t="s">
        <v>422</v>
      </c>
      <c r="V70" s="228" t="s">
        <v>420</v>
      </c>
      <c r="W70" s="228" t="s">
        <v>421</v>
      </c>
      <c r="X70" s="569"/>
      <c r="Y70" s="569"/>
      <c r="Z70" s="569"/>
      <c r="AA70" s="570"/>
      <c r="AK70" s="609"/>
      <c r="AL70" s="1" t="str">
        <f>EF!B18</f>
        <v>ACTIVOS DIFERIDOS</v>
      </c>
      <c r="AM70" s="93">
        <f>EF!C18</f>
        <v>10000</v>
      </c>
      <c r="AN70" s="509">
        <v>0.4</v>
      </c>
      <c r="AO70" s="344">
        <f t="shared" si="8"/>
        <v>0.6</v>
      </c>
      <c r="AP70" s="611"/>
      <c r="AQ70" s="611"/>
      <c r="AR70" s="611"/>
      <c r="AS70" s="611"/>
      <c r="AT70" s="611"/>
      <c r="AU70" s="611"/>
      <c r="AV70" s="1" t="str">
        <f>EF!B35</f>
        <v>ACTIVOS DIFERIDOS</v>
      </c>
      <c r="AW70" s="93">
        <f>EF!C35</f>
        <v>0</v>
      </c>
      <c r="AX70" s="509">
        <v>0</v>
      </c>
      <c r="AY70" s="344">
        <f t="shared" si="9"/>
        <v>1</v>
      </c>
      <c r="AZ70" s="613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</row>
    <row r="71" spans="9:110" x14ac:dyDescent="0.35">
      <c r="I71" s="568"/>
      <c r="J71" s="641" t="str">
        <f t="shared" ref="J71:J78" si="11">AV18</f>
        <v>PIÑA RODAJA 850</v>
      </c>
      <c r="K71" s="468"/>
      <c r="L71" s="468"/>
      <c r="M71" s="564">
        <f t="shared" ref="M71:M78" si="12">IFERROR(L71/K71,0*1)</f>
        <v>0</v>
      </c>
      <c r="N71" s="640"/>
      <c r="O71" s="569"/>
      <c r="P71" s="569"/>
      <c r="Q71" s="569"/>
      <c r="R71" s="569"/>
      <c r="S71" s="569"/>
      <c r="T71" s="642" t="str">
        <f t="shared" ref="T71:T78" si="13">AV18</f>
        <v>PIÑA RODAJA 850</v>
      </c>
      <c r="U71" s="95">
        <f t="shared" ref="U71:U78" si="14">K71</f>
        <v>0</v>
      </c>
      <c r="V71" s="468"/>
      <c r="W71" s="564">
        <f t="shared" ref="W71:W78" si="15">IFERROR(V71/U71,0*1)</f>
        <v>0</v>
      </c>
      <c r="X71" s="569"/>
      <c r="Y71" s="569"/>
      <c r="Z71" s="569"/>
      <c r="AA71" s="570"/>
      <c r="AK71" s="609"/>
      <c r="AL71" s="1" t="str">
        <f>EF!B19</f>
        <v>CAPITAL DE TRABAJO</v>
      </c>
      <c r="AM71" s="93">
        <f>EF!C19</f>
        <v>340000</v>
      </c>
      <c r="AN71" s="509">
        <v>0.5</v>
      </c>
      <c r="AO71" s="584">
        <f t="shared" si="8"/>
        <v>0.5</v>
      </c>
      <c r="AP71" s="611"/>
      <c r="AQ71" s="611"/>
      <c r="AR71" s="611"/>
      <c r="AS71" s="611"/>
      <c r="AT71" s="611"/>
      <c r="AU71" s="611"/>
      <c r="AV71" s="1" t="str">
        <f>EF!B36</f>
        <v>CAPITAL DE TRABAJO</v>
      </c>
      <c r="AW71" s="93">
        <f>EF!C36</f>
        <v>0</v>
      </c>
      <c r="AX71" s="509">
        <v>1</v>
      </c>
      <c r="AY71" s="584">
        <f t="shared" si="9"/>
        <v>0</v>
      </c>
      <c r="AZ71" s="613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</row>
    <row r="72" spans="9:110" x14ac:dyDescent="0.35">
      <c r="I72" s="568"/>
      <c r="J72" s="641" t="str">
        <f t="shared" si="11"/>
        <v>PIÑA TROZO 850</v>
      </c>
      <c r="K72" s="468"/>
      <c r="L72" s="468"/>
      <c r="M72" s="564">
        <f t="shared" si="12"/>
        <v>0</v>
      </c>
      <c r="N72" s="640"/>
      <c r="O72" s="569"/>
      <c r="P72" s="569"/>
      <c r="Q72" s="569"/>
      <c r="R72" s="569"/>
      <c r="S72" s="569"/>
      <c r="T72" s="642" t="str">
        <f t="shared" si="13"/>
        <v>PIÑA TROZO 850</v>
      </c>
      <c r="U72" s="95">
        <f t="shared" si="14"/>
        <v>0</v>
      </c>
      <c r="V72" s="468"/>
      <c r="W72" s="564">
        <f t="shared" si="15"/>
        <v>0</v>
      </c>
      <c r="X72" s="569"/>
      <c r="Y72" s="569"/>
      <c r="Z72" s="569"/>
      <c r="AA72" s="570"/>
      <c r="AK72" s="609"/>
      <c r="AL72" s="611"/>
      <c r="AM72" s="611"/>
      <c r="AN72" s="612"/>
      <c r="AO72" s="612"/>
      <c r="AP72" s="611"/>
      <c r="AQ72" s="611"/>
      <c r="AR72" s="611"/>
      <c r="AS72" s="611"/>
      <c r="AT72" s="611"/>
      <c r="AU72" s="611"/>
      <c r="AV72" s="611"/>
      <c r="AW72" s="611"/>
      <c r="AX72" s="611"/>
      <c r="AY72" s="611"/>
      <c r="AZ72" s="613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</row>
    <row r="73" spans="9:110" x14ac:dyDescent="0.35">
      <c r="I73" s="568"/>
      <c r="J73" s="641" t="str">
        <f t="shared" si="11"/>
        <v>PIÑA TROZO A-10</v>
      </c>
      <c r="K73" s="468"/>
      <c r="L73" s="468"/>
      <c r="M73" s="564">
        <f t="shared" si="12"/>
        <v>0</v>
      </c>
      <c r="N73" s="640"/>
      <c r="O73" s="569"/>
      <c r="P73" s="569"/>
      <c r="Q73" s="569"/>
      <c r="R73" s="569"/>
      <c r="S73" s="569"/>
      <c r="T73" s="642" t="str">
        <f t="shared" si="13"/>
        <v>PIÑA TROZO A-10</v>
      </c>
      <c r="U73" s="95">
        <f t="shared" si="14"/>
        <v>0</v>
      </c>
      <c r="V73" s="468"/>
      <c r="W73" s="564">
        <f t="shared" si="15"/>
        <v>0</v>
      </c>
      <c r="X73" s="569"/>
      <c r="Y73" s="569"/>
      <c r="Z73" s="569"/>
      <c r="AA73" s="570"/>
      <c r="AK73" s="609"/>
      <c r="AL73" s="611"/>
      <c r="AM73" s="611"/>
      <c r="AN73" s="612"/>
      <c r="AO73" s="612"/>
      <c r="AP73" s="611"/>
      <c r="AQ73" s="611"/>
      <c r="AR73" s="611"/>
      <c r="AS73" s="611"/>
      <c r="AT73" s="611"/>
      <c r="AU73" s="611"/>
      <c r="AV73" s="611"/>
      <c r="AW73" s="611"/>
      <c r="AX73" s="611"/>
      <c r="AY73" s="611"/>
      <c r="AZ73" s="613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</row>
    <row r="74" spans="9:110" ht="29" customHeight="1" x14ac:dyDescent="0.35">
      <c r="I74" s="568"/>
      <c r="J74" s="641" t="str">
        <f t="shared" si="11"/>
        <v>PIÑA RODAJA A-10</v>
      </c>
      <c r="K74" s="468"/>
      <c r="L74" s="468"/>
      <c r="M74" s="564">
        <f t="shared" si="12"/>
        <v>0</v>
      </c>
      <c r="N74" s="640"/>
      <c r="O74" s="569"/>
      <c r="P74" s="569"/>
      <c r="Q74" s="569"/>
      <c r="R74" s="569"/>
      <c r="S74" s="569"/>
      <c r="T74" s="642" t="str">
        <f t="shared" si="13"/>
        <v>PIÑA RODAJA A-10</v>
      </c>
      <c r="U74" s="95">
        <f t="shared" si="14"/>
        <v>0</v>
      </c>
      <c r="V74" s="468"/>
      <c r="W74" s="564">
        <f t="shared" si="15"/>
        <v>0</v>
      </c>
      <c r="X74" s="569"/>
      <c r="Y74" s="569"/>
      <c r="Z74" s="569"/>
      <c r="AA74" s="570"/>
      <c r="AB74" s="1092" t="s">
        <v>565</v>
      </c>
      <c r="AC74" s="127" t="s">
        <v>566</v>
      </c>
      <c r="AK74" s="609"/>
      <c r="AL74" s="611"/>
      <c r="AM74" s="611"/>
      <c r="AN74" s="612"/>
      <c r="AO74" s="611"/>
      <c r="AP74" s="611"/>
      <c r="AQ74" s="611"/>
      <c r="AR74" s="611"/>
      <c r="AS74" s="611"/>
      <c r="AT74" s="611"/>
      <c r="AU74" s="611"/>
      <c r="AV74" s="611"/>
      <c r="AW74" s="611"/>
      <c r="AX74" s="611"/>
      <c r="AY74" s="611"/>
      <c r="AZ74" s="613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</row>
    <row r="75" spans="9:110" x14ac:dyDescent="0.35">
      <c r="I75" s="568"/>
      <c r="J75" s="641" t="str">
        <f t="shared" si="11"/>
        <v>PIÑA RODAJA 567</v>
      </c>
      <c r="K75" s="468">
        <v>24</v>
      </c>
      <c r="L75" s="468">
        <v>28</v>
      </c>
      <c r="M75" s="564">
        <f t="shared" si="12"/>
        <v>1.1666666666666667</v>
      </c>
      <c r="N75" s="640"/>
      <c r="O75" s="569"/>
      <c r="P75" s="569"/>
      <c r="Q75" s="569"/>
      <c r="R75" s="569"/>
      <c r="S75" s="569"/>
      <c r="T75" s="642" t="str">
        <f t="shared" si="13"/>
        <v>PIÑA RODAJA 567</v>
      </c>
      <c r="U75" s="95">
        <f t="shared" si="14"/>
        <v>24</v>
      </c>
      <c r="V75" s="468">
        <v>28</v>
      </c>
      <c r="W75" s="564">
        <f t="shared" si="15"/>
        <v>1.1666666666666667</v>
      </c>
      <c r="X75" s="816">
        <f>W75/340*1000</f>
        <v>3.4313725490196081</v>
      </c>
      <c r="Y75" s="816"/>
      <c r="Z75" s="569"/>
      <c r="AA75" s="570"/>
      <c r="AB75" s="6">
        <f>16/10.2</f>
        <v>1.5686274509803924</v>
      </c>
      <c r="AC75" s="6">
        <v>1.25</v>
      </c>
      <c r="AK75" s="609"/>
      <c r="AL75" s="611"/>
      <c r="AM75" s="611"/>
      <c r="AN75" s="612"/>
      <c r="AO75" s="611"/>
      <c r="AP75" s="611"/>
      <c r="AQ75" s="611"/>
      <c r="AR75" s="611"/>
      <c r="AS75" s="611"/>
      <c r="AT75" s="611"/>
      <c r="AU75" s="611"/>
      <c r="AV75" s="611"/>
      <c r="AW75" s="611"/>
      <c r="AX75" s="611"/>
      <c r="AY75" s="611"/>
      <c r="AZ75" s="613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</row>
    <row r="76" spans="9:110" x14ac:dyDescent="0.35">
      <c r="I76" s="568"/>
      <c r="J76" s="641" t="str">
        <f t="shared" si="11"/>
        <v>PIÑA TROZO 567</v>
      </c>
      <c r="K76" s="468">
        <v>24</v>
      </c>
      <c r="L76" s="468">
        <v>27</v>
      </c>
      <c r="M76" s="564">
        <f t="shared" si="12"/>
        <v>1.125</v>
      </c>
      <c r="N76" s="640"/>
      <c r="O76" s="569"/>
      <c r="P76" s="569"/>
      <c r="Q76" s="569"/>
      <c r="R76" s="569"/>
      <c r="S76" s="569"/>
      <c r="T76" s="642" t="str">
        <f t="shared" si="13"/>
        <v>PIÑA TROZO 567</v>
      </c>
      <c r="U76" s="95">
        <f t="shared" si="14"/>
        <v>24</v>
      </c>
      <c r="V76" s="468">
        <v>27</v>
      </c>
      <c r="W76" s="564">
        <f t="shared" si="15"/>
        <v>1.125</v>
      </c>
      <c r="X76" s="816">
        <f>W76/340*1000</f>
        <v>3.3088235294117645</v>
      </c>
      <c r="Y76" s="816"/>
      <c r="Z76" s="569"/>
      <c r="AA76" s="570"/>
      <c r="AK76" s="609"/>
      <c r="AL76" s="611"/>
      <c r="AM76" s="611"/>
      <c r="AN76" s="612"/>
      <c r="AO76" s="611"/>
      <c r="AP76" s="611"/>
      <c r="AQ76" s="611"/>
      <c r="AR76" s="611"/>
      <c r="AS76" s="611"/>
      <c r="AT76" s="611"/>
      <c r="AU76" s="611"/>
      <c r="AV76" s="611"/>
      <c r="AW76" s="611"/>
      <c r="AX76" s="611"/>
      <c r="AY76" s="611"/>
      <c r="AZ76" s="613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</row>
    <row r="77" spans="9:110" x14ac:dyDescent="0.35">
      <c r="I77" s="568"/>
      <c r="J77" s="641" t="str">
        <f t="shared" si="11"/>
        <v>PIÑA RODAJA 822</v>
      </c>
      <c r="K77" s="468">
        <v>12</v>
      </c>
      <c r="L77" s="468">
        <v>19</v>
      </c>
      <c r="M77" s="564">
        <f t="shared" si="12"/>
        <v>1.5833333333333333</v>
      </c>
      <c r="N77" s="640"/>
      <c r="O77" s="569"/>
      <c r="P77" s="569"/>
      <c r="Q77" s="569"/>
      <c r="R77" s="569"/>
      <c r="S77" s="569"/>
      <c r="T77" s="642" t="str">
        <f t="shared" si="13"/>
        <v>PIÑA RODAJA 822</v>
      </c>
      <c r="U77" s="95">
        <f t="shared" si="14"/>
        <v>12</v>
      </c>
      <c r="V77" s="468">
        <v>19</v>
      </c>
      <c r="W77" s="564">
        <f t="shared" si="15"/>
        <v>1.5833333333333333</v>
      </c>
      <c r="X77" s="816">
        <f>W77/500*1000</f>
        <v>3.1666666666666665</v>
      </c>
      <c r="Y77" s="816"/>
      <c r="Z77" s="569"/>
      <c r="AA77" s="570"/>
      <c r="AB77" s="6">
        <f>26/13.608</f>
        <v>1.9106407995296883</v>
      </c>
      <c r="AC77" s="6">
        <v>1.31</v>
      </c>
      <c r="AK77" s="609"/>
      <c r="AL77" s="611"/>
      <c r="AM77" s="611"/>
      <c r="AN77" s="612"/>
      <c r="AO77" s="611"/>
      <c r="AP77" s="611"/>
      <c r="AQ77" s="611"/>
      <c r="AR77" s="611"/>
      <c r="AS77" s="611"/>
      <c r="AT77" s="611"/>
      <c r="AU77" s="611"/>
      <c r="AV77" s="611"/>
      <c r="AW77" s="611"/>
      <c r="AX77" s="611"/>
      <c r="AY77" s="611"/>
      <c r="AZ77" s="613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</row>
    <row r="78" spans="9:110" x14ac:dyDescent="0.35">
      <c r="I78" s="568"/>
      <c r="J78" s="641" t="str">
        <f t="shared" si="11"/>
        <v>PIÑA TROZO 822</v>
      </c>
      <c r="K78" s="468">
        <v>12</v>
      </c>
      <c r="L78" s="468">
        <v>18</v>
      </c>
      <c r="M78" s="564">
        <f t="shared" si="12"/>
        <v>1.5</v>
      </c>
      <c r="N78" s="572"/>
      <c r="O78" s="569"/>
      <c r="P78" s="569"/>
      <c r="Q78" s="569"/>
      <c r="R78" s="569"/>
      <c r="S78" s="569"/>
      <c r="T78" s="642" t="str">
        <f t="shared" si="13"/>
        <v>PIÑA TROZO 822</v>
      </c>
      <c r="U78" s="95">
        <f t="shared" si="14"/>
        <v>12</v>
      </c>
      <c r="V78" s="468">
        <v>18</v>
      </c>
      <c r="W78" s="564">
        <f t="shared" si="15"/>
        <v>1.5</v>
      </c>
      <c r="X78" s="816">
        <f>W78/500*1000</f>
        <v>3</v>
      </c>
      <c r="Y78" s="816"/>
      <c r="Z78" s="569"/>
      <c r="AA78" s="570"/>
      <c r="AK78" s="609"/>
      <c r="AL78" s="611"/>
      <c r="AM78" s="611"/>
      <c r="AN78" s="611"/>
      <c r="AO78" s="611"/>
      <c r="AP78" s="611"/>
      <c r="AQ78" s="611"/>
      <c r="AR78" s="611"/>
      <c r="AS78" s="611"/>
      <c r="AT78" s="611"/>
      <c r="AU78" s="611"/>
      <c r="AV78" s="611"/>
      <c r="AW78" s="611"/>
      <c r="AX78" s="611"/>
      <c r="AY78" s="611"/>
      <c r="AZ78" s="613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</row>
    <row r="79" spans="9:110" x14ac:dyDescent="0.35">
      <c r="I79" s="568"/>
      <c r="J79" s="569"/>
      <c r="K79" s="573"/>
      <c r="L79" s="569"/>
      <c r="M79" s="569"/>
      <c r="N79" s="569"/>
      <c r="O79" s="569"/>
      <c r="P79" s="569"/>
      <c r="Q79" s="569"/>
      <c r="R79" s="569"/>
      <c r="S79" s="569"/>
      <c r="T79" s="569"/>
      <c r="U79" s="569"/>
      <c r="V79" s="569"/>
      <c r="W79" s="569"/>
      <c r="X79" s="569"/>
      <c r="Y79" s="569"/>
      <c r="Z79" s="569"/>
      <c r="AA79" s="570"/>
      <c r="AK79" s="609"/>
      <c r="AL79" s="611"/>
      <c r="AM79" s="611"/>
      <c r="AN79" s="611"/>
      <c r="AO79" s="611"/>
      <c r="AP79" s="611"/>
      <c r="AQ79" s="611"/>
      <c r="AR79" s="611"/>
      <c r="AS79" s="611"/>
      <c r="AT79" s="611"/>
      <c r="AU79" s="611"/>
      <c r="AV79" s="611"/>
      <c r="AW79" s="611"/>
      <c r="AX79" s="611"/>
      <c r="AY79" s="611"/>
      <c r="AZ79" s="613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</row>
    <row r="80" spans="9:110" ht="14" customHeight="1" thickBot="1" x14ac:dyDescent="0.4">
      <c r="I80" s="571"/>
      <c r="J80" s="574"/>
      <c r="K80" s="575"/>
      <c r="L80" s="574"/>
      <c r="M80" s="574"/>
      <c r="N80" s="574"/>
      <c r="O80" s="574"/>
      <c r="P80" s="574"/>
      <c r="Q80" s="574"/>
      <c r="R80" s="574"/>
      <c r="S80" s="574"/>
      <c r="T80" s="574"/>
      <c r="U80" s="574"/>
      <c r="V80" s="574"/>
      <c r="W80" s="574"/>
      <c r="X80" s="574"/>
      <c r="Y80" s="574"/>
      <c r="Z80" s="574"/>
      <c r="AA80" s="576"/>
      <c r="AK80" s="610"/>
      <c r="AL80" s="614"/>
      <c r="AM80" s="614"/>
      <c r="AN80" s="614"/>
      <c r="AO80" s="614"/>
      <c r="AP80" s="614"/>
      <c r="AQ80" s="614"/>
      <c r="AR80" s="614"/>
      <c r="AS80" s="614"/>
      <c r="AT80" s="614"/>
      <c r="AU80" s="614"/>
      <c r="AV80" s="614"/>
      <c r="AW80" s="614"/>
      <c r="AX80" s="614"/>
      <c r="AY80" s="614"/>
      <c r="AZ80" s="615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</row>
    <row r="81" spans="9:110" x14ac:dyDescent="0.35">
      <c r="K81" s="453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</row>
    <row r="82" spans="9:110" x14ac:dyDescent="0.35"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9:110" x14ac:dyDescent="0.35"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9:110" ht="16" thickBot="1" x14ac:dyDescent="0.4"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9:110" x14ac:dyDescent="0.35">
      <c r="I85" s="871" t="s">
        <v>432</v>
      </c>
      <c r="J85" s="872"/>
      <c r="K85" s="872"/>
      <c r="L85" s="872"/>
      <c r="M85" s="872"/>
      <c r="N85" s="872"/>
      <c r="O85" s="872"/>
      <c r="P85" s="872"/>
      <c r="Q85" s="872"/>
      <c r="R85" s="872"/>
      <c r="S85" s="872"/>
      <c r="T85" s="872"/>
      <c r="U85" s="872"/>
      <c r="V85" s="872"/>
      <c r="W85" s="872"/>
      <c r="X85" s="872"/>
      <c r="Y85" s="872"/>
      <c r="Z85" s="872"/>
      <c r="AA85" s="873"/>
      <c r="AK85"/>
      <c r="AL85"/>
      <c r="AM85"/>
      <c r="AN85"/>
      <c r="AO85"/>
      <c r="AP85"/>
      <c r="AQ85"/>
      <c r="AR85"/>
      <c r="AS85"/>
      <c r="AT85"/>
      <c r="AU85"/>
      <c r="AV85"/>
      <c r="BA85"/>
    </row>
    <row r="86" spans="9:110" ht="27.5" customHeight="1" thickBot="1" x14ac:dyDescent="0.4">
      <c r="I86" s="874"/>
      <c r="J86" s="875"/>
      <c r="K86" s="875"/>
      <c r="L86" s="875"/>
      <c r="M86" s="875"/>
      <c r="N86" s="875"/>
      <c r="O86" s="875"/>
      <c r="P86" s="875"/>
      <c r="Q86" s="875"/>
      <c r="R86" s="875"/>
      <c r="S86" s="875"/>
      <c r="T86" s="875"/>
      <c r="U86" s="875"/>
      <c r="V86" s="875"/>
      <c r="W86" s="875"/>
      <c r="X86" s="875"/>
      <c r="Y86" s="875"/>
      <c r="Z86" s="875"/>
      <c r="AA86" s="876"/>
      <c r="AK86"/>
      <c r="AL86"/>
      <c r="AM86"/>
      <c r="AN86"/>
      <c r="AO86"/>
      <c r="AP86"/>
      <c r="AQ86"/>
      <c r="AR86"/>
      <c r="AS86"/>
      <c r="AT86"/>
      <c r="AU86"/>
      <c r="AV86"/>
      <c r="BA86"/>
    </row>
    <row r="87" spans="9:110" x14ac:dyDescent="0.35">
      <c r="I87" s="619"/>
      <c r="J87" s="611"/>
      <c r="K87" s="611"/>
      <c r="L87" s="611"/>
      <c r="M87" s="611"/>
      <c r="N87" s="611"/>
      <c r="O87" s="611"/>
      <c r="P87" s="611"/>
      <c r="Q87" s="611"/>
      <c r="R87" s="611"/>
      <c r="S87" s="611"/>
      <c r="T87" s="611"/>
      <c r="U87" s="611"/>
      <c r="V87" s="611"/>
      <c r="W87" s="611"/>
      <c r="X87" s="611"/>
      <c r="Y87" s="611"/>
      <c r="Z87" s="611"/>
      <c r="AA87" s="613"/>
      <c r="AK87"/>
      <c r="AL87"/>
      <c r="AM87"/>
      <c r="AN87"/>
      <c r="AO87"/>
      <c r="AP87"/>
      <c r="AQ87"/>
      <c r="AR87"/>
      <c r="AS87"/>
      <c r="AT87"/>
      <c r="AU87"/>
      <c r="AV87"/>
      <c r="BA87"/>
    </row>
    <row r="88" spans="9:110" ht="15.5" customHeight="1" thickBot="1" x14ac:dyDescent="0.4">
      <c r="I88" s="619"/>
      <c r="J88" s="611"/>
      <c r="K88" s="611"/>
      <c r="L88" s="611"/>
      <c r="M88" s="611"/>
      <c r="N88" s="611"/>
      <c r="O88" s="611"/>
      <c r="P88" s="611"/>
      <c r="Q88" s="611"/>
      <c r="R88" s="611"/>
      <c r="S88" s="611"/>
      <c r="T88" s="611"/>
      <c r="U88" s="611"/>
      <c r="V88" s="611"/>
      <c r="W88" s="611"/>
      <c r="X88" s="611"/>
      <c r="Y88" s="611"/>
      <c r="Z88" s="611"/>
      <c r="AA88" s="613"/>
      <c r="AK88"/>
      <c r="AL88"/>
      <c r="AM88"/>
      <c r="AN88"/>
      <c r="AO88"/>
      <c r="AP88"/>
      <c r="AQ88"/>
      <c r="AR88"/>
      <c r="AS88"/>
      <c r="AT88"/>
      <c r="AU88"/>
      <c r="AV88"/>
      <c r="BA88"/>
    </row>
    <row r="89" spans="9:110" ht="27" customHeight="1" x14ac:dyDescent="0.35">
      <c r="I89" s="619"/>
      <c r="J89" s="869" t="s">
        <v>205</v>
      </c>
      <c r="K89" s="870"/>
      <c r="L89" s="616">
        <f>C11+1</f>
        <v>2026</v>
      </c>
      <c r="M89" s="616">
        <f t="shared" ref="M89:R89" si="16">L89+1</f>
        <v>2027</v>
      </c>
      <c r="N89" s="616">
        <f t="shared" si="16"/>
        <v>2028</v>
      </c>
      <c r="O89" s="616">
        <f t="shared" si="16"/>
        <v>2029</v>
      </c>
      <c r="P89" s="616">
        <f t="shared" si="16"/>
        <v>2030</v>
      </c>
      <c r="Q89" s="616">
        <f t="shared" si="16"/>
        <v>2031</v>
      </c>
      <c r="R89" s="616">
        <f t="shared" si="16"/>
        <v>2032</v>
      </c>
      <c r="S89" s="616">
        <f>R89+1</f>
        <v>2033</v>
      </c>
      <c r="T89" s="617">
        <f t="shared" ref="T89" si="17">S89+1</f>
        <v>2034</v>
      </c>
      <c r="U89" s="611"/>
      <c r="V89" s="611"/>
      <c r="W89" s="611"/>
      <c r="X89" s="611"/>
      <c r="Y89" s="611"/>
      <c r="Z89" s="611"/>
      <c r="AA89" s="613"/>
    </row>
    <row r="90" spans="9:110" ht="38" customHeight="1" x14ac:dyDescent="0.35">
      <c r="I90" s="619"/>
      <c r="J90" s="865" t="s">
        <v>431</v>
      </c>
      <c r="K90" s="866"/>
      <c r="L90" s="618">
        <v>0</v>
      </c>
      <c r="M90" s="618">
        <v>0</v>
      </c>
      <c r="N90" s="618">
        <v>0</v>
      </c>
      <c r="O90" s="618">
        <v>0</v>
      </c>
      <c r="P90" s="618">
        <v>0</v>
      </c>
      <c r="Q90" s="618">
        <v>0</v>
      </c>
      <c r="R90" s="618">
        <v>0</v>
      </c>
      <c r="S90" s="618">
        <v>0</v>
      </c>
      <c r="T90" s="618">
        <v>0</v>
      </c>
      <c r="U90" s="611"/>
      <c r="V90" s="611"/>
      <c r="W90" s="611"/>
      <c r="X90" s="611"/>
      <c r="Y90" s="611"/>
      <c r="Z90" s="611"/>
      <c r="AA90" s="613"/>
    </row>
    <row r="91" spans="9:110" ht="38" customHeight="1" x14ac:dyDescent="0.35">
      <c r="I91" s="619"/>
      <c r="J91" s="865" t="s">
        <v>239</v>
      </c>
      <c r="K91" s="866"/>
      <c r="L91" s="618">
        <v>0</v>
      </c>
      <c r="M91" s="618">
        <v>0</v>
      </c>
      <c r="N91" s="618">
        <v>0</v>
      </c>
      <c r="O91" s="618">
        <v>0</v>
      </c>
      <c r="P91" s="618">
        <v>0</v>
      </c>
      <c r="Q91" s="618">
        <v>0</v>
      </c>
      <c r="R91" s="618">
        <v>0</v>
      </c>
      <c r="S91" s="618">
        <v>0</v>
      </c>
      <c r="T91" s="618">
        <v>0</v>
      </c>
      <c r="U91" s="611"/>
      <c r="V91" s="611"/>
      <c r="W91" s="611"/>
      <c r="X91" s="611"/>
      <c r="Y91" s="611"/>
      <c r="Z91" s="611"/>
      <c r="AA91" s="613"/>
    </row>
    <row r="92" spans="9:110" ht="38" customHeight="1" x14ac:dyDescent="0.35">
      <c r="I92" s="619"/>
      <c r="J92" s="865" t="s">
        <v>286</v>
      </c>
      <c r="K92" s="866"/>
      <c r="L92" s="618">
        <v>0</v>
      </c>
      <c r="M92" s="618">
        <v>0</v>
      </c>
      <c r="N92" s="618">
        <v>0</v>
      </c>
      <c r="O92" s="618">
        <v>0</v>
      </c>
      <c r="P92" s="618">
        <v>0</v>
      </c>
      <c r="Q92" s="618">
        <v>0</v>
      </c>
      <c r="R92" s="618">
        <v>0</v>
      </c>
      <c r="S92" s="618">
        <v>0</v>
      </c>
      <c r="T92" s="618">
        <v>0</v>
      </c>
      <c r="U92" s="611"/>
      <c r="V92" s="611"/>
      <c r="W92" s="611"/>
      <c r="X92" s="611"/>
      <c r="Y92" s="611"/>
      <c r="Z92" s="611"/>
      <c r="AA92" s="613"/>
    </row>
    <row r="93" spans="9:110" ht="38" customHeight="1" x14ac:dyDescent="0.35">
      <c r="I93" s="619"/>
      <c r="J93" s="865" t="s">
        <v>287</v>
      </c>
      <c r="K93" s="866"/>
      <c r="L93" s="618">
        <v>0</v>
      </c>
      <c r="M93" s="618">
        <v>0</v>
      </c>
      <c r="N93" s="618">
        <v>0</v>
      </c>
      <c r="O93" s="618">
        <v>0</v>
      </c>
      <c r="P93" s="618">
        <v>0</v>
      </c>
      <c r="Q93" s="618">
        <v>0</v>
      </c>
      <c r="R93" s="618">
        <v>0</v>
      </c>
      <c r="S93" s="618">
        <v>0</v>
      </c>
      <c r="T93" s="618">
        <v>0</v>
      </c>
      <c r="U93" s="611"/>
      <c r="V93" s="611"/>
      <c r="W93" s="611"/>
      <c r="X93" s="611"/>
      <c r="Y93" s="611"/>
      <c r="Z93" s="611"/>
      <c r="AA93" s="613"/>
    </row>
    <row r="94" spans="9:110" ht="38" customHeight="1" thickBot="1" x14ac:dyDescent="0.4">
      <c r="I94" s="619"/>
      <c r="J94" s="867" t="s">
        <v>315</v>
      </c>
      <c r="K94" s="868"/>
      <c r="L94" s="618">
        <v>0</v>
      </c>
      <c r="M94" s="618">
        <v>0</v>
      </c>
      <c r="N94" s="618">
        <v>0</v>
      </c>
      <c r="O94" s="618">
        <v>0</v>
      </c>
      <c r="P94" s="618">
        <v>0</v>
      </c>
      <c r="Q94" s="618">
        <v>0</v>
      </c>
      <c r="R94" s="618">
        <v>0</v>
      </c>
      <c r="S94" s="618">
        <v>0</v>
      </c>
      <c r="T94" s="618">
        <v>0</v>
      </c>
      <c r="U94" s="611"/>
      <c r="V94" s="611"/>
      <c r="W94" s="611"/>
      <c r="X94" s="611"/>
      <c r="Y94" s="611"/>
      <c r="Z94" s="611"/>
      <c r="AA94" s="613"/>
    </row>
    <row r="95" spans="9:110" ht="16" thickBot="1" x14ac:dyDescent="0.4">
      <c r="I95" s="620"/>
      <c r="J95" s="614"/>
      <c r="K95" s="614"/>
      <c r="L95" s="614"/>
      <c r="M95" s="614"/>
      <c r="N95" s="614"/>
      <c r="O95" s="614"/>
      <c r="P95" s="614"/>
      <c r="Q95" s="614"/>
      <c r="R95" s="614"/>
      <c r="S95" s="614"/>
      <c r="T95" s="614"/>
      <c r="U95" s="614"/>
      <c r="V95" s="614"/>
      <c r="W95" s="614"/>
      <c r="X95" s="614"/>
      <c r="Y95" s="614"/>
      <c r="Z95" s="614"/>
      <c r="AA95" s="615"/>
    </row>
  </sheetData>
  <mergeCells count="61">
    <mergeCell ref="K42:L42"/>
    <mergeCell ref="M42:N42"/>
    <mergeCell ref="O42:P42"/>
    <mergeCell ref="Q42:R42"/>
    <mergeCell ref="N33:P33"/>
    <mergeCell ref="L13:P13"/>
    <mergeCell ref="L20:P20"/>
    <mergeCell ref="M27:P27"/>
    <mergeCell ref="T15:T17"/>
    <mergeCell ref="BI42:BJ42"/>
    <mergeCell ref="BG42:BH42"/>
    <mergeCell ref="BE42:BF42"/>
    <mergeCell ref="AO27:AR27"/>
    <mergeCell ref="AM42:AN42"/>
    <mergeCell ref="AO42:AP42"/>
    <mergeCell ref="AQ42:AR42"/>
    <mergeCell ref="AS42:AT42"/>
    <mergeCell ref="AU42:AV42"/>
    <mergeCell ref="AV15:AV17"/>
    <mergeCell ref="AX13:AX14"/>
    <mergeCell ref="S15:S17"/>
    <mergeCell ref="BC42:BD42"/>
    <mergeCell ref="BA42:BB42"/>
    <mergeCell ref="AY42:AZ42"/>
    <mergeCell ref="AW42:AX42"/>
    <mergeCell ref="V13:V14"/>
    <mergeCell ref="AN20:AR20"/>
    <mergeCell ref="AN13:AR13"/>
    <mergeCell ref="AW15:AW17"/>
    <mergeCell ref="S42:T42"/>
    <mergeCell ref="B8:C9"/>
    <mergeCell ref="AG42:AH42"/>
    <mergeCell ref="AP33:AR33"/>
    <mergeCell ref="I8:BK9"/>
    <mergeCell ref="S10:Z11"/>
    <mergeCell ref="AV10:BC11"/>
    <mergeCell ref="U15:U17"/>
    <mergeCell ref="V15:V17"/>
    <mergeCell ref="U42:V42"/>
    <mergeCell ref="W42:X42"/>
    <mergeCell ref="Y42:Z42"/>
    <mergeCell ref="AA42:AB42"/>
    <mergeCell ref="AC42:AD42"/>
    <mergeCell ref="AE42:AF42"/>
    <mergeCell ref="AX15:AX17"/>
    <mergeCell ref="J92:K92"/>
    <mergeCell ref="J93:K93"/>
    <mergeCell ref="J94:K94"/>
    <mergeCell ref="J89:K89"/>
    <mergeCell ref="AK52:AZ53"/>
    <mergeCell ref="J90:K90"/>
    <mergeCell ref="J91:K91"/>
    <mergeCell ref="I85:AA86"/>
    <mergeCell ref="I51:AA52"/>
    <mergeCell ref="J53:P54"/>
    <mergeCell ref="T53:Z54"/>
    <mergeCell ref="AV2:AW2"/>
    <mergeCell ref="AV3:AW3"/>
    <mergeCell ref="AV4:AW4"/>
    <mergeCell ref="AV5:AW5"/>
    <mergeCell ref="AV6:AW6"/>
  </mergeCell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56DC1-30B6-4FF0-AE81-8CEB5001EEFA}">
  <sheetPr codeName="Hoja3">
    <tabColor theme="7" tint="0.79998168889431442"/>
  </sheetPr>
  <dimension ref="B1:I123"/>
  <sheetViews>
    <sheetView showGridLines="0" topLeftCell="B54" zoomScale="138" zoomScaleNormal="55" workbookViewId="0">
      <selection activeCell="C56" sqref="C56"/>
    </sheetView>
  </sheetViews>
  <sheetFormatPr baseColWidth="10" defaultRowHeight="15.5" x14ac:dyDescent="0.35"/>
  <cols>
    <col min="1" max="1" width="2.6328125" customWidth="1"/>
    <col min="2" max="2" width="73.6328125" style="4" customWidth="1"/>
    <col min="3" max="3" width="13.36328125" style="173" customWidth="1"/>
    <col min="4" max="5" width="15.54296875" style="173" customWidth="1"/>
    <col min="6" max="6" width="3.453125" style="4" customWidth="1"/>
    <col min="7" max="7" width="55.08984375" style="4" customWidth="1"/>
    <col min="8" max="8" width="18.26953125" style="4" customWidth="1"/>
    <col min="9" max="9" width="55.453125" style="4" customWidth="1"/>
  </cols>
  <sheetData>
    <row r="1" spans="2:9" ht="16" thickBot="1" x14ac:dyDescent="0.4"/>
    <row r="2" spans="2:9" ht="15.5" customHeight="1" x14ac:dyDescent="0.35">
      <c r="B2" s="934" t="s">
        <v>69</v>
      </c>
      <c r="C2" s="935"/>
      <c r="D2" s="935"/>
      <c r="E2" s="935"/>
      <c r="F2" s="935"/>
      <c r="G2" s="935"/>
      <c r="H2" s="935"/>
      <c r="I2" s="936"/>
    </row>
    <row r="3" spans="2:9" ht="15.5" customHeight="1" thickBot="1" x14ac:dyDescent="0.4">
      <c r="B3" s="937"/>
      <c r="C3" s="938"/>
      <c r="D3" s="938"/>
      <c r="E3" s="938"/>
      <c r="F3" s="938"/>
      <c r="G3" s="938"/>
      <c r="H3" s="938"/>
      <c r="I3" s="939"/>
    </row>
    <row r="5" spans="2:9" ht="30" x14ac:dyDescent="0.35">
      <c r="B5" s="5" t="s">
        <v>4</v>
      </c>
      <c r="C5" s="727" t="s">
        <v>5</v>
      </c>
      <c r="D5" s="728" t="s">
        <v>7</v>
      </c>
      <c r="E5" s="729" t="s">
        <v>6</v>
      </c>
      <c r="F5" s="86"/>
      <c r="G5" s="85" t="s">
        <v>108</v>
      </c>
      <c r="H5" s="46" t="s">
        <v>109</v>
      </c>
      <c r="I5" s="46" t="s">
        <v>110</v>
      </c>
    </row>
    <row r="6" spans="2:9" ht="25" customHeight="1" x14ac:dyDescent="0.35">
      <c r="B6" s="7" t="s">
        <v>71</v>
      </c>
      <c r="C6" s="171"/>
      <c r="D6" s="171"/>
      <c r="E6" s="171"/>
      <c r="F6" s="87"/>
    </row>
    <row r="7" spans="2:9" x14ac:dyDescent="0.35">
      <c r="B7" s="31"/>
      <c r="C7" s="172"/>
      <c r="D7" s="172"/>
      <c r="E7" s="94">
        <f t="shared" ref="E7:E8" si="0">C7*D7</f>
        <v>0</v>
      </c>
      <c r="F7" s="87"/>
      <c r="G7" s="2"/>
      <c r="H7" s="2"/>
      <c r="I7" s="2"/>
    </row>
    <row r="8" spans="2:9" x14ac:dyDescent="0.35">
      <c r="B8" s="31"/>
      <c r="C8" s="172"/>
      <c r="D8" s="172"/>
      <c r="E8" s="94">
        <f t="shared" si="0"/>
        <v>0</v>
      </c>
      <c r="F8" s="87"/>
      <c r="G8" s="2"/>
      <c r="H8" s="2"/>
      <c r="I8" s="2"/>
    </row>
    <row r="9" spans="2:9" x14ac:dyDescent="0.35">
      <c r="B9" s="62" t="s">
        <v>123</v>
      </c>
      <c r="C9" s="730"/>
      <c r="D9" s="730"/>
      <c r="E9" s="730">
        <f>SUM(E7:E8)</f>
        <v>0</v>
      </c>
      <c r="F9" s="88"/>
      <c r="G9" s="76"/>
      <c r="H9" s="76"/>
      <c r="I9" s="76"/>
    </row>
    <row r="10" spans="2:9" ht="25" customHeight="1" x14ac:dyDescent="0.35">
      <c r="B10" s="7" t="s">
        <v>8</v>
      </c>
      <c r="C10" s="171"/>
      <c r="D10" s="171"/>
      <c r="E10" s="171"/>
      <c r="F10" s="87"/>
      <c r="G10" s="6"/>
      <c r="H10" s="6"/>
      <c r="I10" s="6"/>
    </row>
    <row r="11" spans="2:9" x14ac:dyDescent="0.35">
      <c r="B11" s="720" t="s">
        <v>458</v>
      </c>
      <c r="C11" s="717">
        <v>1</v>
      </c>
      <c r="D11" s="717">
        <f>180*600</f>
        <v>108000</v>
      </c>
      <c r="E11" s="94">
        <f>C11*D11</f>
        <v>108000</v>
      </c>
      <c r="F11" s="721"/>
      <c r="G11" s="468" t="s">
        <v>459</v>
      </c>
      <c r="H11" s="468" t="s">
        <v>460</v>
      </c>
      <c r="I11" s="2"/>
    </row>
    <row r="12" spans="2:9" x14ac:dyDescent="0.35">
      <c r="B12" s="31"/>
      <c r="C12" s="172"/>
      <c r="D12" s="172"/>
      <c r="E12" s="94">
        <f t="shared" ref="E12:E15" si="1">C12*D12</f>
        <v>0</v>
      </c>
      <c r="F12" s="224"/>
      <c r="G12" s="2"/>
      <c r="H12" s="2"/>
      <c r="I12" s="2"/>
    </row>
    <row r="13" spans="2:9" x14ac:dyDescent="0.35">
      <c r="B13" s="2"/>
      <c r="C13" s="172"/>
      <c r="D13" s="172"/>
      <c r="E13" s="94">
        <f t="shared" si="1"/>
        <v>0</v>
      </c>
      <c r="F13" s="224"/>
      <c r="G13" s="2"/>
      <c r="H13" s="2"/>
      <c r="I13" s="2"/>
    </row>
    <row r="14" spans="2:9" x14ac:dyDescent="0.35">
      <c r="B14" s="2"/>
      <c r="C14" s="172"/>
      <c r="D14" s="172"/>
      <c r="E14" s="94">
        <f t="shared" si="1"/>
        <v>0</v>
      </c>
      <c r="F14" s="224"/>
      <c r="G14" s="2"/>
      <c r="H14" s="2"/>
      <c r="I14" s="2"/>
    </row>
    <row r="15" spans="2:9" x14ac:dyDescent="0.35">
      <c r="B15" s="32"/>
      <c r="C15" s="731"/>
      <c r="D15" s="731"/>
      <c r="E15" s="94">
        <f t="shared" si="1"/>
        <v>0</v>
      </c>
      <c r="F15" s="224"/>
      <c r="G15" s="32"/>
      <c r="H15" s="32"/>
      <c r="I15" s="32"/>
    </row>
    <row r="16" spans="2:9" x14ac:dyDescent="0.35">
      <c r="B16" s="62" t="s">
        <v>122</v>
      </c>
      <c r="C16" s="730"/>
      <c r="D16" s="730"/>
      <c r="E16" s="730">
        <f>SUM(E11:E15)</f>
        <v>108000</v>
      </c>
      <c r="F16" s="88"/>
      <c r="G16" s="76"/>
      <c r="H16" s="76"/>
      <c r="I16" s="76"/>
    </row>
    <row r="17" spans="2:9" ht="25" customHeight="1" x14ac:dyDescent="0.35">
      <c r="B17" s="9" t="s">
        <v>9</v>
      </c>
      <c r="C17" s="171"/>
      <c r="D17" s="171"/>
      <c r="E17" s="171"/>
      <c r="F17" s="87"/>
      <c r="G17" s="6"/>
      <c r="H17" s="6"/>
      <c r="I17" s="6"/>
    </row>
    <row r="18" spans="2:9" x14ac:dyDescent="0.35">
      <c r="B18" s="722" t="s">
        <v>461</v>
      </c>
      <c r="C18" s="732">
        <v>4</v>
      </c>
      <c r="D18" s="717">
        <v>1500</v>
      </c>
      <c r="E18" s="94">
        <f>C18*D18</f>
        <v>6000</v>
      </c>
      <c r="F18" s="433"/>
      <c r="G18" s="711" t="s">
        <v>111</v>
      </c>
      <c r="H18" s="711"/>
      <c r="I18" s="724" t="s">
        <v>114</v>
      </c>
    </row>
    <row r="19" spans="2:9" x14ac:dyDescent="0.35">
      <c r="B19" s="722" t="s">
        <v>462</v>
      </c>
      <c r="C19" s="732">
        <v>2</v>
      </c>
      <c r="D19" s="717">
        <v>2500</v>
      </c>
      <c r="E19" s="94">
        <f t="shared" ref="E19:E29" si="2">C19*D19</f>
        <v>5000</v>
      </c>
      <c r="F19" s="433"/>
      <c r="G19" s="711" t="s">
        <v>111</v>
      </c>
      <c r="H19" s="711"/>
      <c r="I19" s="512" t="s">
        <v>115</v>
      </c>
    </row>
    <row r="20" spans="2:9" x14ac:dyDescent="0.35">
      <c r="B20" s="722" t="s">
        <v>463</v>
      </c>
      <c r="C20" s="732">
        <v>2</v>
      </c>
      <c r="D20" s="717">
        <v>1500</v>
      </c>
      <c r="E20" s="94">
        <f t="shared" si="2"/>
        <v>3000</v>
      </c>
      <c r="F20" s="433"/>
      <c r="G20" s="711" t="s">
        <v>111</v>
      </c>
      <c r="H20" s="711"/>
      <c r="I20" s="512" t="s">
        <v>116</v>
      </c>
    </row>
    <row r="21" spans="2:9" x14ac:dyDescent="0.35">
      <c r="B21" s="722" t="s">
        <v>464</v>
      </c>
      <c r="C21" s="732">
        <v>2</v>
      </c>
      <c r="D21" s="717">
        <v>5000</v>
      </c>
      <c r="E21" s="94">
        <f t="shared" si="2"/>
        <v>10000</v>
      </c>
      <c r="F21" s="433"/>
      <c r="G21" s="711" t="s">
        <v>111</v>
      </c>
      <c r="H21" s="711"/>
      <c r="I21" s="512"/>
    </row>
    <row r="22" spans="2:9" x14ac:dyDescent="0.35">
      <c r="B22" s="722" t="s">
        <v>465</v>
      </c>
      <c r="C22" s="732">
        <v>1</v>
      </c>
      <c r="D22" s="717">
        <v>20000</v>
      </c>
      <c r="E22" s="94">
        <f t="shared" si="2"/>
        <v>20000</v>
      </c>
      <c r="F22" s="433"/>
      <c r="G22" s="711" t="s">
        <v>111</v>
      </c>
      <c r="H22" s="711"/>
      <c r="I22" s="512"/>
    </row>
    <row r="23" spans="2:9" x14ac:dyDescent="0.35">
      <c r="B23" s="722" t="s">
        <v>466</v>
      </c>
      <c r="C23" s="732">
        <v>1</v>
      </c>
      <c r="D23" s="717">
        <v>18000</v>
      </c>
      <c r="E23" s="94">
        <f t="shared" si="2"/>
        <v>18000</v>
      </c>
      <c r="F23" s="433"/>
      <c r="G23" s="711" t="s">
        <v>111</v>
      </c>
      <c r="H23" s="711"/>
      <c r="I23" s="512"/>
    </row>
    <row r="24" spans="2:9" x14ac:dyDescent="0.35">
      <c r="B24" s="722" t="s">
        <v>467</v>
      </c>
      <c r="C24" s="732"/>
      <c r="D24" s="717"/>
      <c r="E24" s="94">
        <f t="shared" si="2"/>
        <v>0</v>
      </c>
      <c r="F24" s="433"/>
      <c r="G24" s="711" t="s">
        <v>111</v>
      </c>
      <c r="H24" s="711" t="s">
        <v>112</v>
      </c>
      <c r="I24" s="512"/>
    </row>
    <row r="25" spans="2:9" x14ac:dyDescent="0.35">
      <c r="B25" s="722" t="s">
        <v>468</v>
      </c>
      <c r="C25" s="732"/>
      <c r="D25" s="717"/>
      <c r="E25" s="94">
        <f t="shared" si="2"/>
        <v>0</v>
      </c>
      <c r="F25" s="433"/>
      <c r="G25" s="711" t="s">
        <v>111</v>
      </c>
      <c r="H25" s="711" t="s">
        <v>112</v>
      </c>
      <c r="I25" s="512"/>
    </row>
    <row r="26" spans="2:9" x14ac:dyDescent="0.35">
      <c r="B26" s="722" t="s">
        <v>469</v>
      </c>
      <c r="C26" s="732">
        <v>1</v>
      </c>
      <c r="D26" s="717">
        <v>10000</v>
      </c>
      <c r="E26" s="94">
        <f t="shared" si="2"/>
        <v>10000</v>
      </c>
      <c r="F26" s="433"/>
      <c r="G26" s="711" t="s">
        <v>111</v>
      </c>
      <c r="H26" s="711" t="s">
        <v>113</v>
      </c>
      <c r="I26" s="512"/>
    </row>
    <row r="27" spans="2:9" x14ac:dyDescent="0.35">
      <c r="B27" s="722"/>
      <c r="C27" s="732"/>
      <c r="D27" s="717"/>
      <c r="E27" s="94">
        <f t="shared" si="2"/>
        <v>0</v>
      </c>
      <c r="F27" s="433"/>
      <c r="G27" s="711"/>
      <c r="H27" s="711"/>
      <c r="I27" s="512"/>
    </row>
    <row r="28" spans="2:9" x14ac:dyDescent="0.35">
      <c r="B28" s="74"/>
      <c r="C28" s="733"/>
      <c r="D28" s="172"/>
      <c r="E28" s="94">
        <f t="shared" si="2"/>
        <v>0</v>
      </c>
      <c r="F28" s="87"/>
      <c r="G28" s="71"/>
      <c r="H28" s="71"/>
      <c r="I28" s="73"/>
    </row>
    <row r="29" spans="2:9" x14ac:dyDescent="0.35">
      <c r="B29" s="32"/>
      <c r="C29" s="731"/>
      <c r="D29" s="731"/>
      <c r="E29" s="94">
        <f t="shared" si="2"/>
        <v>0</v>
      </c>
      <c r="F29" s="87"/>
      <c r="G29" s="2"/>
      <c r="H29" s="2"/>
      <c r="I29" s="2"/>
    </row>
    <row r="30" spans="2:9" x14ac:dyDescent="0.35">
      <c r="B30" s="62" t="s">
        <v>124</v>
      </c>
      <c r="C30" s="730"/>
      <c r="D30" s="730"/>
      <c r="E30" s="730">
        <f>SUM(E18:E29)</f>
        <v>72000</v>
      </c>
      <c r="F30" s="88"/>
      <c r="G30" s="76"/>
      <c r="H30" s="76"/>
      <c r="I30" s="76"/>
    </row>
    <row r="31" spans="2:9" ht="25" customHeight="1" x14ac:dyDescent="0.35">
      <c r="B31" s="9" t="s">
        <v>10</v>
      </c>
      <c r="C31" s="171"/>
      <c r="D31" s="171"/>
      <c r="E31" s="171"/>
      <c r="F31" s="87"/>
      <c r="G31" s="6"/>
      <c r="H31" s="6"/>
      <c r="I31" s="6"/>
    </row>
    <row r="32" spans="2:9" x14ac:dyDescent="0.35">
      <c r="B32" s="468" t="s">
        <v>470</v>
      </c>
      <c r="C32" s="717">
        <v>3</v>
      </c>
      <c r="D32" s="717">
        <v>200</v>
      </c>
      <c r="E32" s="94">
        <f>C32*D32</f>
        <v>600</v>
      </c>
      <c r="F32" s="87"/>
      <c r="G32" s="2"/>
      <c r="H32" s="2"/>
      <c r="I32" s="2"/>
    </row>
    <row r="33" spans="2:9" x14ac:dyDescent="0.35">
      <c r="B33" s="468" t="s">
        <v>471</v>
      </c>
      <c r="C33" s="717">
        <v>1</v>
      </c>
      <c r="D33" s="717">
        <v>400</v>
      </c>
      <c r="E33" s="94">
        <f t="shared" ref="E33:E41" si="3">C33*D33</f>
        <v>400</v>
      </c>
      <c r="F33" s="87"/>
      <c r="G33" s="2"/>
      <c r="H33" s="2"/>
      <c r="I33" s="2"/>
    </row>
    <row r="34" spans="2:9" x14ac:dyDescent="0.35">
      <c r="B34" s="468" t="s">
        <v>472</v>
      </c>
      <c r="C34" s="717">
        <v>12</v>
      </c>
      <c r="D34" s="717">
        <v>70</v>
      </c>
      <c r="E34" s="94">
        <f t="shared" si="3"/>
        <v>840</v>
      </c>
      <c r="F34" s="87"/>
      <c r="G34" s="2"/>
      <c r="H34" s="2"/>
      <c r="I34" s="2"/>
    </row>
    <row r="35" spans="2:9" x14ac:dyDescent="0.35">
      <c r="B35" s="2"/>
      <c r="C35" s="172"/>
      <c r="D35" s="172"/>
      <c r="E35" s="94">
        <f t="shared" si="3"/>
        <v>0</v>
      </c>
      <c r="F35" s="87"/>
      <c r="G35" s="2"/>
      <c r="H35" s="2"/>
      <c r="I35" s="2"/>
    </row>
    <row r="36" spans="2:9" x14ac:dyDescent="0.35">
      <c r="B36" s="2"/>
      <c r="C36" s="172"/>
      <c r="D36" s="172"/>
      <c r="E36" s="94">
        <f t="shared" si="3"/>
        <v>0</v>
      </c>
      <c r="F36" s="87"/>
      <c r="G36" s="2"/>
      <c r="H36" s="2"/>
      <c r="I36" s="2"/>
    </row>
    <row r="37" spans="2:9" x14ac:dyDescent="0.35">
      <c r="B37" s="2"/>
      <c r="C37" s="172"/>
      <c r="D37" s="172"/>
      <c r="E37" s="94">
        <f t="shared" si="3"/>
        <v>0</v>
      </c>
      <c r="F37" s="87"/>
      <c r="G37" s="2"/>
      <c r="H37" s="2"/>
      <c r="I37" s="2"/>
    </row>
    <row r="38" spans="2:9" x14ac:dyDescent="0.35">
      <c r="B38" s="2"/>
      <c r="C38" s="172"/>
      <c r="D38" s="172"/>
      <c r="E38" s="94">
        <f t="shared" si="3"/>
        <v>0</v>
      </c>
      <c r="F38" s="87"/>
      <c r="G38" s="2"/>
      <c r="H38" s="2"/>
      <c r="I38" s="2"/>
    </row>
    <row r="39" spans="2:9" x14ac:dyDescent="0.35">
      <c r="B39" s="75"/>
      <c r="C39" s="734"/>
      <c r="D39" s="734"/>
      <c r="E39" s="94">
        <f t="shared" si="3"/>
        <v>0</v>
      </c>
      <c r="F39" s="88"/>
      <c r="G39" s="75"/>
      <c r="H39" s="75"/>
      <c r="I39" s="75"/>
    </row>
    <row r="40" spans="2:9" x14ac:dyDescent="0.35">
      <c r="B40" s="75"/>
      <c r="C40" s="734"/>
      <c r="D40" s="734"/>
      <c r="E40" s="94">
        <f t="shared" si="3"/>
        <v>0</v>
      </c>
      <c r="F40" s="88"/>
      <c r="G40" s="75"/>
      <c r="H40" s="75"/>
      <c r="I40" s="75"/>
    </row>
    <row r="41" spans="2:9" x14ac:dyDescent="0.35">
      <c r="B41" s="75"/>
      <c r="C41" s="734"/>
      <c r="D41" s="734"/>
      <c r="E41" s="94">
        <f t="shared" si="3"/>
        <v>0</v>
      </c>
      <c r="F41" s="88"/>
      <c r="G41" s="75"/>
      <c r="H41" s="75"/>
      <c r="I41" s="75"/>
    </row>
    <row r="42" spans="2:9" x14ac:dyDescent="0.35">
      <c r="B42" s="62" t="s">
        <v>11</v>
      </c>
      <c r="C42" s="730"/>
      <c r="D42" s="730"/>
      <c r="E42" s="730">
        <f>SUM(E32:E41)</f>
        <v>1840</v>
      </c>
      <c r="F42" s="88"/>
      <c r="G42" s="76"/>
      <c r="H42" s="76"/>
      <c r="I42" s="76"/>
    </row>
    <row r="43" spans="2:9" ht="25" customHeight="1" x14ac:dyDescent="0.35">
      <c r="B43" s="9" t="s">
        <v>72</v>
      </c>
      <c r="C43" s="171"/>
      <c r="D43" s="171"/>
      <c r="E43" s="171"/>
      <c r="F43" s="87"/>
      <c r="G43" s="6"/>
      <c r="H43" s="6"/>
      <c r="I43" s="6"/>
    </row>
    <row r="44" spans="2:9" x14ac:dyDescent="0.35">
      <c r="B44" s="725" t="s">
        <v>473</v>
      </c>
      <c r="C44" s="735">
        <v>4</v>
      </c>
      <c r="D44" s="735">
        <v>700</v>
      </c>
      <c r="E44" s="736">
        <f>C44*D44</f>
        <v>2800</v>
      </c>
      <c r="F44" s="88"/>
      <c r="G44" s="75"/>
      <c r="H44" s="75"/>
      <c r="I44" s="75"/>
    </row>
    <row r="45" spans="2:9" x14ac:dyDescent="0.35">
      <c r="B45" s="725" t="s">
        <v>474</v>
      </c>
      <c r="C45" s="735">
        <v>2</v>
      </c>
      <c r="D45" s="735">
        <v>300</v>
      </c>
      <c r="E45" s="736">
        <f t="shared" ref="E45:E52" si="4">C45*D45</f>
        <v>600</v>
      </c>
      <c r="F45" s="88"/>
      <c r="G45" s="75"/>
      <c r="H45" s="75"/>
      <c r="I45" s="75"/>
    </row>
    <row r="46" spans="2:9" x14ac:dyDescent="0.35">
      <c r="B46" s="725" t="s">
        <v>475</v>
      </c>
      <c r="C46" s="735">
        <v>1</v>
      </c>
      <c r="D46" s="735">
        <v>800</v>
      </c>
      <c r="E46" s="736">
        <f t="shared" si="4"/>
        <v>800</v>
      </c>
      <c r="F46" s="88"/>
      <c r="G46" s="75"/>
      <c r="H46" s="75"/>
      <c r="I46" s="75"/>
    </row>
    <row r="47" spans="2:9" x14ac:dyDescent="0.35">
      <c r="B47" s="725" t="s">
        <v>476</v>
      </c>
      <c r="C47" s="735">
        <v>1</v>
      </c>
      <c r="D47" s="735">
        <v>2000</v>
      </c>
      <c r="E47" s="736">
        <f t="shared" si="4"/>
        <v>2000</v>
      </c>
      <c r="F47" s="88"/>
      <c r="G47" s="75"/>
      <c r="H47" s="75"/>
      <c r="I47" s="75"/>
    </row>
    <row r="48" spans="2:9" x14ac:dyDescent="0.35">
      <c r="B48" s="725" t="s">
        <v>477</v>
      </c>
      <c r="C48" s="735">
        <v>1</v>
      </c>
      <c r="D48" s="735">
        <v>800</v>
      </c>
      <c r="E48" s="736">
        <f t="shared" si="4"/>
        <v>800</v>
      </c>
      <c r="F48" s="88"/>
      <c r="G48" s="75"/>
      <c r="H48" s="75"/>
      <c r="I48" s="75"/>
    </row>
    <row r="49" spans="2:9" x14ac:dyDescent="0.35">
      <c r="B49" s="725" t="s">
        <v>478</v>
      </c>
      <c r="C49" s="735"/>
      <c r="D49" s="735"/>
      <c r="E49" s="736">
        <f t="shared" si="4"/>
        <v>0</v>
      </c>
      <c r="F49" s="88"/>
      <c r="G49" s="75"/>
      <c r="H49" s="75"/>
      <c r="I49" s="75"/>
    </row>
    <row r="50" spans="2:9" x14ac:dyDescent="0.35">
      <c r="B50" s="75"/>
      <c r="C50" s="734"/>
      <c r="D50" s="734"/>
      <c r="E50" s="736">
        <f t="shared" si="4"/>
        <v>0</v>
      </c>
      <c r="F50" s="88"/>
      <c r="G50" s="75"/>
      <c r="H50" s="75"/>
      <c r="I50" s="75"/>
    </row>
    <row r="51" spans="2:9" x14ac:dyDescent="0.35">
      <c r="B51" s="75"/>
      <c r="C51" s="734"/>
      <c r="D51" s="734"/>
      <c r="E51" s="736">
        <f t="shared" si="4"/>
        <v>0</v>
      </c>
      <c r="F51" s="88"/>
      <c r="G51" s="75"/>
      <c r="H51" s="75"/>
      <c r="I51" s="75"/>
    </row>
    <row r="52" spans="2:9" x14ac:dyDescent="0.35">
      <c r="B52" s="75"/>
      <c r="C52" s="734"/>
      <c r="D52" s="734"/>
      <c r="E52" s="736">
        <f t="shared" si="4"/>
        <v>0</v>
      </c>
      <c r="F52" s="88"/>
      <c r="G52" s="75"/>
      <c r="H52" s="75"/>
      <c r="I52" s="75"/>
    </row>
    <row r="53" spans="2:9" x14ac:dyDescent="0.35">
      <c r="B53" s="62" t="s">
        <v>125</v>
      </c>
      <c r="C53" s="730"/>
      <c r="D53" s="730"/>
      <c r="E53" s="730">
        <f>SUM(E44:E52)</f>
        <v>7000</v>
      </c>
      <c r="F53" s="88"/>
      <c r="G53" s="76"/>
      <c r="H53" s="76"/>
      <c r="I53" s="76"/>
    </row>
    <row r="54" spans="2:9" ht="25" customHeight="1" x14ac:dyDescent="0.35">
      <c r="B54" s="9" t="s">
        <v>129</v>
      </c>
      <c r="C54" s="171"/>
      <c r="D54" s="171"/>
      <c r="E54" s="171"/>
      <c r="F54" s="87"/>
      <c r="G54" s="6"/>
      <c r="H54" s="6"/>
      <c r="I54" s="6"/>
    </row>
    <row r="55" spans="2:9" x14ac:dyDescent="0.35">
      <c r="B55" s="725" t="s">
        <v>479</v>
      </c>
      <c r="C55" s="735">
        <v>1</v>
      </c>
      <c r="D55" s="735">
        <v>35000</v>
      </c>
      <c r="E55" s="736">
        <f>C55*D55</f>
        <v>35000</v>
      </c>
      <c r="F55" s="88"/>
      <c r="G55" s="75"/>
      <c r="H55" s="75"/>
      <c r="I55" s="75"/>
    </row>
    <row r="56" spans="2:9" x14ac:dyDescent="0.35">
      <c r="B56" s="725" t="s">
        <v>480</v>
      </c>
      <c r="C56" s="735">
        <v>1</v>
      </c>
      <c r="D56" s="735">
        <v>2500</v>
      </c>
      <c r="E56" s="736">
        <f t="shared" ref="E56:E63" si="5">C56*D56</f>
        <v>2500</v>
      </c>
      <c r="F56" s="88"/>
      <c r="G56" s="75"/>
      <c r="H56" s="75"/>
      <c r="I56" s="75"/>
    </row>
    <row r="57" spans="2:9" x14ac:dyDescent="0.35">
      <c r="B57" s="75"/>
      <c r="C57" s="734"/>
      <c r="D57" s="734"/>
      <c r="E57" s="736">
        <f t="shared" si="5"/>
        <v>0</v>
      </c>
      <c r="F57" s="88"/>
      <c r="G57" s="75"/>
      <c r="H57" s="75"/>
      <c r="I57" s="75"/>
    </row>
    <row r="58" spans="2:9" x14ac:dyDescent="0.35">
      <c r="B58" s="75"/>
      <c r="C58" s="734"/>
      <c r="D58" s="734"/>
      <c r="E58" s="736">
        <f t="shared" si="5"/>
        <v>0</v>
      </c>
      <c r="F58" s="88"/>
      <c r="G58" s="75"/>
      <c r="H58" s="75"/>
      <c r="I58" s="75"/>
    </row>
    <row r="59" spans="2:9" x14ac:dyDescent="0.35">
      <c r="B59" s="75"/>
      <c r="C59" s="734"/>
      <c r="D59" s="734"/>
      <c r="E59" s="736">
        <f t="shared" si="5"/>
        <v>0</v>
      </c>
      <c r="F59" s="88"/>
      <c r="G59" s="75"/>
      <c r="H59" s="75"/>
      <c r="I59" s="75"/>
    </row>
    <row r="60" spans="2:9" x14ac:dyDescent="0.35">
      <c r="B60" s="75"/>
      <c r="C60" s="734"/>
      <c r="D60" s="734"/>
      <c r="E60" s="736">
        <f t="shared" si="5"/>
        <v>0</v>
      </c>
      <c r="F60" s="88"/>
      <c r="G60" s="75"/>
      <c r="H60" s="75"/>
      <c r="I60" s="75"/>
    </row>
    <row r="61" spans="2:9" x14ac:dyDescent="0.35">
      <c r="B61" s="75"/>
      <c r="C61" s="734"/>
      <c r="D61" s="734"/>
      <c r="E61" s="736">
        <f t="shared" si="5"/>
        <v>0</v>
      </c>
      <c r="F61" s="88"/>
      <c r="G61" s="75"/>
      <c r="H61" s="75"/>
      <c r="I61" s="75"/>
    </row>
    <row r="62" spans="2:9" x14ac:dyDescent="0.35">
      <c r="B62" s="75"/>
      <c r="C62" s="734"/>
      <c r="D62" s="734"/>
      <c r="E62" s="736">
        <f t="shared" si="5"/>
        <v>0</v>
      </c>
      <c r="F62" s="88"/>
      <c r="G62" s="75"/>
      <c r="H62" s="75"/>
      <c r="I62" s="75"/>
    </row>
    <row r="63" spans="2:9" x14ac:dyDescent="0.35">
      <c r="B63" s="75"/>
      <c r="C63" s="734"/>
      <c r="D63" s="734"/>
      <c r="E63" s="736">
        <f t="shared" si="5"/>
        <v>0</v>
      </c>
      <c r="F63" s="88"/>
      <c r="G63" s="75"/>
      <c r="H63" s="75"/>
      <c r="I63" s="75"/>
    </row>
    <row r="64" spans="2:9" x14ac:dyDescent="0.35">
      <c r="B64" s="62" t="s">
        <v>130</v>
      </c>
      <c r="C64" s="730"/>
      <c r="D64" s="730"/>
      <c r="E64" s="730">
        <f>SUM(E55:E63)</f>
        <v>37500</v>
      </c>
      <c r="F64" s="88"/>
      <c r="G64" s="76"/>
      <c r="H64" s="76"/>
      <c r="I64" s="76"/>
    </row>
    <row r="65" spans="2:9" ht="25" customHeight="1" x14ac:dyDescent="0.35">
      <c r="B65" s="9" t="s">
        <v>73</v>
      </c>
      <c r="C65" s="171"/>
      <c r="D65" s="171"/>
      <c r="E65" s="171"/>
      <c r="F65" s="87"/>
      <c r="G65" s="6"/>
      <c r="H65" s="6"/>
      <c r="I65" s="6"/>
    </row>
    <row r="66" spans="2:9" x14ac:dyDescent="0.35">
      <c r="B66" s="75"/>
      <c r="C66" s="734"/>
      <c r="D66" s="734"/>
      <c r="E66" s="736">
        <f t="shared" ref="E66:E71" si="6">C66*D66</f>
        <v>0</v>
      </c>
      <c r="F66" s="88"/>
      <c r="G66" s="75"/>
      <c r="H66" s="75"/>
      <c r="I66" s="75"/>
    </row>
    <row r="67" spans="2:9" x14ac:dyDescent="0.35">
      <c r="B67" s="75"/>
      <c r="C67" s="734"/>
      <c r="D67" s="734"/>
      <c r="E67" s="736">
        <f t="shared" si="6"/>
        <v>0</v>
      </c>
      <c r="F67" s="88"/>
      <c r="G67" s="75"/>
      <c r="H67" s="75"/>
      <c r="I67" s="75"/>
    </row>
    <row r="68" spans="2:9" x14ac:dyDescent="0.35">
      <c r="B68" s="75"/>
      <c r="C68" s="734"/>
      <c r="D68" s="734"/>
      <c r="E68" s="736">
        <f t="shared" si="6"/>
        <v>0</v>
      </c>
      <c r="F68" s="88"/>
      <c r="G68" s="75"/>
      <c r="H68" s="75"/>
      <c r="I68" s="75"/>
    </row>
    <row r="69" spans="2:9" x14ac:dyDescent="0.35">
      <c r="B69" s="75"/>
      <c r="C69" s="734"/>
      <c r="D69" s="734"/>
      <c r="E69" s="736">
        <f t="shared" si="6"/>
        <v>0</v>
      </c>
      <c r="F69" s="88"/>
      <c r="G69" s="75"/>
      <c r="H69" s="75"/>
      <c r="I69" s="75"/>
    </row>
    <row r="70" spans="2:9" x14ac:dyDescent="0.35">
      <c r="B70" s="75"/>
      <c r="C70" s="734"/>
      <c r="D70" s="734"/>
      <c r="E70" s="736">
        <f t="shared" si="6"/>
        <v>0</v>
      </c>
      <c r="F70" s="88"/>
      <c r="G70" s="75"/>
      <c r="H70" s="75"/>
      <c r="I70" s="75"/>
    </row>
    <row r="71" spans="2:9" x14ac:dyDescent="0.35">
      <c r="B71" s="75"/>
      <c r="C71" s="734"/>
      <c r="D71" s="734"/>
      <c r="E71" s="736">
        <f t="shared" si="6"/>
        <v>0</v>
      </c>
      <c r="F71" s="88"/>
      <c r="G71" s="75"/>
      <c r="H71" s="75"/>
      <c r="I71" s="75"/>
    </row>
    <row r="72" spans="2:9" x14ac:dyDescent="0.35">
      <c r="B72" s="62" t="s">
        <v>126</v>
      </c>
      <c r="C72" s="730"/>
      <c r="D72" s="730"/>
      <c r="E72" s="730">
        <f>SUM(E66:E71)</f>
        <v>0</v>
      </c>
      <c r="F72" s="88"/>
      <c r="G72" s="76"/>
      <c r="H72" s="76"/>
      <c r="I72" s="76"/>
    </row>
    <row r="73" spans="2:9" ht="25" customHeight="1" x14ac:dyDescent="0.35">
      <c r="B73" s="9" t="s">
        <v>74</v>
      </c>
      <c r="C73" s="171"/>
      <c r="D73" s="171"/>
      <c r="E73" s="171"/>
      <c r="F73" s="87"/>
      <c r="G73" s="6"/>
      <c r="H73" s="6"/>
      <c r="I73" s="6"/>
    </row>
    <row r="74" spans="2:9" x14ac:dyDescent="0.35">
      <c r="B74" s="75"/>
      <c r="C74" s="734"/>
      <c r="D74" s="734"/>
      <c r="E74" s="736">
        <f t="shared" ref="E74:E79" si="7">C74*D74</f>
        <v>0</v>
      </c>
      <c r="F74" s="88"/>
      <c r="G74" s="75"/>
      <c r="H74" s="75"/>
      <c r="I74" s="75"/>
    </row>
    <row r="75" spans="2:9" x14ac:dyDescent="0.35">
      <c r="B75" s="75"/>
      <c r="C75" s="734"/>
      <c r="D75" s="734"/>
      <c r="E75" s="736">
        <f t="shared" si="7"/>
        <v>0</v>
      </c>
      <c r="F75" s="88"/>
      <c r="G75" s="75"/>
      <c r="H75" s="75"/>
      <c r="I75" s="75"/>
    </row>
    <row r="76" spans="2:9" x14ac:dyDescent="0.35">
      <c r="B76" s="75"/>
      <c r="C76" s="734"/>
      <c r="D76" s="734"/>
      <c r="E76" s="736">
        <f t="shared" si="7"/>
        <v>0</v>
      </c>
      <c r="F76" s="88"/>
      <c r="G76" s="75"/>
      <c r="H76" s="75"/>
      <c r="I76" s="75"/>
    </row>
    <row r="77" spans="2:9" x14ac:dyDescent="0.35">
      <c r="B77" s="75"/>
      <c r="C77" s="734"/>
      <c r="D77" s="734"/>
      <c r="E77" s="736">
        <f t="shared" si="7"/>
        <v>0</v>
      </c>
      <c r="F77" s="88"/>
      <c r="G77" s="75"/>
      <c r="H77" s="75"/>
      <c r="I77" s="75"/>
    </row>
    <row r="78" spans="2:9" x14ac:dyDescent="0.35">
      <c r="B78" s="75"/>
      <c r="C78" s="734"/>
      <c r="D78" s="734"/>
      <c r="E78" s="736">
        <f t="shared" si="7"/>
        <v>0</v>
      </c>
      <c r="F78" s="88"/>
      <c r="G78" s="75"/>
      <c r="H78" s="75"/>
      <c r="I78" s="75"/>
    </row>
    <row r="79" spans="2:9" x14ac:dyDescent="0.35">
      <c r="B79" s="75"/>
      <c r="C79" s="734"/>
      <c r="D79" s="734"/>
      <c r="E79" s="736">
        <f t="shared" si="7"/>
        <v>0</v>
      </c>
      <c r="F79" s="88"/>
      <c r="G79" s="75"/>
      <c r="H79" s="75"/>
      <c r="I79" s="75"/>
    </row>
    <row r="80" spans="2:9" x14ac:dyDescent="0.35">
      <c r="B80" s="62" t="s">
        <v>127</v>
      </c>
      <c r="C80" s="730"/>
      <c r="D80" s="730"/>
      <c r="E80" s="730">
        <f>SUM(E74:E79)</f>
        <v>0</v>
      </c>
      <c r="F80" s="88"/>
      <c r="G80" s="76"/>
      <c r="H80" s="76"/>
      <c r="I80" s="76"/>
    </row>
    <row r="81" spans="2:9" ht="25" customHeight="1" x14ac:dyDescent="0.35">
      <c r="B81" s="9" t="s">
        <v>75</v>
      </c>
      <c r="C81" s="171"/>
      <c r="D81" s="171"/>
      <c r="E81" s="171"/>
      <c r="F81" s="87"/>
      <c r="G81" s="6"/>
      <c r="H81" s="6"/>
      <c r="I81" s="6"/>
    </row>
    <row r="82" spans="2:9" x14ac:dyDescent="0.35">
      <c r="B82" s="75"/>
      <c r="C82" s="734"/>
      <c r="D82" s="734"/>
      <c r="E82" s="736">
        <f t="shared" ref="E82:E87" si="8">C82*D82</f>
        <v>0</v>
      </c>
      <c r="F82" s="88"/>
      <c r="G82" s="75"/>
      <c r="H82" s="75"/>
      <c r="I82" s="75"/>
    </row>
    <row r="83" spans="2:9" x14ac:dyDescent="0.35">
      <c r="B83" s="75"/>
      <c r="C83" s="734"/>
      <c r="D83" s="734"/>
      <c r="E83" s="736">
        <f t="shared" si="8"/>
        <v>0</v>
      </c>
      <c r="F83" s="88"/>
      <c r="G83" s="75"/>
      <c r="H83" s="75"/>
      <c r="I83" s="75"/>
    </row>
    <row r="84" spans="2:9" x14ac:dyDescent="0.35">
      <c r="B84" s="75"/>
      <c r="C84" s="734"/>
      <c r="D84" s="734"/>
      <c r="E84" s="736">
        <f t="shared" si="8"/>
        <v>0</v>
      </c>
      <c r="F84" s="88"/>
      <c r="G84" s="75"/>
      <c r="H84" s="75"/>
      <c r="I84" s="75"/>
    </row>
    <row r="85" spans="2:9" x14ac:dyDescent="0.35">
      <c r="B85" s="75"/>
      <c r="C85" s="734"/>
      <c r="D85" s="734"/>
      <c r="E85" s="736">
        <f t="shared" si="8"/>
        <v>0</v>
      </c>
      <c r="F85" s="88"/>
      <c r="G85" s="75"/>
      <c r="H85" s="75"/>
      <c r="I85" s="75"/>
    </row>
    <row r="86" spans="2:9" x14ac:dyDescent="0.35">
      <c r="B86" s="75"/>
      <c r="C86" s="734"/>
      <c r="D86" s="734"/>
      <c r="E86" s="736">
        <f t="shared" si="8"/>
        <v>0</v>
      </c>
      <c r="F86" s="88"/>
      <c r="G86" s="75"/>
      <c r="H86" s="75"/>
      <c r="I86" s="75"/>
    </row>
    <row r="87" spans="2:9" x14ac:dyDescent="0.35">
      <c r="B87" s="75"/>
      <c r="C87" s="734"/>
      <c r="D87" s="734"/>
      <c r="E87" s="736">
        <f t="shared" si="8"/>
        <v>0</v>
      </c>
      <c r="F87" s="88"/>
      <c r="G87" s="75"/>
      <c r="H87" s="75"/>
      <c r="I87" s="75"/>
    </row>
    <row r="88" spans="2:9" x14ac:dyDescent="0.35">
      <c r="B88" s="62" t="s">
        <v>76</v>
      </c>
      <c r="C88" s="730"/>
      <c r="D88" s="730"/>
      <c r="E88" s="730">
        <f>SUM(E82:E87)</f>
        <v>0</v>
      </c>
      <c r="F88" s="88"/>
      <c r="G88" s="76"/>
      <c r="H88" s="76"/>
      <c r="I88" s="76"/>
    </row>
    <row r="89" spans="2:9" ht="25" customHeight="1" x14ac:dyDescent="0.35">
      <c r="B89" s="9" t="s">
        <v>77</v>
      </c>
      <c r="C89" s="171"/>
      <c r="D89" s="171"/>
      <c r="E89" s="171"/>
      <c r="F89" s="87"/>
      <c r="G89" s="6"/>
      <c r="H89" s="6"/>
      <c r="I89" s="6"/>
    </row>
    <row r="90" spans="2:9" x14ac:dyDescent="0.35">
      <c r="B90" s="725" t="s">
        <v>481</v>
      </c>
      <c r="C90" s="735">
        <v>1</v>
      </c>
      <c r="D90" s="735">
        <v>10000</v>
      </c>
      <c r="E90" s="736">
        <f t="shared" ref="E90:E92" si="9">C90*D90</f>
        <v>10000</v>
      </c>
      <c r="F90" s="88"/>
      <c r="G90" s="75"/>
      <c r="H90" s="75"/>
      <c r="I90" s="75"/>
    </row>
    <row r="91" spans="2:9" x14ac:dyDescent="0.35">
      <c r="B91" s="75"/>
      <c r="C91" s="734"/>
      <c r="D91" s="734"/>
      <c r="E91" s="736">
        <f t="shared" si="9"/>
        <v>0</v>
      </c>
      <c r="F91" s="88"/>
      <c r="G91" s="75"/>
      <c r="H91" s="75"/>
      <c r="I91" s="75"/>
    </row>
    <row r="92" spans="2:9" x14ac:dyDescent="0.35">
      <c r="B92" s="75"/>
      <c r="C92" s="734"/>
      <c r="D92" s="734"/>
      <c r="E92" s="736">
        <f t="shared" si="9"/>
        <v>0</v>
      </c>
      <c r="F92" s="88"/>
      <c r="G92" s="75"/>
      <c r="H92" s="75"/>
      <c r="I92" s="75"/>
    </row>
    <row r="93" spans="2:9" x14ac:dyDescent="0.35">
      <c r="B93" s="62" t="s">
        <v>128</v>
      </c>
      <c r="C93" s="730"/>
      <c r="D93" s="730"/>
      <c r="E93" s="730">
        <f>SUM(E90:E92)</f>
        <v>10000</v>
      </c>
      <c r="F93" s="88"/>
      <c r="G93" s="76"/>
      <c r="H93" s="76"/>
      <c r="I93" s="76"/>
    </row>
    <row r="94" spans="2:9" x14ac:dyDescent="0.35">
      <c r="F94" s="88"/>
    </row>
    <row r="95" spans="2:9" x14ac:dyDescent="0.35">
      <c r="F95" s="88"/>
    </row>
    <row r="96" spans="2:9" ht="15.5" customHeight="1" x14ac:dyDescent="0.35">
      <c r="B96" s="933" t="s">
        <v>70</v>
      </c>
      <c r="C96" s="933"/>
      <c r="F96" s="88"/>
    </row>
    <row r="97" spans="2:6" ht="15.5" customHeight="1" x14ac:dyDescent="0.35">
      <c r="B97" s="933"/>
      <c r="C97" s="933"/>
      <c r="F97" s="88"/>
    </row>
    <row r="98" spans="2:6" ht="4" customHeight="1" x14ac:dyDescent="0.35">
      <c r="F98" s="88"/>
    </row>
    <row r="99" spans="2:6" ht="35" customHeight="1" x14ac:dyDescent="0.35">
      <c r="B99" s="5" t="s">
        <v>4</v>
      </c>
      <c r="C99" s="728" t="s">
        <v>200</v>
      </c>
      <c r="F99" s="88"/>
    </row>
    <row r="100" spans="2:6" ht="25" customHeight="1" x14ac:dyDescent="0.35">
      <c r="B100" s="7" t="s">
        <v>297</v>
      </c>
      <c r="C100" s="171"/>
      <c r="F100" s="88"/>
    </row>
    <row r="101" spans="2:6" x14ac:dyDescent="0.35">
      <c r="B101" s="726" t="s">
        <v>156</v>
      </c>
      <c r="C101" s="717">
        <v>340000</v>
      </c>
      <c r="F101" s="88"/>
    </row>
    <row r="102" spans="2:6" x14ac:dyDescent="0.35">
      <c r="B102" s="726"/>
      <c r="C102" s="717">
        <v>0</v>
      </c>
      <c r="F102" s="88"/>
    </row>
    <row r="103" spans="2:6" x14ac:dyDescent="0.35">
      <c r="B103" s="2"/>
      <c r="C103" s="172"/>
      <c r="F103" s="88"/>
    </row>
    <row r="104" spans="2:6" ht="16.5" customHeight="1" x14ac:dyDescent="0.35">
      <c r="B104" s="2"/>
      <c r="C104" s="172"/>
      <c r="F104" s="88"/>
    </row>
    <row r="105" spans="2:6" x14ac:dyDescent="0.35">
      <c r="B105" s="32"/>
      <c r="C105" s="731"/>
      <c r="F105" s="88"/>
    </row>
    <row r="106" spans="2:6" ht="20" customHeight="1" x14ac:dyDescent="0.35">
      <c r="B106" s="62" t="s">
        <v>201</v>
      </c>
      <c r="C106" s="174">
        <f>SUM(C101:C105)</f>
        <v>340000</v>
      </c>
      <c r="F106" s="88"/>
    </row>
    <row r="108" spans="2:6" ht="15.5" customHeight="1" x14ac:dyDescent="0.35"/>
    <row r="110" spans="2:6" ht="15.5" customHeight="1" x14ac:dyDescent="0.35"/>
    <row r="111" spans="2:6" ht="25" customHeight="1" x14ac:dyDescent="0.35"/>
    <row r="118" ht="20" customHeight="1" x14ac:dyDescent="0.35"/>
    <row r="122" ht="15.5" customHeight="1" x14ac:dyDescent="0.35"/>
    <row r="123" ht="25" customHeight="1" x14ac:dyDescent="0.35"/>
  </sheetData>
  <mergeCells count="2">
    <mergeCell ref="B96:C97"/>
    <mergeCell ref="B2:I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7258-F8B2-4A4C-8245-E267819CDAED}">
  <sheetPr codeName="Hoja4">
    <tabColor theme="7" tint="0.79998168889431442"/>
  </sheetPr>
  <dimension ref="B1:I123"/>
  <sheetViews>
    <sheetView showGridLines="0" zoomScale="96" zoomScaleNormal="96" workbookViewId="0">
      <selection activeCell="D7" sqref="D7"/>
    </sheetView>
  </sheetViews>
  <sheetFormatPr baseColWidth="10" defaultRowHeight="15.5" x14ac:dyDescent="0.35"/>
  <cols>
    <col min="1" max="1" width="2.6328125" customWidth="1"/>
    <col min="2" max="2" width="73.6328125" style="4" customWidth="1"/>
    <col min="3" max="3" width="13.36328125" style="173" customWidth="1"/>
    <col min="4" max="5" width="15.54296875" style="173" customWidth="1"/>
    <col min="6" max="6" width="3.453125" style="4" customWidth="1"/>
    <col min="7" max="7" width="55.08984375" style="4" customWidth="1"/>
    <col min="8" max="8" width="18.26953125" style="4" customWidth="1"/>
    <col min="9" max="9" width="55.453125" style="4" customWidth="1"/>
  </cols>
  <sheetData>
    <row r="1" spans="2:9" ht="16" thickBot="1" x14ac:dyDescent="0.4"/>
    <row r="2" spans="2:9" ht="15.5" customHeight="1" x14ac:dyDescent="0.35">
      <c r="B2" s="940" t="s">
        <v>69</v>
      </c>
      <c r="C2" s="941"/>
      <c r="D2" s="941"/>
      <c r="E2" s="941"/>
      <c r="F2" s="941"/>
      <c r="G2" s="941"/>
      <c r="H2" s="941"/>
      <c r="I2" s="942"/>
    </row>
    <row r="3" spans="2:9" ht="15.5" customHeight="1" thickBot="1" x14ac:dyDescent="0.4">
      <c r="B3" s="943"/>
      <c r="C3" s="944"/>
      <c r="D3" s="944"/>
      <c r="E3" s="944"/>
      <c r="F3" s="944"/>
      <c r="G3" s="944"/>
      <c r="H3" s="944"/>
      <c r="I3" s="945"/>
    </row>
    <row r="5" spans="2:9" ht="30" x14ac:dyDescent="0.35">
      <c r="B5" s="585" t="s">
        <v>4</v>
      </c>
      <c r="C5" s="727" t="s">
        <v>5</v>
      </c>
      <c r="D5" s="728" t="s">
        <v>7</v>
      </c>
      <c r="E5" s="729" t="s">
        <v>6</v>
      </c>
      <c r="F5" s="86"/>
      <c r="G5" s="85" t="s">
        <v>108</v>
      </c>
      <c r="H5" s="585" t="s">
        <v>109</v>
      </c>
      <c r="I5" s="585" t="s">
        <v>110</v>
      </c>
    </row>
    <row r="6" spans="2:9" ht="25" customHeight="1" x14ac:dyDescent="0.35">
      <c r="B6" s="7" t="s">
        <v>71</v>
      </c>
      <c r="C6" s="171"/>
      <c r="D6" s="171"/>
      <c r="E6" s="171"/>
      <c r="F6" s="87"/>
    </row>
    <row r="7" spans="2:9" x14ac:dyDescent="0.35">
      <c r="B7" s="720" t="s">
        <v>484</v>
      </c>
      <c r="C7" s="717">
        <v>10</v>
      </c>
      <c r="D7" s="717"/>
      <c r="E7" s="94">
        <f>C7*D7</f>
        <v>0</v>
      </c>
      <c r="F7" s="87"/>
      <c r="G7" s="2"/>
      <c r="H7" s="2"/>
      <c r="I7" s="2"/>
    </row>
    <row r="8" spans="2:9" x14ac:dyDescent="0.35">
      <c r="B8" s="31"/>
      <c r="C8" s="717"/>
      <c r="D8" s="717"/>
      <c r="E8" s="94">
        <f>C8*D8</f>
        <v>0</v>
      </c>
      <c r="F8" s="87"/>
      <c r="G8" s="2"/>
      <c r="H8" s="2"/>
      <c r="I8" s="2"/>
    </row>
    <row r="9" spans="2:9" x14ac:dyDescent="0.35">
      <c r="B9" s="62" t="s">
        <v>123</v>
      </c>
      <c r="C9" s="730"/>
      <c r="D9" s="730"/>
      <c r="E9" s="730">
        <f>SUM(E7:E8)</f>
        <v>0</v>
      </c>
      <c r="F9" s="88"/>
      <c r="G9" s="76"/>
      <c r="H9" s="76"/>
      <c r="I9" s="76"/>
    </row>
    <row r="10" spans="2:9" ht="25" customHeight="1" x14ac:dyDescent="0.35">
      <c r="B10" s="7" t="s">
        <v>8</v>
      </c>
      <c r="C10" s="171"/>
      <c r="D10" s="171"/>
      <c r="E10" s="171"/>
      <c r="F10" s="87"/>
      <c r="G10" s="6"/>
      <c r="H10" s="6"/>
      <c r="I10" s="6"/>
    </row>
    <row r="11" spans="2:9" x14ac:dyDescent="0.35">
      <c r="B11" s="720" t="s">
        <v>483</v>
      </c>
      <c r="C11" s="717">
        <v>1</v>
      </c>
      <c r="D11" s="717">
        <v>0</v>
      </c>
      <c r="E11" s="94">
        <f>D11*C11</f>
        <v>0</v>
      </c>
      <c r="F11" s="87"/>
      <c r="G11" s="2"/>
      <c r="H11" s="2"/>
      <c r="I11" s="2"/>
    </row>
    <row r="12" spans="2:9" x14ac:dyDescent="0.35">
      <c r="B12" s="31"/>
      <c r="C12" s="172"/>
      <c r="D12" s="172"/>
      <c r="E12" s="94">
        <f t="shared" ref="E12:E14" si="0">D12*C12</f>
        <v>0</v>
      </c>
      <c r="F12" s="87"/>
      <c r="G12" s="2"/>
      <c r="H12" s="2"/>
      <c r="I12" s="2"/>
    </row>
    <row r="13" spans="2:9" x14ac:dyDescent="0.35">
      <c r="B13" s="2"/>
      <c r="C13" s="172"/>
      <c r="D13" s="172"/>
      <c r="E13" s="94">
        <f t="shared" si="0"/>
        <v>0</v>
      </c>
      <c r="F13" s="87"/>
      <c r="G13" s="2"/>
      <c r="H13" s="2"/>
      <c r="I13" s="2"/>
    </row>
    <row r="14" spans="2:9" x14ac:dyDescent="0.35">
      <c r="B14" s="2"/>
      <c r="C14" s="172"/>
      <c r="D14" s="172"/>
      <c r="E14" s="94">
        <f t="shared" si="0"/>
        <v>0</v>
      </c>
      <c r="F14" s="87"/>
      <c r="G14" s="2"/>
      <c r="H14" s="2"/>
      <c r="I14" s="2"/>
    </row>
    <row r="15" spans="2:9" x14ac:dyDescent="0.35">
      <c r="B15" s="32"/>
      <c r="C15" s="731"/>
      <c r="D15" s="731"/>
      <c r="E15" s="94">
        <f>D15*C15</f>
        <v>0</v>
      </c>
      <c r="F15" s="87"/>
      <c r="G15" s="32"/>
      <c r="H15" s="32"/>
      <c r="I15" s="32"/>
    </row>
    <row r="16" spans="2:9" x14ac:dyDescent="0.35">
      <c r="B16" s="62" t="s">
        <v>122</v>
      </c>
      <c r="C16" s="730"/>
      <c r="D16" s="730"/>
      <c r="E16" s="730">
        <f>SUM(E11:E15)</f>
        <v>0</v>
      </c>
      <c r="F16" s="88"/>
      <c r="G16" s="76"/>
      <c r="H16" s="76"/>
      <c r="I16" s="76"/>
    </row>
    <row r="17" spans="2:9" ht="25" customHeight="1" x14ac:dyDescent="0.35">
      <c r="B17" s="9" t="s">
        <v>9</v>
      </c>
      <c r="C17" s="171"/>
      <c r="D17" s="171"/>
      <c r="E17" s="171"/>
      <c r="F17" s="87"/>
      <c r="G17" s="6"/>
      <c r="H17" s="6"/>
      <c r="I17" s="6"/>
    </row>
    <row r="18" spans="2:9" x14ac:dyDescent="0.35">
      <c r="B18" s="74"/>
      <c r="C18" s="732">
        <v>1</v>
      </c>
      <c r="D18" s="717">
        <v>0</v>
      </c>
      <c r="E18" s="94">
        <f t="shared" ref="E18:E29" si="1">D18*C18</f>
        <v>0</v>
      </c>
      <c r="F18" s="87"/>
      <c r="G18" s="71"/>
      <c r="H18" s="71"/>
      <c r="I18" s="72"/>
    </row>
    <row r="19" spans="2:9" x14ac:dyDescent="0.35">
      <c r="B19" s="74"/>
      <c r="C19" s="733"/>
      <c r="D19" s="172"/>
      <c r="E19" s="94">
        <f t="shared" si="1"/>
        <v>0</v>
      </c>
      <c r="F19" s="87"/>
      <c r="G19" s="71"/>
      <c r="H19" s="71"/>
      <c r="I19" s="73"/>
    </row>
    <row r="20" spans="2:9" x14ac:dyDescent="0.35">
      <c r="B20" s="74"/>
      <c r="C20" s="733"/>
      <c r="D20" s="172"/>
      <c r="E20" s="94">
        <f t="shared" si="1"/>
        <v>0</v>
      </c>
      <c r="F20" s="87"/>
      <c r="G20" s="71"/>
      <c r="H20" s="71"/>
      <c r="I20" s="73"/>
    </row>
    <row r="21" spans="2:9" x14ac:dyDescent="0.35">
      <c r="B21" s="74"/>
      <c r="C21" s="733"/>
      <c r="D21" s="172"/>
      <c r="E21" s="94">
        <f t="shared" si="1"/>
        <v>0</v>
      </c>
      <c r="F21" s="87"/>
      <c r="G21" s="71"/>
      <c r="H21" s="71"/>
      <c r="I21" s="73"/>
    </row>
    <row r="22" spans="2:9" x14ac:dyDescent="0.35">
      <c r="B22" s="74"/>
      <c r="C22" s="733"/>
      <c r="D22" s="172"/>
      <c r="E22" s="94">
        <f t="shared" si="1"/>
        <v>0</v>
      </c>
      <c r="F22" s="87"/>
      <c r="G22" s="71"/>
      <c r="H22" s="71"/>
      <c r="I22" s="73"/>
    </row>
    <row r="23" spans="2:9" x14ac:dyDescent="0.35">
      <c r="B23" s="74"/>
      <c r="C23" s="733"/>
      <c r="D23" s="172"/>
      <c r="E23" s="94">
        <f t="shared" si="1"/>
        <v>0</v>
      </c>
      <c r="F23" s="87"/>
      <c r="G23" s="71"/>
      <c r="H23" s="71"/>
      <c r="I23" s="73"/>
    </row>
    <row r="24" spans="2:9" x14ac:dyDescent="0.35">
      <c r="B24" s="74"/>
      <c r="C24" s="733"/>
      <c r="D24" s="172"/>
      <c r="E24" s="94">
        <f t="shared" si="1"/>
        <v>0</v>
      </c>
      <c r="F24" s="87"/>
      <c r="G24" s="71"/>
      <c r="H24" s="71"/>
      <c r="I24" s="73"/>
    </row>
    <row r="25" spans="2:9" x14ac:dyDescent="0.35">
      <c r="B25" s="74"/>
      <c r="C25" s="733"/>
      <c r="D25" s="172"/>
      <c r="E25" s="94">
        <f t="shared" si="1"/>
        <v>0</v>
      </c>
      <c r="F25" s="87"/>
      <c r="G25" s="71"/>
      <c r="H25" s="71"/>
      <c r="I25" s="73"/>
    </row>
    <row r="26" spans="2:9" x14ac:dyDescent="0.35">
      <c r="B26" s="2"/>
      <c r="C26" s="172"/>
      <c r="D26" s="172"/>
      <c r="E26" s="94">
        <f t="shared" si="1"/>
        <v>0</v>
      </c>
      <c r="F26" s="87"/>
      <c r="G26" s="2"/>
      <c r="H26" s="2"/>
      <c r="I26" s="2"/>
    </row>
    <row r="27" spans="2:9" x14ac:dyDescent="0.35">
      <c r="B27" s="2"/>
      <c r="C27" s="172"/>
      <c r="D27" s="172"/>
      <c r="E27" s="94">
        <f t="shared" si="1"/>
        <v>0</v>
      </c>
      <c r="F27" s="87"/>
      <c r="G27" s="2"/>
      <c r="H27" s="2"/>
      <c r="I27" s="2"/>
    </row>
    <row r="28" spans="2:9" x14ac:dyDescent="0.35">
      <c r="B28" s="2"/>
      <c r="C28" s="172"/>
      <c r="D28" s="172"/>
      <c r="E28" s="94">
        <f t="shared" si="1"/>
        <v>0</v>
      </c>
      <c r="F28" s="87"/>
      <c r="G28" s="2"/>
      <c r="H28" s="2"/>
      <c r="I28" s="2"/>
    </row>
    <row r="29" spans="2:9" x14ac:dyDescent="0.35">
      <c r="B29" s="32"/>
      <c r="C29" s="731"/>
      <c r="D29" s="731"/>
      <c r="E29" s="94">
        <f t="shared" si="1"/>
        <v>0</v>
      </c>
      <c r="F29" s="87"/>
      <c r="G29" s="2"/>
      <c r="H29" s="2"/>
      <c r="I29" s="2"/>
    </row>
    <row r="30" spans="2:9" x14ac:dyDescent="0.35">
      <c r="B30" s="62" t="s">
        <v>124</v>
      </c>
      <c r="C30" s="730"/>
      <c r="D30" s="730"/>
      <c r="E30" s="730">
        <f>SUM(E18:E29)</f>
        <v>0</v>
      </c>
      <c r="F30" s="88"/>
      <c r="G30" s="76"/>
      <c r="H30" s="76"/>
      <c r="I30" s="76"/>
    </row>
    <row r="31" spans="2:9" ht="25" customHeight="1" x14ac:dyDescent="0.35">
      <c r="B31" s="9" t="s">
        <v>10</v>
      </c>
      <c r="C31" s="171"/>
      <c r="D31" s="171"/>
      <c r="E31" s="171"/>
      <c r="F31" s="87"/>
      <c r="G31" s="6"/>
      <c r="H31" s="6"/>
      <c r="I31" s="6"/>
    </row>
    <row r="32" spans="2:9" x14ac:dyDescent="0.35">
      <c r="B32" s="2"/>
      <c r="C32" s="717">
        <v>1</v>
      </c>
      <c r="D32" s="717">
        <v>0</v>
      </c>
      <c r="E32" s="94">
        <f t="shared" ref="E32:E41" si="2">D32*C32</f>
        <v>0</v>
      </c>
      <c r="F32" s="87"/>
      <c r="G32" s="2"/>
      <c r="H32" s="2"/>
      <c r="I32" s="2"/>
    </row>
    <row r="33" spans="2:9" x14ac:dyDescent="0.35">
      <c r="B33" s="2"/>
      <c r="C33" s="172"/>
      <c r="D33" s="172"/>
      <c r="E33" s="94">
        <f t="shared" si="2"/>
        <v>0</v>
      </c>
      <c r="F33" s="87"/>
      <c r="G33" s="2"/>
      <c r="H33" s="2"/>
      <c r="I33" s="2"/>
    </row>
    <row r="34" spans="2:9" x14ac:dyDescent="0.35">
      <c r="B34" s="2"/>
      <c r="C34" s="172"/>
      <c r="D34" s="172"/>
      <c r="E34" s="94">
        <f t="shared" si="2"/>
        <v>0</v>
      </c>
      <c r="F34" s="87"/>
      <c r="G34" s="2"/>
      <c r="H34" s="2"/>
      <c r="I34" s="2"/>
    </row>
    <row r="35" spans="2:9" x14ac:dyDescent="0.35">
      <c r="B35" s="2"/>
      <c r="C35" s="172"/>
      <c r="D35" s="172"/>
      <c r="E35" s="94">
        <f t="shared" si="2"/>
        <v>0</v>
      </c>
      <c r="F35" s="87"/>
      <c r="G35" s="2"/>
      <c r="H35" s="2"/>
      <c r="I35" s="2"/>
    </row>
    <row r="36" spans="2:9" x14ac:dyDescent="0.35">
      <c r="B36" s="2"/>
      <c r="C36" s="172"/>
      <c r="D36" s="172"/>
      <c r="E36" s="94">
        <f t="shared" si="2"/>
        <v>0</v>
      </c>
      <c r="F36" s="87"/>
      <c r="G36" s="2"/>
      <c r="H36" s="2"/>
      <c r="I36" s="2"/>
    </row>
    <row r="37" spans="2:9" x14ac:dyDescent="0.35">
      <c r="B37" s="2"/>
      <c r="C37" s="172"/>
      <c r="D37" s="172"/>
      <c r="E37" s="94">
        <f t="shared" si="2"/>
        <v>0</v>
      </c>
      <c r="F37" s="87"/>
      <c r="G37" s="2"/>
      <c r="H37" s="2"/>
      <c r="I37" s="2"/>
    </row>
    <row r="38" spans="2:9" x14ac:dyDescent="0.35">
      <c r="B38" s="2"/>
      <c r="C38" s="172"/>
      <c r="D38" s="172"/>
      <c r="E38" s="94">
        <f t="shared" si="2"/>
        <v>0</v>
      </c>
      <c r="F38" s="87"/>
      <c r="G38" s="2"/>
      <c r="H38" s="2"/>
      <c r="I38" s="2"/>
    </row>
    <row r="39" spans="2:9" x14ac:dyDescent="0.35">
      <c r="B39" s="75"/>
      <c r="C39" s="734"/>
      <c r="D39" s="734"/>
      <c r="E39" s="94">
        <f t="shared" si="2"/>
        <v>0</v>
      </c>
      <c r="F39" s="88"/>
      <c r="G39" s="75"/>
      <c r="H39" s="75"/>
      <c r="I39" s="75"/>
    </row>
    <row r="40" spans="2:9" x14ac:dyDescent="0.35">
      <c r="B40" s="75"/>
      <c r="C40" s="734"/>
      <c r="D40" s="734"/>
      <c r="E40" s="94">
        <f t="shared" si="2"/>
        <v>0</v>
      </c>
      <c r="F40" s="88"/>
      <c r="G40" s="75"/>
      <c r="H40" s="75"/>
      <c r="I40" s="75"/>
    </row>
    <row r="41" spans="2:9" x14ac:dyDescent="0.35">
      <c r="B41" s="75"/>
      <c r="C41" s="734"/>
      <c r="D41" s="734"/>
      <c r="E41" s="94">
        <f t="shared" si="2"/>
        <v>0</v>
      </c>
      <c r="F41" s="88"/>
      <c r="G41" s="75"/>
      <c r="H41" s="75"/>
      <c r="I41" s="75"/>
    </row>
    <row r="42" spans="2:9" x14ac:dyDescent="0.35">
      <c r="B42" s="62" t="s">
        <v>11</v>
      </c>
      <c r="C42" s="730"/>
      <c r="D42" s="730"/>
      <c r="E42" s="730">
        <f>SUM(E32:E41)</f>
        <v>0</v>
      </c>
      <c r="F42" s="88"/>
      <c r="G42" s="76"/>
      <c r="H42" s="76"/>
      <c r="I42" s="76"/>
    </row>
    <row r="43" spans="2:9" ht="25" customHeight="1" x14ac:dyDescent="0.35">
      <c r="B43" s="9" t="s">
        <v>72</v>
      </c>
      <c r="C43" s="171"/>
      <c r="D43" s="171"/>
      <c r="E43" s="171"/>
      <c r="F43" s="87"/>
      <c r="G43" s="6"/>
      <c r="H43" s="6"/>
      <c r="I43" s="6"/>
    </row>
    <row r="44" spans="2:9" x14ac:dyDescent="0.35">
      <c r="B44" s="725" t="s">
        <v>473</v>
      </c>
      <c r="C44" s="735">
        <v>2</v>
      </c>
      <c r="D44" s="735">
        <v>0</v>
      </c>
      <c r="E44" s="94">
        <f t="shared" ref="E44:E52" si="3">D44*C44</f>
        <v>0</v>
      </c>
      <c r="F44" s="88"/>
      <c r="G44" s="75"/>
      <c r="H44" s="75"/>
      <c r="I44" s="75"/>
    </row>
    <row r="45" spans="2:9" x14ac:dyDescent="0.35">
      <c r="B45" s="725" t="s">
        <v>474</v>
      </c>
      <c r="C45" s="735">
        <v>1</v>
      </c>
      <c r="D45" s="735">
        <v>0</v>
      </c>
      <c r="E45" s="94">
        <f t="shared" si="3"/>
        <v>0</v>
      </c>
      <c r="F45" s="88"/>
      <c r="G45" s="75"/>
      <c r="H45" s="75"/>
      <c r="I45" s="75"/>
    </row>
    <row r="46" spans="2:9" x14ac:dyDescent="0.35">
      <c r="B46" s="725" t="s">
        <v>475</v>
      </c>
      <c r="C46" s="735">
        <v>1</v>
      </c>
      <c r="D46" s="735">
        <v>0</v>
      </c>
      <c r="E46" s="94">
        <f t="shared" si="3"/>
        <v>0</v>
      </c>
      <c r="F46" s="88"/>
      <c r="G46" s="75"/>
      <c r="H46" s="75"/>
      <c r="I46" s="75"/>
    </row>
    <row r="47" spans="2:9" x14ac:dyDescent="0.35">
      <c r="B47" s="725" t="s">
        <v>476</v>
      </c>
      <c r="C47" s="735">
        <v>1</v>
      </c>
      <c r="D47" s="735">
        <v>0</v>
      </c>
      <c r="E47" s="94">
        <f t="shared" si="3"/>
        <v>0</v>
      </c>
      <c r="F47" s="88"/>
      <c r="G47" s="75"/>
      <c r="H47" s="75"/>
      <c r="I47" s="75"/>
    </row>
    <row r="48" spans="2:9" x14ac:dyDescent="0.35">
      <c r="B48" s="725" t="s">
        <v>477</v>
      </c>
      <c r="C48" s="735">
        <v>1</v>
      </c>
      <c r="D48" s="735">
        <v>0</v>
      </c>
      <c r="E48" s="94">
        <f t="shared" si="3"/>
        <v>0</v>
      </c>
      <c r="F48" s="88"/>
      <c r="G48" s="75"/>
      <c r="H48" s="75"/>
      <c r="I48" s="75"/>
    </row>
    <row r="49" spans="2:9" x14ac:dyDescent="0.35">
      <c r="B49" s="75"/>
      <c r="C49" s="734"/>
      <c r="D49" s="734"/>
      <c r="E49" s="94">
        <f t="shared" si="3"/>
        <v>0</v>
      </c>
      <c r="F49" s="88"/>
      <c r="G49" s="75"/>
      <c r="H49" s="75"/>
      <c r="I49" s="75"/>
    </row>
    <row r="50" spans="2:9" x14ac:dyDescent="0.35">
      <c r="B50" s="75"/>
      <c r="C50" s="734"/>
      <c r="D50" s="734"/>
      <c r="E50" s="94">
        <f t="shared" si="3"/>
        <v>0</v>
      </c>
      <c r="F50" s="88"/>
      <c r="G50" s="75"/>
      <c r="H50" s="75"/>
      <c r="I50" s="75"/>
    </row>
    <row r="51" spans="2:9" x14ac:dyDescent="0.35">
      <c r="B51" s="75"/>
      <c r="C51" s="734"/>
      <c r="D51" s="734"/>
      <c r="E51" s="94">
        <f t="shared" si="3"/>
        <v>0</v>
      </c>
      <c r="F51" s="88"/>
      <c r="G51" s="75"/>
      <c r="H51" s="75"/>
      <c r="I51" s="75"/>
    </row>
    <row r="52" spans="2:9" x14ac:dyDescent="0.35">
      <c r="B52" s="75"/>
      <c r="C52" s="734"/>
      <c r="D52" s="734"/>
      <c r="E52" s="94">
        <f t="shared" si="3"/>
        <v>0</v>
      </c>
      <c r="F52" s="88"/>
      <c r="G52" s="75"/>
      <c r="H52" s="75"/>
      <c r="I52" s="75"/>
    </row>
    <row r="53" spans="2:9" x14ac:dyDescent="0.35">
      <c r="B53" s="62" t="s">
        <v>125</v>
      </c>
      <c r="C53" s="730"/>
      <c r="D53" s="730"/>
      <c r="E53" s="730">
        <f>SUM(E44:E52)</f>
        <v>0</v>
      </c>
      <c r="F53" s="88"/>
      <c r="G53" s="76"/>
      <c r="H53" s="76"/>
      <c r="I53" s="76"/>
    </row>
    <row r="54" spans="2:9" ht="25" customHeight="1" x14ac:dyDescent="0.35">
      <c r="B54" s="9" t="s">
        <v>129</v>
      </c>
      <c r="C54" s="171"/>
      <c r="D54" s="171"/>
      <c r="E54" s="171"/>
      <c r="F54" s="87"/>
      <c r="G54" s="6"/>
      <c r="H54" s="6"/>
      <c r="I54" s="6"/>
    </row>
    <row r="55" spans="2:9" x14ac:dyDescent="0.35">
      <c r="B55" s="725" t="s">
        <v>479</v>
      </c>
      <c r="C55" s="735">
        <v>1</v>
      </c>
      <c r="D55" s="735">
        <v>0</v>
      </c>
      <c r="E55" s="94">
        <f t="shared" ref="E55:E63" si="4">D55*C55</f>
        <v>0</v>
      </c>
      <c r="F55" s="88"/>
      <c r="G55" s="75"/>
      <c r="H55" s="75"/>
      <c r="I55" s="75"/>
    </row>
    <row r="56" spans="2:9" x14ac:dyDescent="0.35">
      <c r="B56" s="725"/>
      <c r="C56" s="735"/>
      <c r="D56" s="735"/>
      <c r="E56" s="94">
        <f t="shared" si="4"/>
        <v>0</v>
      </c>
      <c r="F56" s="88"/>
      <c r="G56" s="75"/>
      <c r="H56" s="75"/>
      <c r="I56" s="75"/>
    </row>
    <row r="57" spans="2:9" x14ac:dyDescent="0.35">
      <c r="B57" s="75"/>
      <c r="C57" s="734"/>
      <c r="D57" s="734"/>
      <c r="E57" s="94">
        <f t="shared" si="4"/>
        <v>0</v>
      </c>
      <c r="F57" s="88"/>
      <c r="G57" s="75"/>
      <c r="H57" s="75"/>
      <c r="I57" s="75"/>
    </row>
    <row r="58" spans="2:9" x14ac:dyDescent="0.35">
      <c r="B58" s="75"/>
      <c r="C58" s="734"/>
      <c r="D58" s="734"/>
      <c r="E58" s="94">
        <f t="shared" si="4"/>
        <v>0</v>
      </c>
      <c r="F58" s="88"/>
      <c r="G58" s="75"/>
      <c r="H58" s="75"/>
      <c r="I58" s="75"/>
    </row>
    <row r="59" spans="2:9" x14ac:dyDescent="0.35">
      <c r="B59" s="75"/>
      <c r="C59" s="734"/>
      <c r="D59" s="734"/>
      <c r="E59" s="94">
        <f t="shared" si="4"/>
        <v>0</v>
      </c>
      <c r="F59" s="88"/>
      <c r="G59" s="75"/>
      <c r="H59" s="75"/>
      <c r="I59" s="75"/>
    </row>
    <row r="60" spans="2:9" x14ac:dyDescent="0.35">
      <c r="B60" s="75"/>
      <c r="C60" s="734"/>
      <c r="D60" s="734"/>
      <c r="E60" s="94">
        <f t="shared" si="4"/>
        <v>0</v>
      </c>
      <c r="F60" s="88"/>
      <c r="G60" s="75"/>
      <c r="H60" s="75"/>
      <c r="I60" s="75"/>
    </row>
    <row r="61" spans="2:9" x14ac:dyDescent="0.35">
      <c r="B61" s="75"/>
      <c r="C61" s="734"/>
      <c r="D61" s="734"/>
      <c r="E61" s="94">
        <f t="shared" si="4"/>
        <v>0</v>
      </c>
      <c r="F61" s="88"/>
      <c r="G61" s="75"/>
      <c r="H61" s="75"/>
      <c r="I61" s="75"/>
    </row>
    <row r="62" spans="2:9" x14ac:dyDescent="0.35">
      <c r="B62" s="75"/>
      <c r="C62" s="734"/>
      <c r="D62" s="734"/>
      <c r="E62" s="94">
        <f t="shared" si="4"/>
        <v>0</v>
      </c>
      <c r="F62" s="88"/>
      <c r="G62" s="75"/>
      <c r="H62" s="75"/>
      <c r="I62" s="75"/>
    </row>
    <row r="63" spans="2:9" x14ac:dyDescent="0.35">
      <c r="B63" s="75"/>
      <c r="C63" s="734"/>
      <c r="D63" s="734"/>
      <c r="E63" s="94">
        <f t="shared" si="4"/>
        <v>0</v>
      </c>
      <c r="F63" s="88"/>
      <c r="G63" s="75"/>
      <c r="H63" s="75"/>
      <c r="I63" s="75"/>
    </row>
    <row r="64" spans="2:9" x14ac:dyDescent="0.35">
      <c r="B64" s="62" t="s">
        <v>130</v>
      </c>
      <c r="C64" s="730"/>
      <c r="D64" s="730"/>
      <c r="E64" s="730">
        <f>SUM(E55:E63)</f>
        <v>0</v>
      </c>
      <c r="F64" s="88"/>
      <c r="G64" s="76"/>
      <c r="H64" s="76"/>
      <c r="I64" s="76"/>
    </row>
    <row r="65" spans="2:9" ht="25" customHeight="1" x14ac:dyDescent="0.35">
      <c r="B65" s="9" t="s">
        <v>73</v>
      </c>
      <c r="C65" s="171"/>
      <c r="D65" s="171"/>
      <c r="E65" s="171"/>
      <c r="F65" s="87"/>
      <c r="G65" s="6"/>
      <c r="H65" s="6"/>
      <c r="I65" s="6"/>
    </row>
    <row r="66" spans="2:9" x14ac:dyDescent="0.35">
      <c r="B66" s="75"/>
      <c r="C66" s="734"/>
      <c r="D66" s="734"/>
      <c r="E66" s="94">
        <f t="shared" ref="E66:E71" si="5">D66*C66</f>
        <v>0</v>
      </c>
      <c r="F66" s="88"/>
      <c r="G66" s="75"/>
      <c r="H66" s="75"/>
      <c r="I66" s="75"/>
    </row>
    <row r="67" spans="2:9" x14ac:dyDescent="0.35">
      <c r="B67" s="75"/>
      <c r="C67" s="734"/>
      <c r="D67" s="734"/>
      <c r="E67" s="94">
        <f t="shared" si="5"/>
        <v>0</v>
      </c>
      <c r="F67" s="88"/>
      <c r="G67" s="75"/>
      <c r="H67" s="75"/>
      <c r="I67" s="75"/>
    </row>
    <row r="68" spans="2:9" x14ac:dyDescent="0.35">
      <c r="B68" s="75"/>
      <c r="C68" s="734"/>
      <c r="D68" s="734"/>
      <c r="E68" s="94">
        <f t="shared" si="5"/>
        <v>0</v>
      </c>
      <c r="F68" s="88"/>
      <c r="G68" s="75"/>
      <c r="H68" s="75"/>
      <c r="I68" s="75"/>
    </row>
    <row r="69" spans="2:9" x14ac:dyDescent="0.35">
      <c r="B69" s="75"/>
      <c r="C69" s="734"/>
      <c r="D69" s="734"/>
      <c r="E69" s="94">
        <f t="shared" si="5"/>
        <v>0</v>
      </c>
      <c r="F69" s="88"/>
      <c r="G69" s="75"/>
      <c r="H69" s="75"/>
      <c r="I69" s="75"/>
    </row>
    <row r="70" spans="2:9" x14ac:dyDescent="0.35">
      <c r="B70" s="75"/>
      <c r="C70" s="734"/>
      <c r="D70" s="734"/>
      <c r="E70" s="94">
        <f t="shared" si="5"/>
        <v>0</v>
      </c>
      <c r="F70" s="88"/>
      <c r="G70" s="75"/>
      <c r="H70" s="75"/>
      <c r="I70" s="75"/>
    </row>
    <row r="71" spans="2:9" x14ac:dyDescent="0.35">
      <c r="B71" s="75"/>
      <c r="C71" s="734"/>
      <c r="D71" s="734"/>
      <c r="E71" s="94">
        <f t="shared" si="5"/>
        <v>0</v>
      </c>
      <c r="F71" s="88"/>
      <c r="G71" s="75"/>
      <c r="H71" s="75"/>
      <c r="I71" s="75"/>
    </row>
    <row r="72" spans="2:9" x14ac:dyDescent="0.35">
      <c r="B72" s="62" t="s">
        <v>126</v>
      </c>
      <c r="C72" s="730"/>
      <c r="D72" s="730"/>
      <c r="E72" s="730">
        <f>SUM(E66:E71)</f>
        <v>0</v>
      </c>
      <c r="F72" s="88"/>
      <c r="G72" s="76"/>
      <c r="H72" s="76"/>
      <c r="I72" s="76"/>
    </row>
    <row r="73" spans="2:9" ht="25" customHeight="1" x14ac:dyDescent="0.35">
      <c r="B73" s="9" t="s">
        <v>74</v>
      </c>
      <c r="C73" s="171"/>
      <c r="D73" s="171"/>
      <c r="E73" s="171"/>
      <c r="F73" s="87"/>
      <c r="G73" s="6"/>
      <c r="H73" s="6"/>
      <c r="I73" s="6"/>
    </row>
    <row r="74" spans="2:9" x14ac:dyDescent="0.35">
      <c r="B74" s="75"/>
      <c r="C74" s="734"/>
      <c r="D74" s="734"/>
      <c r="E74" s="94">
        <f t="shared" ref="E74:E79" si="6">D74*C74</f>
        <v>0</v>
      </c>
      <c r="F74" s="88"/>
      <c r="G74" s="75"/>
      <c r="H74" s="75"/>
      <c r="I74" s="75"/>
    </row>
    <row r="75" spans="2:9" x14ac:dyDescent="0.35">
      <c r="B75" s="75"/>
      <c r="C75" s="734"/>
      <c r="D75" s="734"/>
      <c r="E75" s="94">
        <f t="shared" si="6"/>
        <v>0</v>
      </c>
      <c r="F75" s="88"/>
      <c r="G75" s="75"/>
      <c r="H75" s="75"/>
      <c r="I75" s="75"/>
    </row>
    <row r="76" spans="2:9" x14ac:dyDescent="0.35">
      <c r="B76" s="75"/>
      <c r="C76" s="734"/>
      <c r="D76" s="734"/>
      <c r="E76" s="94">
        <f t="shared" si="6"/>
        <v>0</v>
      </c>
      <c r="F76" s="88"/>
      <c r="G76" s="75"/>
      <c r="H76" s="75"/>
      <c r="I76" s="75"/>
    </row>
    <row r="77" spans="2:9" x14ac:dyDescent="0.35">
      <c r="B77" s="75"/>
      <c r="C77" s="734"/>
      <c r="D77" s="734"/>
      <c r="E77" s="94">
        <f t="shared" si="6"/>
        <v>0</v>
      </c>
      <c r="F77" s="88"/>
      <c r="G77" s="75"/>
      <c r="H77" s="75"/>
      <c r="I77" s="75"/>
    </row>
    <row r="78" spans="2:9" x14ac:dyDescent="0.35">
      <c r="B78" s="75"/>
      <c r="C78" s="734"/>
      <c r="D78" s="734"/>
      <c r="E78" s="94">
        <f t="shared" si="6"/>
        <v>0</v>
      </c>
      <c r="F78" s="88"/>
      <c r="G78" s="75"/>
      <c r="H78" s="75"/>
      <c r="I78" s="75"/>
    </row>
    <row r="79" spans="2:9" x14ac:dyDescent="0.35">
      <c r="B79" s="75"/>
      <c r="C79" s="734"/>
      <c r="D79" s="734"/>
      <c r="E79" s="94">
        <f t="shared" si="6"/>
        <v>0</v>
      </c>
      <c r="F79" s="88"/>
      <c r="G79" s="75"/>
      <c r="H79" s="75"/>
      <c r="I79" s="75"/>
    </row>
    <row r="80" spans="2:9" x14ac:dyDescent="0.35">
      <c r="B80" s="62" t="s">
        <v>127</v>
      </c>
      <c r="C80" s="730"/>
      <c r="D80" s="730"/>
      <c r="E80" s="730">
        <f>SUM(E74:E79)</f>
        <v>0</v>
      </c>
      <c r="F80" s="88"/>
      <c r="G80" s="76"/>
      <c r="H80" s="76"/>
      <c r="I80" s="76"/>
    </row>
    <row r="81" spans="2:9" ht="25" customHeight="1" x14ac:dyDescent="0.35">
      <c r="B81" s="9" t="s">
        <v>75</v>
      </c>
      <c r="C81" s="171"/>
      <c r="D81" s="171"/>
      <c r="E81" s="171"/>
      <c r="F81" s="87"/>
      <c r="G81" s="6"/>
      <c r="H81" s="6"/>
      <c r="I81" s="6"/>
    </row>
    <row r="82" spans="2:9" x14ac:dyDescent="0.35">
      <c r="B82" s="75"/>
      <c r="C82" s="735">
        <v>1</v>
      </c>
      <c r="D82" s="735">
        <v>0</v>
      </c>
      <c r="E82" s="94">
        <f t="shared" ref="E82:E92" si="7">D82*C82</f>
        <v>0</v>
      </c>
      <c r="F82" s="88"/>
      <c r="G82" s="75"/>
      <c r="H82" s="75"/>
      <c r="I82" s="75"/>
    </row>
    <row r="83" spans="2:9" x14ac:dyDescent="0.35">
      <c r="B83" s="75"/>
      <c r="C83" s="734"/>
      <c r="D83" s="734"/>
      <c r="E83" s="94">
        <f t="shared" si="7"/>
        <v>0</v>
      </c>
      <c r="F83" s="88"/>
      <c r="G83" s="75"/>
      <c r="H83" s="75"/>
      <c r="I83" s="75"/>
    </row>
    <row r="84" spans="2:9" x14ac:dyDescent="0.35">
      <c r="B84" s="75"/>
      <c r="C84" s="734"/>
      <c r="D84" s="734"/>
      <c r="E84" s="94">
        <f t="shared" si="7"/>
        <v>0</v>
      </c>
      <c r="F84" s="88"/>
      <c r="G84" s="75"/>
      <c r="H84" s="75"/>
      <c r="I84" s="75"/>
    </row>
    <row r="85" spans="2:9" x14ac:dyDescent="0.35">
      <c r="B85" s="75"/>
      <c r="C85" s="734"/>
      <c r="D85" s="734"/>
      <c r="E85" s="94">
        <f t="shared" si="7"/>
        <v>0</v>
      </c>
      <c r="F85" s="88"/>
      <c r="G85" s="75"/>
      <c r="H85" s="75"/>
      <c r="I85" s="75"/>
    </row>
    <row r="86" spans="2:9" x14ac:dyDescent="0.35">
      <c r="B86" s="75"/>
      <c r="C86" s="734"/>
      <c r="D86" s="734"/>
      <c r="E86" s="94">
        <f t="shared" si="7"/>
        <v>0</v>
      </c>
      <c r="F86" s="88"/>
      <c r="G86" s="75"/>
      <c r="H86" s="75"/>
      <c r="I86" s="75"/>
    </row>
    <row r="87" spans="2:9" x14ac:dyDescent="0.35">
      <c r="B87" s="75"/>
      <c r="C87" s="734"/>
      <c r="D87" s="734"/>
      <c r="E87" s="94">
        <f t="shared" si="7"/>
        <v>0</v>
      </c>
      <c r="F87" s="88"/>
      <c r="G87" s="75"/>
      <c r="H87" s="75"/>
      <c r="I87" s="75"/>
    </row>
    <row r="88" spans="2:9" x14ac:dyDescent="0.35">
      <c r="B88" s="62" t="s">
        <v>76</v>
      </c>
      <c r="C88" s="730"/>
      <c r="D88" s="730"/>
      <c r="E88" s="730">
        <f>SUM(E82:E87)</f>
        <v>0</v>
      </c>
      <c r="F88" s="88"/>
      <c r="G88" s="76"/>
      <c r="H88" s="76"/>
      <c r="I88" s="76"/>
    </row>
    <row r="89" spans="2:9" ht="25" customHeight="1" x14ac:dyDescent="0.35">
      <c r="B89" s="9" t="s">
        <v>77</v>
      </c>
      <c r="C89" s="171"/>
      <c r="D89" s="171"/>
      <c r="E89" s="171"/>
      <c r="F89" s="87"/>
      <c r="G89" s="6"/>
      <c r="H89" s="6"/>
      <c r="I89" s="6"/>
    </row>
    <row r="90" spans="2:9" x14ac:dyDescent="0.35">
      <c r="B90" s="75" t="s">
        <v>481</v>
      </c>
      <c r="C90" s="735">
        <v>1</v>
      </c>
      <c r="D90" s="735">
        <v>0</v>
      </c>
      <c r="E90" s="94">
        <f t="shared" si="7"/>
        <v>0</v>
      </c>
      <c r="F90" s="88"/>
      <c r="G90" s="75"/>
      <c r="H90" s="75"/>
      <c r="I90" s="75"/>
    </row>
    <row r="91" spans="2:9" x14ac:dyDescent="0.35">
      <c r="B91" s="75"/>
      <c r="C91" s="734"/>
      <c r="D91" s="734"/>
      <c r="E91" s="94">
        <f t="shared" si="7"/>
        <v>0</v>
      </c>
      <c r="F91" s="88"/>
      <c r="G91" s="75"/>
      <c r="H91" s="75"/>
      <c r="I91" s="75"/>
    </row>
    <row r="92" spans="2:9" x14ac:dyDescent="0.35">
      <c r="B92" s="75"/>
      <c r="C92" s="734"/>
      <c r="D92" s="734"/>
      <c r="E92" s="94">
        <f t="shared" si="7"/>
        <v>0</v>
      </c>
      <c r="F92" s="88"/>
      <c r="G92" s="75"/>
      <c r="H92" s="75"/>
      <c r="I92" s="75"/>
    </row>
    <row r="93" spans="2:9" x14ac:dyDescent="0.35">
      <c r="B93" s="62" t="s">
        <v>128</v>
      </c>
      <c r="C93" s="730"/>
      <c r="D93" s="730"/>
      <c r="E93" s="730">
        <f>SUM(E90:E92)</f>
        <v>0</v>
      </c>
      <c r="F93" s="88"/>
      <c r="G93" s="76"/>
      <c r="H93" s="76"/>
      <c r="I93" s="76"/>
    </row>
    <row r="94" spans="2:9" x14ac:dyDescent="0.35">
      <c r="F94" s="88"/>
    </row>
    <row r="95" spans="2:9" x14ac:dyDescent="0.35">
      <c r="F95" s="88"/>
    </row>
    <row r="96" spans="2:9" ht="15.5" customHeight="1" x14ac:dyDescent="0.35">
      <c r="B96" s="933" t="s">
        <v>70</v>
      </c>
      <c r="C96" s="933"/>
      <c r="F96" s="88"/>
    </row>
    <row r="97" spans="2:6" ht="15.5" customHeight="1" x14ac:dyDescent="0.35">
      <c r="B97" s="933"/>
      <c r="C97" s="933"/>
      <c r="F97" s="88"/>
    </row>
    <row r="98" spans="2:6" ht="4" customHeight="1" x14ac:dyDescent="0.35">
      <c r="F98" s="88"/>
    </row>
    <row r="99" spans="2:6" ht="35" customHeight="1" x14ac:dyDescent="0.35">
      <c r="B99" s="585" t="s">
        <v>4</v>
      </c>
      <c r="C99" s="728" t="s">
        <v>200</v>
      </c>
      <c r="F99" s="88"/>
    </row>
    <row r="100" spans="2:6" ht="25" customHeight="1" x14ac:dyDescent="0.35">
      <c r="B100" s="7" t="s">
        <v>297</v>
      </c>
      <c r="C100" s="171"/>
      <c r="F100" s="88"/>
    </row>
    <row r="101" spans="2:6" x14ac:dyDescent="0.35">
      <c r="B101" s="726" t="s">
        <v>156</v>
      </c>
      <c r="C101" s="717">
        <v>0</v>
      </c>
      <c r="F101" s="88"/>
    </row>
    <row r="102" spans="2:6" x14ac:dyDescent="0.35">
      <c r="B102" s="726" t="s">
        <v>482</v>
      </c>
      <c r="C102" s="717">
        <v>0</v>
      </c>
      <c r="F102" s="88"/>
    </row>
    <row r="103" spans="2:6" x14ac:dyDescent="0.35">
      <c r="B103" s="2"/>
      <c r="C103" s="172"/>
      <c r="F103" s="88"/>
    </row>
    <row r="104" spans="2:6" ht="16.5" customHeight="1" x14ac:dyDescent="0.35">
      <c r="B104" s="2"/>
      <c r="C104" s="172"/>
      <c r="F104" s="88"/>
    </row>
    <row r="105" spans="2:6" x14ac:dyDescent="0.35">
      <c r="B105" s="32"/>
      <c r="C105" s="731"/>
      <c r="F105" s="88"/>
    </row>
    <row r="106" spans="2:6" ht="20" customHeight="1" x14ac:dyDescent="0.35">
      <c r="B106" s="62" t="s">
        <v>201</v>
      </c>
      <c r="C106" s="174">
        <f>SUM(C101:C105)</f>
        <v>0</v>
      </c>
      <c r="F106" s="88"/>
    </row>
    <row r="108" spans="2:6" ht="15.5" customHeight="1" x14ac:dyDescent="0.35"/>
    <row r="110" spans="2:6" ht="15.5" customHeight="1" x14ac:dyDescent="0.35"/>
    <row r="111" spans="2:6" ht="25" customHeight="1" x14ac:dyDescent="0.35"/>
    <row r="118" ht="20" customHeight="1" x14ac:dyDescent="0.35"/>
    <row r="122" ht="15.5" customHeight="1" x14ac:dyDescent="0.35"/>
    <row r="123" ht="25" customHeight="1" x14ac:dyDescent="0.35"/>
  </sheetData>
  <mergeCells count="2">
    <mergeCell ref="B2:I3"/>
    <mergeCell ref="B96:C97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BAC24-E133-4160-BF54-37C2F28A42BA}">
  <sheetPr codeName="Hoja20">
    <tabColor theme="7" tint="0.79998168889431442"/>
  </sheetPr>
  <dimension ref="B1:T46"/>
  <sheetViews>
    <sheetView showGridLines="0" topLeftCell="A2" zoomScale="38" zoomScaleNormal="38" workbookViewId="0">
      <selection activeCell="C43" sqref="C43"/>
    </sheetView>
  </sheetViews>
  <sheetFormatPr baseColWidth="10" defaultRowHeight="15.5" x14ac:dyDescent="0.35"/>
  <cols>
    <col min="2" max="2" width="38.1796875" bestFit="1" customWidth="1"/>
    <col min="3" max="3" width="22.1796875" bestFit="1" customWidth="1"/>
    <col min="4" max="4" width="5.36328125" style="6" customWidth="1"/>
    <col min="5" max="5" width="41.81640625" style="6" customWidth="1"/>
    <col min="6" max="6" width="18.90625" style="6" customWidth="1"/>
    <col min="7" max="7" width="24.36328125" style="6" customWidth="1"/>
    <col min="8" max="8" width="23.81640625" style="6" customWidth="1"/>
    <col min="9" max="9" width="23.453125" style="6" customWidth="1"/>
    <col min="10" max="17" width="17.453125" style="6" customWidth="1"/>
    <col min="18" max="18" width="14.36328125" bestFit="1" customWidth="1"/>
    <col min="19" max="19" width="14" bestFit="1" customWidth="1"/>
    <col min="20" max="20" width="15.36328125" bestFit="1" customWidth="1"/>
  </cols>
  <sheetData>
    <row r="1" spans="2:20" ht="16" thickBot="1" x14ac:dyDescent="0.4"/>
    <row r="2" spans="2:20" x14ac:dyDescent="0.35">
      <c r="B2" s="946" t="s">
        <v>424</v>
      </c>
      <c r="C2" s="947"/>
    </row>
    <row r="3" spans="2:20" s="4" customFormat="1" ht="44" customHeight="1" thickBot="1" x14ac:dyDescent="0.4">
      <c r="B3" s="948"/>
      <c r="C3" s="949"/>
      <c r="D3" s="6"/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spans="2:20" ht="25.5" customHeight="1" thickBot="1" x14ac:dyDescent="0.45">
      <c r="E4" s="675" t="s">
        <v>164</v>
      </c>
    </row>
    <row r="5" spans="2:20" ht="16" thickBot="1" x14ac:dyDescent="0.4">
      <c r="B5" s="70" t="s">
        <v>245</v>
      </c>
      <c r="C5" s="70" t="s">
        <v>249</v>
      </c>
      <c r="E5" s="67" t="s">
        <v>165</v>
      </c>
      <c r="F5" s="638" t="s">
        <v>182</v>
      </c>
      <c r="G5" s="638" t="s">
        <v>183</v>
      </c>
      <c r="H5" s="638" t="s">
        <v>184</v>
      </c>
      <c r="I5" s="638" t="s">
        <v>185</v>
      </c>
      <c r="J5" s="638" t="s">
        <v>186</v>
      </c>
      <c r="K5" s="638" t="s">
        <v>187</v>
      </c>
      <c r="L5" s="638" t="s">
        <v>188</v>
      </c>
      <c r="M5" s="638" t="s">
        <v>189</v>
      </c>
      <c r="N5" s="638" t="s">
        <v>190</v>
      </c>
      <c r="O5" s="638" t="s">
        <v>191</v>
      </c>
      <c r="P5" s="638" t="s">
        <v>192</v>
      </c>
      <c r="Q5" s="638" t="s">
        <v>193</v>
      </c>
    </row>
    <row r="6" spans="2:20" x14ac:dyDescent="0.35">
      <c r="B6" s="643" t="str">
        <f>PT!C8</f>
        <v xml:space="preserve">PALMITO ENTERO 800 </v>
      </c>
      <c r="C6" s="741">
        <f>PT!H8</f>
        <v>0</v>
      </c>
      <c r="E6" s="182" t="str">
        <f>DP!J61</f>
        <v xml:space="preserve">PALMITO ENTERO 800 </v>
      </c>
      <c r="F6" s="678"/>
      <c r="G6" s="678"/>
      <c r="H6" s="678"/>
      <c r="I6" s="678"/>
      <c r="J6" s="678"/>
      <c r="K6" s="678"/>
      <c r="L6" s="678"/>
      <c r="M6" s="678"/>
      <c r="N6" s="678"/>
      <c r="O6" s="678"/>
      <c r="P6" s="678"/>
      <c r="Q6" s="679"/>
    </row>
    <row r="7" spans="2:20" x14ac:dyDescent="0.35">
      <c r="B7" s="643" t="str">
        <f>PT!C9</f>
        <v>PALMITO RODAJA 800</v>
      </c>
      <c r="C7" s="741">
        <f>PT!H9</f>
        <v>0</v>
      </c>
      <c r="E7" s="183" t="str">
        <f>DP!J62</f>
        <v>PALMITO RODAJA 800</v>
      </c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677"/>
    </row>
    <row r="8" spans="2:20" x14ac:dyDescent="0.35">
      <c r="B8" s="643" t="str">
        <f>PT!C10</f>
        <v>PALMITO TROZO 800</v>
      </c>
      <c r="C8" s="741">
        <f>PT!H10</f>
        <v>0</v>
      </c>
      <c r="E8" s="183" t="str">
        <f>DP!J63</f>
        <v>PALMITO TROZO 800</v>
      </c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677"/>
    </row>
    <row r="9" spans="2:20" x14ac:dyDescent="0.35">
      <c r="B9" s="643" t="str">
        <f>PT!C11</f>
        <v>PALMITO ENTERO 400</v>
      </c>
      <c r="C9" s="741">
        <f>PT!H11</f>
        <v>0</v>
      </c>
      <c r="E9" s="183" t="str">
        <f>DP!J64</f>
        <v>PALMITO ENTERO 400</v>
      </c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677"/>
      <c r="T9" s="282"/>
    </row>
    <row r="10" spans="2:20" x14ac:dyDescent="0.35">
      <c r="B10" s="643" t="str">
        <f>PT!C12</f>
        <v>PALMITO RODAJA 400</v>
      </c>
      <c r="C10" s="741">
        <f>PT!H12</f>
        <v>0</v>
      </c>
      <c r="E10" s="183" t="str">
        <f>DP!J65</f>
        <v>PALMITO RODAJA 400</v>
      </c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677"/>
    </row>
    <row r="11" spans="2:20" x14ac:dyDescent="0.35">
      <c r="B11" s="643" t="str">
        <f>PT!C13</f>
        <v>PALMITO TROZO 400</v>
      </c>
      <c r="C11" s="741">
        <f>PT!H13</f>
        <v>0</v>
      </c>
      <c r="E11" s="183" t="str">
        <f>DP!J66</f>
        <v>PALMITO TROZO 400</v>
      </c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677"/>
    </row>
    <row r="12" spans="2:20" x14ac:dyDescent="0.35">
      <c r="B12" s="643" t="str">
        <f>PT!C14</f>
        <v>PALMITO TROZO  A-10</v>
      </c>
      <c r="C12" s="741">
        <f>PT!H14</f>
        <v>0</v>
      </c>
      <c r="E12" s="183" t="str">
        <f>DP!J67</f>
        <v>PALMITO TROZO  A-10</v>
      </c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677"/>
    </row>
    <row r="13" spans="2:20" x14ac:dyDescent="0.35">
      <c r="B13" s="643" t="str">
        <f>PT!C15</f>
        <v>PALMITO RODAJA  A-10</v>
      </c>
      <c r="C13" s="741">
        <f>PT!H15</f>
        <v>0</v>
      </c>
      <c r="E13" s="183" t="str">
        <f>DP!J68</f>
        <v>PALMITO RODAJA  A-10</v>
      </c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677"/>
    </row>
    <row r="14" spans="2:20" ht="16" thickBot="1" x14ac:dyDescent="0.4">
      <c r="B14" s="6"/>
      <c r="C14" s="6"/>
      <c r="E14" s="156" t="s">
        <v>237</v>
      </c>
      <c r="F14" s="163">
        <f t="shared" ref="F14:Q14" si="0">SUM(F6:F13)</f>
        <v>0</v>
      </c>
      <c r="G14" s="163">
        <f t="shared" si="0"/>
        <v>0</v>
      </c>
      <c r="H14" s="163">
        <f t="shared" si="0"/>
        <v>0</v>
      </c>
      <c r="I14" s="163">
        <f t="shared" si="0"/>
        <v>0</v>
      </c>
      <c r="J14" s="163">
        <f t="shared" si="0"/>
        <v>0</v>
      </c>
      <c r="K14" s="163">
        <f t="shared" si="0"/>
        <v>0</v>
      </c>
      <c r="L14" s="163">
        <f t="shared" si="0"/>
        <v>0</v>
      </c>
      <c r="M14" s="163">
        <f t="shared" si="0"/>
        <v>0</v>
      </c>
      <c r="N14" s="163">
        <f t="shared" si="0"/>
        <v>0</v>
      </c>
      <c r="O14" s="163">
        <f t="shared" si="0"/>
        <v>0</v>
      </c>
      <c r="P14" s="163">
        <f t="shared" si="0"/>
        <v>0</v>
      </c>
      <c r="Q14" s="164">
        <f t="shared" si="0"/>
        <v>0</v>
      </c>
      <c r="S14" s="282"/>
    </row>
    <row r="15" spans="2:20" ht="22" customHeight="1" thickBot="1" x14ac:dyDescent="0.4">
      <c r="B15" s="70" t="s">
        <v>245</v>
      </c>
      <c r="C15" s="70" t="s">
        <v>249</v>
      </c>
      <c r="E15" s="67" t="s">
        <v>166</v>
      </c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</row>
    <row r="16" spans="2:20" x14ac:dyDescent="0.35">
      <c r="B16" s="643" t="str">
        <f>PT!C16</f>
        <v>PIÑA RODAJA 850</v>
      </c>
      <c r="C16" s="741">
        <f>PT!H16</f>
        <v>0</v>
      </c>
      <c r="E16" s="182" t="str">
        <f>DP!J71</f>
        <v>PIÑA RODAJA 850</v>
      </c>
      <c r="F16" s="678"/>
      <c r="G16" s="678"/>
      <c r="H16" s="678"/>
      <c r="I16" s="678"/>
      <c r="J16" s="678"/>
      <c r="K16" s="678"/>
      <c r="L16" s="678"/>
      <c r="M16" s="678"/>
      <c r="N16" s="678"/>
      <c r="O16" s="678"/>
      <c r="P16" s="678"/>
      <c r="Q16" s="679"/>
    </row>
    <row r="17" spans="2:19" x14ac:dyDescent="0.35">
      <c r="B17" s="643" t="str">
        <f>PT!C17</f>
        <v>PIÑA TROZO 850</v>
      </c>
      <c r="C17" s="741">
        <f>PT!H17</f>
        <v>0</v>
      </c>
      <c r="E17" s="183" t="str">
        <f>DP!J72</f>
        <v>PIÑA TROZO 850</v>
      </c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677"/>
    </row>
    <row r="18" spans="2:19" x14ac:dyDescent="0.35">
      <c r="B18" s="643" t="str">
        <f>PT!C18</f>
        <v>PIÑA TROZO A-10</v>
      </c>
      <c r="C18" s="741">
        <f>PT!H18</f>
        <v>0</v>
      </c>
      <c r="E18" s="183" t="str">
        <f>DP!J73</f>
        <v>PIÑA TROZO A-10</v>
      </c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677"/>
    </row>
    <row r="19" spans="2:19" x14ac:dyDescent="0.35">
      <c r="B19" s="643" t="str">
        <f>PT!C19</f>
        <v>PIÑA RODAJA A-10</v>
      </c>
      <c r="C19" s="741">
        <f>PT!H19</f>
        <v>0</v>
      </c>
      <c r="E19" s="183" t="str">
        <f>DP!J74</f>
        <v>PIÑA RODAJA A-10</v>
      </c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677"/>
    </row>
    <row r="20" spans="2:19" x14ac:dyDescent="0.35">
      <c r="B20" s="643" t="str">
        <f>PT!C20</f>
        <v>PIÑA RODAJA 567</v>
      </c>
      <c r="C20" s="741">
        <f>PT!H20</f>
        <v>0</v>
      </c>
      <c r="E20" s="183" t="str">
        <f>DP!J75</f>
        <v>PIÑA RODAJA 567</v>
      </c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677"/>
    </row>
    <row r="21" spans="2:19" x14ac:dyDescent="0.35">
      <c r="B21" s="643" t="str">
        <f>PT!C21</f>
        <v>PIÑA TROZO 567</v>
      </c>
      <c r="C21" s="741">
        <f>PT!H21</f>
        <v>0</v>
      </c>
      <c r="E21" s="183" t="str">
        <f>DP!J76</f>
        <v>PIÑA TROZO 567</v>
      </c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677"/>
    </row>
    <row r="22" spans="2:19" x14ac:dyDescent="0.35">
      <c r="B22" s="643" t="str">
        <f>PT!C22</f>
        <v>PIÑA RODAJA 822</v>
      </c>
      <c r="C22" s="741">
        <f>PT!H22</f>
        <v>0</v>
      </c>
      <c r="E22" s="183" t="str">
        <f>DP!J77</f>
        <v>PIÑA RODAJA 822</v>
      </c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677"/>
    </row>
    <row r="23" spans="2:19" x14ac:dyDescent="0.35">
      <c r="B23" s="643" t="str">
        <f>PT!C23</f>
        <v>PIÑA TROZO 822</v>
      </c>
      <c r="C23" s="741">
        <f>PT!H23</f>
        <v>0</v>
      </c>
      <c r="E23" s="183" t="str">
        <f>DP!J78</f>
        <v>PIÑA TROZO 822</v>
      </c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677"/>
    </row>
    <row r="24" spans="2:19" ht="16" thickBot="1" x14ac:dyDescent="0.4">
      <c r="E24" s="156" t="s">
        <v>238</v>
      </c>
      <c r="F24" s="163">
        <f>SUM(F16:F23)</f>
        <v>0</v>
      </c>
      <c r="G24" s="163">
        <f t="shared" ref="G24:Q24" si="1">SUM(G16:G23)</f>
        <v>0</v>
      </c>
      <c r="H24" s="163">
        <f t="shared" si="1"/>
        <v>0</v>
      </c>
      <c r="I24" s="163">
        <f t="shared" si="1"/>
        <v>0</v>
      </c>
      <c r="J24" s="163">
        <f t="shared" si="1"/>
        <v>0</v>
      </c>
      <c r="K24" s="163">
        <f t="shared" si="1"/>
        <v>0</v>
      </c>
      <c r="L24" s="163">
        <f t="shared" si="1"/>
        <v>0</v>
      </c>
      <c r="M24" s="163">
        <f t="shared" si="1"/>
        <v>0</v>
      </c>
      <c r="N24" s="163">
        <f t="shared" si="1"/>
        <v>0</v>
      </c>
      <c r="O24" s="163">
        <f t="shared" si="1"/>
        <v>0</v>
      </c>
      <c r="P24" s="163">
        <f t="shared" si="1"/>
        <v>0</v>
      </c>
      <c r="Q24" s="164">
        <f t="shared" si="1"/>
        <v>0</v>
      </c>
      <c r="R24" s="282"/>
      <c r="S24" s="282"/>
    </row>
    <row r="25" spans="2:19" x14ac:dyDescent="0.35">
      <c r="R25" s="282"/>
      <c r="S25" s="282"/>
    </row>
    <row r="26" spans="2:19" ht="20.5" thickBot="1" x14ac:dyDescent="0.4">
      <c r="E26" s="676" t="s">
        <v>12</v>
      </c>
    </row>
    <row r="27" spans="2:19" ht="16" thickBot="1" x14ac:dyDescent="0.4">
      <c r="E27" s="67" t="s">
        <v>167</v>
      </c>
      <c r="F27" s="638" t="s">
        <v>182</v>
      </c>
      <c r="G27" s="638" t="s">
        <v>183</v>
      </c>
      <c r="H27" s="638" t="s">
        <v>184</v>
      </c>
      <c r="I27" s="638" t="s">
        <v>185</v>
      </c>
      <c r="J27" s="638" t="s">
        <v>186</v>
      </c>
      <c r="K27" s="638" t="s">
        <v>187</v>
      </c>
      <c r="L27" s="638" t="s">
        <v>188</v>
      </c>
      <c r="M27" s="638" t="s">
        <v>189</v>
      </c>
      <c r="N27" s="638" t="s">
        <v>190</v>
      </c>
      <c r="O27" s="638" t="s">
        <v>191</v>
      </c>
      <c r="P27" s="638" t="s">
        <v>192</v>
      </c>
      <c r="Q27" s="638" t="s">
        <v>193</v>
      </c>
    </row>
    <row r="28" spans="2:19" x14ac:dyDescent="0.35">
      <c r="E28" s="182" t="str">
        <f>DP!J61</f>
        <v xml:space="preserve">PALMITO ENTERO 800 </v>
      </c>
      <c r="F28" s="144">
        <f>DP!$M61*F6</f>
        <v>0</v>
      </c>
      <c r="G28" s="144">
        <f>DP!$M61*G6</f>
        <v>0</v>
      </c>
      <c r="H28" s="144">
        <f>DP!$M61*H6</f>
        <v>0</v>
      </c>
      <c r="I28" s="144">
        <f>DP!$M61*I6</f>
        <v>0</v>
      </c>
      <c r="J28" s="144">
        <f>DP!$M61*J6</f>
        <v>0</v>
      </c>
      <c r="K28" s="144">
        <f>DP!$M61*K6</f>
        <v>0</v>
      </c>
      <c r="L28" s="144">
        <f>DP!$M61*L6</f>
        <v>0</v>
      </c>
      <c r="M28" s="144">
        <f>DP!$M61*M6</f>
        <v>0</v>
      </c>
      <c r="N28" s="144">
        <f>DP!$M61*N6</f>
        <v>0</v>
      </c>
      <c r="O28" s="144">
        <f>DP!$M61*O6</f>
        <v>0</v>
      </c>
      <c r="P28" s="144">
        <f>DP!$M61*P6</f>
        <v>0</v>
      </c>
      <c r="Q28" s="145">
        <f>DP!$M61*Q6</f>
        <v>0</v>
      </c>
    </row>
    <row r="29" spans="2:19" x14ac:dyDescent="0.35">
      <c r="E29" s="183" t="str">
        <f>DP!J62</f>
        <v>PALMITO RODAJA 800</v>
      </c>
      <c r="F29" s="149">
        <f>DP!$M62*F7</f>
        <v>0</v>
      </c>
      <c r="G29" s="149">
        <f>DP!$M62*G7</f>
        <v>0</v>
      </c>
      <c r="H29" s="149">
        <f>DP!$M62*H7</f>
        <v>0</v>
      </c>
      <c r="I29" s="149">
        <f>DP!$M62*I7</f>
        <v>0</v>
      </c>
      <c r="J29" s="149">
        <f>DP!$M62*J7</f>
        <v>0</v>
      </c>
      <c r="K29" s="149">
        <f>DP!$M62*K7</f>
        <v>0</v>
      </c>
      <c r="L29" s="149">
        <f>DP!$M62*L7</f>
        <v>0</v>
      </c>
      <c r="M29" s="149">
        <f>DP!$M62*M7</f>
        <v>0</v>
      </c>
      <c r="N29" s="149">
        <f>DP!$M62*N7</f>
        <v>0</v>
      </c>
      <c r="O29" s="149">
        <f>DP!$M62*O7</f>
        <v>0</v>
      </c>
      <c r="P29" s="149">
        <f>DP!$M62*P7</f>
        <v>0</v>
      </c>
      <c r="Q29" s="150">
        <f>DP!$M62*Q7</f>
        <v>0</v>
      </c>
    </row>
    <row r="30" spans="2:19" x14ac:dyDescent="0.35">
      <c r="E30" s="183" t="str">
        <f>DP!J63</f>
        <v>PALMITO TROZO 800</v>
      </c>
      <c r="F30" s="149">
        <f>DP!$M63*F8</f>
        <v>0</v>
      </c>
      <c r="G30" s="149">
        <f>DP!$M63*G8</f>
        <v>0</v>
      </c>
      <c r="H30" s="149">
        <f>DP!$M63*H8</f>
        <v>0</v>
      </c>
      <c r="I30" s="149">
        <f>DP!$M63*I8</f>
        <v>0</v>
      </c>
      <c r="J30" s="149">
        <f>DP!$M63*J8</f>
        <v>0</v>
      </c>
      <c r="K30" s="149">
        <f>DP!$M63*K8</f>
        <v>0</v>
      </c>
      <c r="L30" s="149">
        <f>DP!$M63*L8</f>
        <v>0</v>
      </c>
      <c r="M30" s="149">
        <f>DP!$M63*M8</f>
        <v>0</v>
      </c>
      <c r="N30" s="149">
        <f>DP!$M63*N8</f>
        <v>0</v>
      </c>
      <c r="O30" s="149">
        <f>DP!$M63*O8</f>
        <v>0</v>
      </c>
      <c r="P30" s="149">
        <f>DP!$M63*P8</f>
        <v>0</v>
      </c>
      <c r="Q30" s="150">
        <f>DP!$M63*Q8</f>
        <v>0</v>
      </c>
    </row>
    <row r="31" spans="2:19" x14ac:dyDescent="0.35">
      <c r="E31" s="183" t="str">
        <f>DP!J64</f>
        <v>PALMITO ENTERO 400</v>
      </c>
      <c r="F31" s="149">
        <f>DP!$M64*F9</f>
        <v>0</v>
      </c>
      <c r="G31" s="149">
        <f>DP!$M64*G9</f>
        <v>0</v>
      </c>
      <c r="H31" s="149">
        <f>DP!$M64*H9</f>
        <v>0</v>
      </c>
      <c r="I31" s="149">
        <f>DP!$M64*I9</f>
        <v>0</v>
      </c>
      <c r="J31" s="149">
        <f>DP!$M64*J9</f>
        <v>0</v>
      </c>
      <c r="K31" s="149">
        <f>DP!$M64*K9</f>
        <v>0</v>
      </c>
      <c r="L31" s="149">
        <f>DP!$M64*L9</f>
        <v>0</v>
      </c>
      <c r="M31" s="149">
        <f>DP!$M64*M9</f>
        <v>0</v>
      </c>
      <c r="N31" s="149">
        <f>DP!$M64*N9</f>
        <v>0</v>
      </c>
      <c r="O31" s="149">
        <f>DP!$M64*O9</f>
        <v>0</v>
      </c>
      <c r="P31" s="149">
        <f>DP!$M64*P9</f>
        <v>0</v>
      </c>
      <c r="Q31" s="150">
        <f>DP!$M64*Q9</f>
        <v>0</v>
      </c>
    </row>
    <row r="32" spans="2:19" x14ac:dyDescent="0.35">
      <c r="E32" s="183" t="str">
        <f>DP!J65</f>
        <v>PALMITO RODAJA 400</v>
      </c>
      <c r="F32" s="149">
        <f>DP!$M65*F10</f>
        <v>0</v>
      </c>
      <c r="G32" s="149">
        <f>DP!$M65*G10</f>
        <v>0</v>
      </c>
      <c r="H32" s="149">
        <f>DP!$M65*H10</f>
        <v>0</v>
      </c>
      <c r="I32" s="149">
        <f>DP!$M65*I10</f>
        <v>0</v>
      </c>
      <c r="J32" s="149">
        <f>DP!$M65*J10</f>
        <v>0</v>
      </c>
      <c r="K32" s="149">
        <f>DP!$M65*K10</f>
        <v>0</v>
      </c>
      <c r="L32" s="149">
        <f>DP!$M65*L10</f>
        <v>0</v>
      </c>
      <c r="M32" s="149">
        <f>DP!$M65*M10</f>
        <v>0</v>
      </c>
      <c r="N32" s="149">
        <f>DP!$M65*N10</f>
        <v>0</v>
      </c>
      <c r="O32" s="149">
        <f>DP!$M65*O10</f>
        <v>0</v>
      </c>
      <c r="P32" s="149">
        <f>DP!$M65*P10</f>
        <v>0</v>
      </c>
      <c r="Q32" s="150">
        <f>DP!$M65*Q10</f>
        <v>0</v>
      </c>
    </row>
    <row r="33" spans="5:18" x14ac:dyDescent="0.35">
      <c r="E33" s="183" t="str">
        <f>DP!J66</f>
        <v>PALMITO TROZO 400</v>
      </c>
      <c r="F33" s="149">
        <f>DP!$M66*F11</f>
        <v>0</v>
      </c>
      <c r="G33" s="149">
        <f>DP!$M66*G11</f>
        <v>0</v>
      </c>
      <c r="H33" s="149">
        <f>DP!$M66*H11</f>
        <v>0</v>
      </c>
      <c r="I33" s="149">
        <f>DP!$M66*I11</f>
        <v>0</v>
      </c>
      <c r="J33" s="149">
        <f>DP!$M66*J11</f>
        <v>0</v>
      </c>
      <c r="K33" s="149">
        <f>DP!$M66*K11</f>
        <v>0</v>
      </c>
      <c r="L33" s="149">
        <f>DP!$M66*L11</f>
        <v>0</v>
      </c>
      <c r="M33" s="149">
        <f>DP!$M66*M11</f>
        <v>0</v>
      </c>
      <c r="N33" s="149">
        <f>DP!$M66*N11</f>
        <v>0</v>
      </c>
      <c r="O33" s="149">
        <f>DP!$M66*O11</f>
        <v>0</v>
      </c>
      <c r="P33" s="149">
        <f>DP!$M66*P11</f>
        <v>0</v>
      </c>
      <c r="Q33" s="150">
        <f>DP!$M66*Q11</f>
        <v>0</v>
      </c>
    </row>
    <row r="34" spans="5:18" x14ac:dyDescent="0.35">
      <c r="E34" s="183" t="str">
        <f>DP!J67</f>
        <v>PALMITO TROZO  A-10</v>
      </c>
      <c r="F34" s="149">
        <f>DP!$M67*F12</f>
        <v>0</v>
      </c>
      <c r="G34" s="149">
        <f>DP!$M67*G12</f>
        <v>0</v>
      </c>
      <c r="H34" s="149">
        <f>DP!$M67*H12</f>
        <v>0</v>
      </c>
      <c r="I34" s="149">
        <f>DP!$M67*I12</f>
        <v>0</v>
      </c>
      <c r="J34" s="149">
        <f>DP!$M67*J12</f>
        <v>0</v>
      </c>
      <c r="K34" s="149">
        <f>DP!$M67*K12</f>
        <v>0</v>
      </c>
      <c r="L34" s="149">
        <f>DP!$M67*L12</f>
        <v>0</v>
      </c>
      <c r="M34" s="149">
        <f>DP!$M67*M12</f>
        <v>0</v>
      </c>
      <c r="N34" s="149">
        <f>DP!$M67*N12</f>
        <v>0</v>
      </c>
      <c r="O34" s="149">
        <f>DP!$M67*O12</f>
        <v>0</v>
      </c>
      <c r="P34" s="149">
        <f>DP!$M67*P12</f>
        <v>0</v>
      </c>
      <c r="Q34" s="150">
        <f>DP!$M67*Q12</f>
        <v>0</v>
      </c>
    </row>
    <row r="35" spans="5:18" x14ac:dyDescent="0.35">
      <c r="E35" s="183" t="str">
        <f>DP!J68</f>
        <v>PALMITO RODAJA  A-10</v>
      </c>
      <c r="F35" s="149">
        <f>DP!$M68*F13</f>
        <v>0</v>
      </c>
      <c r="G35" s="149">
        <f>DP!$M68*G13</f>
        <v>0</v>
      </c>
      <c r="H35" s="149">
        <f>DP!$M68*H13</f>
        <v>0</v>
      </c>
      <c r="I35" s="149">
        <f>DP!$M68*I13</f>
        <v>0</v>
      </c>
      <c r="J35" s="149">
        <f>DP!$M68*J13</f>
        <v>0</v>
      </c>
      <c r="K35" s="149">
        <f>DP!$M68*K13</f>
        <v>0</v>
      </c>
      <c r="L35" s="149">
        <f>DP!$M68*L13</f>
        <v>0</v>
      </c>
      <c r="M35" s="149">
        <f>DP!$M68*M13</f>
        <v>0</v>
      </c>
      <c r="N35" s="149">
        <f>DP!$M68*N13</f>
        <v>0</v>
      </c>
      <c r="O35" s="149">
        <f>DP!$M68*O13</f>
        <v>0</v>
      </c>
      <c r="P35" s="149">
        <f>DP!$M68*P13</f>
        <v>0</v>
      </c>
      <c r="Q35" s="150">
        <f>DP!$M68*Q13</f>
        <v>0</v>
      </c>
    </row>
    <row r="36" spans="5:18" ht="16" thickBot="1" x14ac:dyDescent="0.4">
      <c r="E36" s="156" t="s">
        <v>235</v>
      </c>
      <c r="F36" s="163">
        <f>SUM(F28:F35)</f>
        <v>0</v>
      </c>
      <c r="G36" s="163">
        <f t="shared" ref="G36:Q36" si="2">SUM(G28:G35)</f>
        <v>0</v>
      </c>
      <c r="H36" s="163">
        <f t="shared" si="2"/>
        <v>0</v>
      </c>
      <c r="I36" s="163">
        <f t="shared" si="2"/>
        <v>0</v>
      </c>
      <c r="J36" s="163">
        <f t="shared" si="2"/>
        <v>0</v>
      </c>
      <c r="K36" s="163">
        <f t="shared" si="2"/>
        <v>0</v>
      </c>
      <c r="L36" s="163">
        <f t="shared" si="2"/>
        <v>0</v>
      </c>
      <c r="M36" s="163">
        <f t="shared" si="2"/>
        <v>0</v>
      </c>
      <c r="N36" s="163">
        <f t="shared" si="2"/>
        <v>0</v>
      </c>
      <c r="O36" s="163">
        <f t="shared" si="2"/>
        <v>0</v>
      </c>
      <c r="P36" s="163">
        <f t="shared" si="2"/>
        <v>0</v>
      </c>
      <c r="Q36" s="164">
        <f t="shared" si="2"/>
        <v>0</v>
      </c>
      <c r="R36" s="282">
        <f>SUM(F36:Q36)</f>
        <v>0</v>
      </c>
    </row>
    <row r="37" spans="5:18" ht="19.5" customHeight="1" thickBot="1" x14ac:dyDescent="0.4">
      <c r="E37" s="157" t="s">
        <v>168</v>
      </c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</row>
    <row r="38" spans="5:18" x14ac:dyDescent="0.35">
      <c r="E38" s="182" t="str">
        <f>DP!J71</f>
        <v>PIÑA RODAJA 850</v>
      </c>
      <c r="F38" s="144">
        <f>DP!$M71*F16</f>
        <v>0</v>
      </c>
      <c r="G38" s="144">
        <f>DP!$M71*G16</f>
        <v>0</v>
      </c>
      <c r="H38" s="144">
        <f>DP!$M71*H16</f>
        <v>0</v>
      </c>
      <c r="I38" s="144">
        <f>DP!$M71*I16</f>
        <v>0</v>
      </c>
      <c r="J38" s="144">
        <f>DP!$M71*J16</f>
        <v>0</v>
      </c>
      <c r="K38" s="144">
        <f>DP!$M71*K16</f>
        <v>0</v>
      </c>
      <c r="L38" s="144">
        <f>DP!$M71*L16</f>
        <v>0</v>
      </c>
      <c r="M38" s="144">
        <f>DP!$M71*M16</f>
        <v>0</v>
      </c>
      <c r="N38" s="144">
        <f>DP!$M71*N16</f>
        <v>0</v>
      </c>
      <c r="O38" s="144">
        <f>DP!$M71*O16</f>
        <v>0</v>
      </c>
      <c r="P38" s="144">
        <f>DP!$M71*P16</f>
        <v>0</v>
      </c>
      <c r="Q38" s="145">
        <f>DP!$M71*Q16</f>
        <v>0</v>
      </c>
    </row>
    <row r="39" spans="5:18" x14ac:dyDescent="0.35">
      <c r="E39" s="183" t="str">
        <f>DP!J72</f>
        <v>PIÑA TROZO 850</v>
      </c>
      <c r="F39" s="149">
        <f>DP!$M72*F17</f>
        <v>0</v>
      </c>
      <c r="G39" s="149">
        <f>DP!$M72*G17</f>
        <v>0</v>
      </c>
      <c r="H39" s="149">
        <f>DP!$M72*H17</f>
        <v>0</v>
      </c>
      <c r="I39" s="149">
        <f>DP!$M72*I17</f>
        <v>0</v>
      </c>
      <c r="J39" s="149">
        <f>DP!$M72*J17</f>
        <v>0</v>
      </c>
      <c r="K39" s="149">
        <f>DP!$M72*K17</f>
        <v>0</v>
      </c>
      <c r="L39" s="149">
        <f>DP!$M72*L17</f>
        <v>0</v>
      </c>
      <c r="M39" s="149">
        <f>DP!$M72*M17</f>
        <v>0</v>
      </c>
      <c r="N39" s="149">
        <f>DP!$M72*N17</f>
        <v>0</v>
      </c>
      <c r="O39" s="149">
        <f>DP!$M72*O17</f>
        <v>0</v>
      </c>
      <c r="P39" s="149">
        <f>DP!$M72*P17</f>
        <v>0</v>
      </c>
      <c r="Q39" s="150">
        <f>DP!$M72*Q17</f>
        <v>0</v>
      </c>
    </row>
    <row r="40" spans="5:18" x14ac:dyDescent="0.35">
      <c r="E40" s="183" t="str">
        <f>DP!J73</f>
        <v>PIÑA TROZO A-10</v>
      </c>
      <c r="F40" s="149">
        <f>DP!$M73*F18</f>
        <v>0</v>
      </c>
      <c r="G40" s="149">
        <f>DP!$M73*G18</f>
        <v>0</v>
      </c>
      <c r="H40" s="149">
        <f>DP!$M73*H18</f>
        <v>0</v>
      </c>
      <c r="I40" s="149">
        <f>DP!$M73*I18</f>
        <v>0</v>
      </c>
      <c r="J40" s="149">
        <f>DP!$M73*J18</f>
        <v>0</v>
      </c>
      <c r="K40" s="149">
        <f>DP!$M73*K18</f>
        <v>0</v>
      </c>
      <c r="L40" s="149">
        <f>DP!$M73*L18</f>
        <v>0</v>
      </c>
      <c r="M40" s="149">
        <f>DP!$M73*M18</f>
        <v>0</v>
      </c>
      <c r="N40" s="149">
        <f>DP!$M73*N18</f>
        <v>0</v>
      </c>
      <c r="O40" s="149">
        <f>DP!$M73*O18</f>
        <v>0</v>
      </c>
      <c r="P40" s="149">
        <f>DP!$M73*P18</f>
        <v>0</v>
      </c>
      <c r="Q40" s="150">
        <f>DP!$M73*Q18</f>
        <v>0</v>
      </c>
    </row>
    <row r="41" spans="5:18" x14ac:dyDescent="0.35">
      <c r="E41" s="183" t="str">
        <f>DP!J74</f>
        <v>PIÑA RODAJA A-10</v>
      </c>
      <c r="F41" s="149">
        <f>DP!$M74*F19</f>
        <v>0</v>
      </c>
      <c r="G41" s="149">
        <f>DP!$M74*G19</f>
        <v>0</v>
      </c>
      <c r="H41" s="149">
        <f>DP!$M74*H19</f>
        <v>0</v>
      </c>
      <c r="I41" s="149">
        <f>DP!$M74*I19</f>
        <v>0</v>
      </c>
      <c r="J41" s="149">
        <f>DP!$M74*J19</f>
        <v>0</v>
      </c>
      <c r="K41" s="149">
        <f>DP!$M74*K19</f>
        <v>0</v>
      </c>
      <c r="L41" s="149">
        <f>DP!$M74*L19</f>
        <v>0</v>
      </c>
      <c r="M41" s="149">
        <f>DP!$M74*M19</f>
        <v>0</v>
      </c>
      <c r="N41" s="149">
        <f>DP!$M74*N19</f>
        <v>0</v>
      </c>
      <c r="O41" s="149">
        <f>DP!$M74*O19</f>
        <v>0</v>
      </c>
      <c r="P41" s="149">
        <f>DP!$M74*P19</f>
        <v>0</v>
      </c>
      <c r="Q41" s="150">
        <f>DP!$M74*Q19</f>
        <v>0</v>
      </c>
    </row>
    <row r="42" spans="5:18" x14ac:dyDescent="0.35">
      <c r="E42" s="183" t="str">
        <f>DP!J75</f>
        <v>PIÑA RODAJA 567</v>
      </c>
      <c r="F42" s="149">
        <f>DP!$M75*F20</f>
        <v>0</v>
      </c>
      <c r="G42" s="149">
        <f>DP!$M75*G20</f>
        <v>0</v>
      </c>
      <c r="H42" s="149">
        <f>DP!$M75*H20</f>
        <v>0</v>
      </c>
      <c r="I42" s="149">
        <f>DP!$M75*I20</f>
        <v>0</v>
      </c>
      <c r="J42" s="149">
        <f>DP!$M75*J20</f>
        <v>0</v>
      </c>
      <c r="K42" s="149">
        <f>DP!$M75*K20</f>
        <v>0</v>
      </c>
      <c r="L42" s="149">
        <f>DP!$M75*L20</f>
        <v>0</v>
      </c>
      <c r="M42" s="149">
        <f>DP!$M75*M20</f>
        <v>0</v>
      </c>
      <c r="N42" s="149">
        <f>DP!$M75*N20</f>
        <v>0</v>
      </c>
      <c r="O42" s="149">
        <f>DP!$M75*O20</f>
        <v>0</v>
      </c>
      <c r="P42" s="149">
        <f>DP!$M75*P20</f>
        <v>0</v>
      </c>
      <c r="Q42" s="150">
        <f>DP!$M75*Q20</f>
        <v>0</v>
      </c>
    </row>
    <row r="43" spans="5:18" x14ac:dyDescent="0.35">
      <c r="E43" s="183" t="str">
        <f>DP!J76</f>
        <v>PIÑA TROZO 567</v>
      </c>
      <c r="F43" s="149">
        <f>DP!$M76*F21</f>
        <v>0</v>
      </c>
      <c r="G43" s="149">
        <f>DP!$M76*G21</f>
        <v>0</v>
      </c>
      <c r="H43" s="149">
        <f>DP!$M76*H21</f>
        <v>0</v>
      </c>
      <c r="I43" s="149">
        <f>DP!$M76*I21</f>
        <v>0</v>
      </c>
      <c r="J43" s="149">
        <f>DP!$M76*J21</f>
        <v>0</v>
      </c>
      <c r="K43" s="149">
        <f>DP!$M76*K21</f>
        <v>0</v>
      </c>
      <c r="L43" s="149">
        <f>DP!$M76*L21</f>
        <v>0</v>
      </c>
      <c r="M43" s="149">
        <f>DP!$M76*M21</f>
        <v>0</v>
      </c>
      <c r="N43" s="149">
        <f>DP!$M76*N21</f>
        <v>0</v>
      </c>
      <c r="O43" s="149">
        <f>DP!$M76*O21</f>
        <v>0</v>
      </c>
      <c r="P43" s="149">
        <f>DP!$M76*P21</f>
        <v>0</v>
      </c>
      <c r="Q43" s="150">
        <f>DP!$M76*Q21</f>
        <v>0</v>
      </c>
    </row>
    <row r="44" spans="5:18" x14ac:dyDescent="0.35">
      <c r="E44" s="183" t="str">
        <f>DP!J77</f>
        <v>PIÑA RODAJA 822</v>
      </c>
      <c r="F44" s="149">
        <f>DP!$M77*F22</f>
        <v>0</v>
      </c>
      <c r="G44" s="149">
        <f>DP!$M77*G22</f>
        <v>0</v>
      </c>
      <c r="H44" s="149">
        <f>DP!$M77*H22</f>
        <v>0</v>
      </c>
      <c r="I44" s="149">
        <f>DP!$M77*I22</f>
        <v>0</v>
      </c>
      <c r="J44" s="149">
        <f>DP!$M77*J22</f>
        <v>0</v>
      </c>
      <c r="K44" s="149">
        <f>DP!$M77*K22</f>
        <v>0</v>
      </c>
      <c r="L44" s="149">
        <f>DP!$M77*L22</f>
        <v>0</v>
      </c>
      <c r="M44" s="149">
        <f>DP!$M77*M22</f>
        <v>0</v>
      </c>
      <c r="N44" s="149">
        <f>DP!$M77*N22</f>
        <v>0</v>
      </c>
      <c r="O44" s="149">
        <f>DP!$M77*O22</f>
        <v>0</v>
      </c>
      <c r="P44" s="149">
        <f>DP!$M77*P22</f>
        <v>0</v>
      </c>
      <c r="Q44" s="150">
        <f>DP!$M77*Q22</f>
        <v>0</v>
      </c>
    </row>
    <row r="45" spans="5:18" x14ac:dyDescent="0.35">
      <c r="E45" s="183" t="str">
        <f>DP!J78</f>
        <v>PIÑA TROZO 822</v>
      </c>
      <c r="F45" s="149">
        <f>DP!$M78*F23</f>
        <v>0</v>
      </c>
      <c r="G45" s="149">
        <f>DP!$M78*G23</f>
        <v>0</v>
      </c>
      <c r="H45" s="149">
        <f>DP!$M78*H23</f>
        <v>0</v>
      </c>
      <c r="I45" s="149">
        <f>DP!$M78*I23</f>
        <v>0</v>
      </c>
      <c r="J45" s="149">
        <f>DP!$M78*J23</f>
        <v>0</v>
      </c>
      <c r="K45" s="149">
        <f>DP!$M78*K23</f>
        <v>0</v>
      </c>
      <c r="L45" s="149">
        <f>DP!$M78*L23</f>
        <v>0</v>
      </c>
      <c r="M45" s="149">
        <f>DP!$M78*M23</f>
        <v>0</v>
      </c>
      <c r="N45" s="149">
        <f>DP!$M78*N23</f>
        <v>0</v>
      </c>
      <c r="O45" s="149">
        <f>DP!$M78*O23</f>
        <v>0</v>
      </c>
      <c r="P45" s="149">
        <f>DP!$M78*P23</f>
        <v>0</v>
      </c>
      <c r="Q45" s="150">
        <f>DP!$M78*Q23</f>
        <v>0</v>
      </c>
    </row>
    <row r="46" spans="5:18" ht="16" thickBot="1" x14ac:dyDescent="0.4">
      <c r="E46" s="156" t="s">
        <v>236</v>
      </c>
      <c r="F46" s="163">
        <f t="shared" ref="F46:Q46" si="3">SUM(F38:F45)</f>
        <v>0</v>
      </c>
      <c r="G46" s="163">
        <f t="shared" si="3"/>
        <v>0</v>
      </c>
      <c r="H46" s="163">
        <f t="shared" si="3"/>
        <v>0</v>
      </c>
      <c r="I46" s="163">
        <f t="shared" si="3"/>
        <v>0</v>
      </c>
      <c r="J46" s="163">
        <f t="shared" si="3"/>
        <v>0</v>
      </c>
      <c r="K46" s="163">
        <f t="shared" si="3"/>
        <v>0</v>
      </c>
      <c r="L46" s="163">
        <f t="shared" si="3"/>
        <v>0</v>
      </c>
      <c r="M46" s="163">
        <f t="shared" si="3"/>
        <v>0</v>
      </c>
      <c r="N46" s="163">
        <f t="shared" si="3"/>
        <v>0</v>
      </c>
      <c r="O46" s="163">
        <f t="shared" si="3"/>
        <v>0</v>
      </c>
      <c r="P46" s="163">
        <f t="shared" si="3"/>
        <v>0</v>
      </c>
      <c r="Q46" s="163">
        <f t="shared" si="3"/>
        <v>0</v>
      </c>
      <c r="R46" s="282">
        <f>SUM(F46:Q46)</f>
        <v>0</v>
      </c>
    </row>
  </sheetData>
  <mergeCells count="1">
    <mergeCell ref="B2:C3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AD752-F1BD-45B4-A469-98653F1E521D}">
  <sheetPr codeName="Hoja12">
    <tabColor theme="7" tint="0.79998168889431442"/>
  </sheetPr>
  <dimension ref="B1:AF47"/>
  <sheetViews>
    <sheetView showGridLines="0" topLeftCell="A3" zoomScale="38" zoomScaleNormal="116" workbookViewId="0">
      <selection activeCell="S21" sqref="S21"/>
    </sheetView>
  </sheetViews>
  <sheetFormatPr baseColWidth="10" defaultRowHeight="15.5" x14ac:dyDescent="0.35"/>
  <cols>
    <col min="2" max="2" width="32" customWidth="1"/>
    <col min="3" max="3" width="17.6328125" customWidth="1"/>
    <col min="4" max="4" width="5.36328125" style="6" customWidth="1"/>
    <col min="5" max="5" width="59.54296875" style="6" customWidth="1"/>
    <col min="6" max="6" width="18.90625" style="6" customWidth="1"/>
    <col min="7" max="7" width="24.36328125" style="6" customWidth="1"/>
    <col min="8" max="8" width="23.81640625" style="6" customWidth="1"/>
    <col min="9" max="9" width="23.453125" style="6" customWidth="1"/>
    <col min="10" max="17" width="17.453125" style="6" customWidth="1"/>
    <col min="18" max="18" width="16" customWidth="1"/>
    <col min="19" max="19" width="14.26953125" customWidth="1"/>
  </cols>
  <sheetData>
    <row r="1" spans="2:32" ht="16" thickBot="1" x14ac:dyDescent="0.4"/>
    <row r="2" spans="2:32" x14ac:dyDescent="0.35">
      <c r="B2" s="946" t="s">
        <v>425</v>
      </c>
      <c r="C2" s="947"/>
    </row>
    <row r="3" spans="2:32" s="4" customFormat="1" ht="39.5" customHeight="1" thickBot="1" x14ac:dyDescent="0.4">
      <c r="B3" s="948"/>
      <c r="C3" s="949"/>
      <c r="D3" s="6"/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5" spans="2:32" ht="25.5" customHeight="1" thickBot="1" x14ac:dyDescent="0.45">
      <c r="E5" s="675" t="s">
        <v>164</v>
      </c>
    </row>
    <row r="6" spans="2:32" ht="16" thickBot="1" x14ac:dyDescent="0.4">
      <c r="B6" s="70" t="s">
        <v>245</v>
      </c>
      <c r="C6" s="70" t="s">
        <v>249</v>
      </c>
      <c r="E6" s="67" t="s">
        <v>165</v>
      </c>
      <c r="F6" s="638" t="s">
        <v>182</v>
      </c>
      <c r="G6" s="638" t="s">
        <v>183</v>
      </c>
      <c r="H6" s="638" t="s">
        <v>184</v>
      </c>
      <c r="I6" s="638" t="s">
        <v>185</v>
      </c>
      <c r="J6" s="638" t="s">
        <v>186</v>
      </c>
      <c r="K6" s="638" t="s">
        <v>187</v>
      </c>
      <c r="L6" s="638" t="s">
        <v>188</v>
      </c>
      <c r="M6" s="638" t="s">
        <v>189</v>
      </c>
      <c r="N6" s="638" t="s">
        <v>190</v>
      </c>
      <c r="O6" s="638" t="s">
        <v>191</v>
      </c>
      <c r="P6" s="638" t="s">
        <v>192</v>
      </c>
      <c r="Q6" s="638" t="s">
        <v>193</v>
      </c>
    </row>
    <row r="7" spans="2:32" x14ac:dyDescent="0.35">
      <c r="B7" s="643" t="str">
        <f>PT!C8</f>
        <v xml:space="preserve">PALMITO ENTERO 800 </v>
      </c>
      <c r="C7" s="742">
        <f>PT!H8</f>
        <v>0</v>
      </c>
      <c r="E7" s="182" t="str">
        <f>DP!T61</f>
        <v xml:space="preserve">PALMITO ENTERO 800 </v>
      </c>
      <c r="F7" s="678"/>
      <c r="G7" s="678"/>
      <c r="H7" s="678"/>
      <c r="I7" s="678"/>
      <c r="J7" s="678"/>
      <c r="K7" s="678"/>
      <c r="L7" s="678"/>
      <c r="M7" s="678"/>
      <c r="N7" s="678"/>
      <c r="O7" s="678"/>
      <c r="P7" s="678"/>
      <c r="Q7" s="679"/>
    </row>
    <row r="8" spans="2:32" x14ac:dyDescent="0.35">
      <c r="B8" s="643" t="str">
        <f>PT!C9</f>
        <v>PALMITO RODAJA 800</v>
      </c>
      <c r="C8" s="742">
        <f>PT!H9</f>
        <v>0</v>
      </c>
      <c r="E8" s="183" t="str">
        <f>DP!T62</f>
        <v>PALMITO RODAJA 800</v>
      </c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677"/>
    </row>
    <row r="9" spans="2:32" x14ac:dyDescent="0.35">
      <c r="B9" s="643" t="str">
        <f>PT!C10</f>
        <v>PALMITO TROZO 800</v>
      </c>
      <c r="C9" s="742">
        <f>PT!H10</f>
        <v>0</v>
      </c>
      <c r="E9" s="183" t="str">
        <f>DP!T63</f>
        <v>PALMITO TROZO 800</v>
      </c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677"/>
    </row>
    <row r="10" spans="2:32" x14ac:dyDescent="0.35">
      <c r="B10" s="643" t="str">
        <f>PT!C11</f>
        <v>PALMITO ENTERO 400</v>
      </c>
      <c r="C10" s="742">
        <f>PT!H11</f>
        <v>0</v>
      </c>
      <c r="E10" s="183" t="str">
        <f>DP!T64</f>
        <v>PALMITO ENTERO 400</v>
      </c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677"/>
    </row>
    <row r="11" spans="2:32" x14ac:dyDescent="0.35">
      <c r="B11" s="643" t="str">
        <f>PT!C12</f>
        <v>PALMITO RODAJA 400</v>
      </c>
      <c r="C11" s="742">
        <f>PT!H12</f>
        <v>0</v>
      </c>
      <c r="E11" s="183" t="str">
        <f>DP!T65</f>
        <v>PALMITO RODAJA 400</v>
      </c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677"/>
    </row>
    <row r="12" spans="2:32" x14ac:dyDescent="0.35">
      <c r="B12" s="643" t="str">
        <f>PT!C13</f>
        <v>PALMITO TROZO 400</v>
      </c>
      <c r="C12" s="742">
        <f>PT!H13</f>
        <v>0</v>
      </c>
      <c r="E12" s="183" t="str">
        <f>DP!T66</f>
        <v>PALMITO TROZO 400</v>
      </c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677"/>
      <c r="AF12" s="282"/>
    </row>
    <row r="13" spans="2:32" x14ac:dyDescent="0.35">
      <c r="B13" s="643" t="str">
        <f>PT!C14</f>
        <v>PALMITO TROZO  A-10</v>
      </c>
      <c r="C13" s="742">
        <f>PT!H14</f>
        <v>0</v>
      </c>
      <c r="E13" s="183" t="str">
        <f>DP!T67</f>
        <v>PALMITO TROZO  A-10</v>
      </c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677"/>
    </row>
    <row r="14" spans="2:32" x14ac:dyDescent="0.35">
      <c r="B14" s="643" t="str">
        <f>PT!C15</f>
        <v>PALMITO RODAJA  A-10</v>
      </c>
      <c r="C14" s="742">
        <f>PT!H15</f>
        <v>0</v>
      </c>
      <c r="E14" s="183" t="str">
        <f>DP!T68</f>
        <v>PALMITO RODAJA  A-10</v>
      </c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677"/>
    </row>
    <row r="15" spans="2:32" ht="16" thickBot="1" x14ac:dyDescent="0.4">
      <c r="B15" s="6"/>
      <c r="C15" s="743"/>
      <c r="E15" s="156" t="s">
        <v>237</v>
      </c>
      <c r="F15" s="163">
        <f t="shared" ref="F15:Q15" si="0">SUM(F7:F14)</f>
        <v>0</v>
      </c>
      <c r="G15" s="163">
        <f t="shared" si="0"/>
        <v>0</v>
      </c>
      <c r="H15" s="163">
        <f t="shared" si="0"/>
        <v>0</v>
      </c>
      <c r="I15" s="163">
        <f t="shared" si="0"/>
        <v>0</v>
      </c>
      <c r="J15" s="163">
        <f t="shared" si="0"/>
        <v>0</v>
      </c>
      <c r="K15" s="163">
        <f t="shared" si="0"/>
        <v>0</v>
      </c>
      <c r="L15" s="163">
        <f t="shared" si="0"/>
        <v>0</v>
      </c>
      <c r="M15" s="163">
        <f t="shared" si="0"/>
        <v>0</v>
      </c>
      <c r="N15" s="163">
        <f t="shared" si="0"/>
        <v>0</v>
      </c>
      <c r="O15" s="163">
        <f t="shared" si="0"/>
        <v>0</v>
      </c>
      <c r="P15" s="163">
        <f t="shared" si="0"/>
        <v>0</v>
      </c>
      <c r="Q15" s="164">
        <f t="shared" si="0"/>
        <v>0</v>
      </c>
      <c r="S15" s="282"/>
    </row>
    <row r="16" spans="2:32" ht="16" thickBot="1" x14ac:dyDescent="0.4">
      <c r="B16" s="70" t="s">
        <v>245</v>
      </c>
      <c r="C16" s="70" t="s">
        <v>249</v>
      </c>
      <c r="E16" s="155" t="s">
        <v>166</v>
      </c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</row>
    <row r="17" spans="2:19" x14ac:dyDescent="0.35">
      <c r="B17" s="643" t="str">
        <f>PT!C16</f>
        <v>PIÑA RODAJA 850</v>
      </c>
      <c r="C17" s="742">
        <f>PT!H16</f>
        <v>0</v>
      </c>
      <c r="E17" s="182" t="str">
        <f>DP!T71</f>
        <v>PIÑA RODAJA 850</v>
      </c>
      <c r="F17" s="678">
        <v>0</v>
      </c>
      <c r="G17" s="678">
        <v>0</v>
      </c>
      <c r="H17" s="678">
        <v>0</v>
      </c>
      <c r="I17" s="678">
        <v>0</v>
      </c>
      <c r="J17" s="678">
        <v>0</v>
      </c>
      <c r="K17" s="678">
        <v>0</v>
      </c>
      <c r="L17" s="678"/>
      <c r="M17" s="678"/>
      <c r="N17" s="678"/>
      <c r="O17" s="678"/>
      <c r="P17" s="678"/>
      <c r="Q17" s="679"/>
    </row>
    <row r="18" spans="2:19" x14ac:dyDescent="0.35">
      <c r="B18" s="643" t="str">
        <f>PT!C17</f>
        <v>PIÑA TROZO 850</v>
      </c>
      <c r="C18" s="742">
        <f>PT!H17</f>
        <v>0</v>
      </c>
      <c r="E18" s="183" t="str">
        <f>DP!T72</f>
        <v>PIÑA TROZO 850</v>
      </c>
      <c r="F18" s="172">
        <v>0</v>
      </c>
      <c r="G18" s="172">
        <v>0</v>
      </c>
      <c r="H18" s="172">
        <v>0</v>
      </c>
      <c r="I18" s="172">
        <v>0</v>
      </c>
      <c r="J18" s="172">
        <v>0</v>
      </c>
      <c r="K18" s="172">
        <v>0</v>
      </c>
      <c r="L18" s="172"/>
      <c r="M18" s="172"/>
      <c r="N18" s="172"/>
      <c r="O18" s="172"/>
      <c r="P18" s="172"/>
      <c r="Q18" s="677"/>
    </row>
    <row r="19" spans="2:19" x14ac:dyDescent="0.35">
      <c r="B19" s="643" t="str">
        <f>PT!C18</f>
        <v>PIÑA TROZO A-10</v>
      </c>
      <c r="C19" s="742">
        <f>PT!H18</f>
        <v>0</v>
      </c>
      <c r="E19" s="183" t="str">
        <f>DP!T73</f>
        <v>PIÑA TROZO A-10</v>
      </c>
      <c r="F19" s="172">
        <v>0</v>
      </c>
      <c r="G19" s="172">
        <v>0</v>
      </c>
      <c r="H19" s="172">
        <v>0</v>
      </c>
      <c r="I19" s="172">
        <v>0</v>
      </c>
      <c r="J19" s="172">
        <v>0</v>
      </c>
      <c r="K19" s="172">
        <v>0</v>
      </c>
      <c r="L19" s="172"/>
      <c r="M19" s="172"/>
      <c r="N19" s="172"/>
      <c r="O19" s="172"/>
      <c r="P19" s="172"/>
      <c r="Q19" s="677"/>
    </row>
    <row r="20" spans="2:19" x14ac:dyDescent="0.35">
      <c r="B20" s="643" t="str">
        <f>PT!C19</f>
        <v>PIÑA RODAJA A-10</v>
      </c>
      <c r="C20" s="742">
        <f>PT!H19</f>
        <v>0</v>
      </c>
      <c r="E20" s="183" t="str">
        <f>DP!T74</f>
        <v>PIÑA RODAJA A-10</v>
      </c>
      <c r="F20" s="172">
        <v>0</v>
      </c>
      <c r="G20" s="172">
        <v>0</v>
      </c>
      <c r="H20" s="172">
        <v>0</v>
      </c>
      <c r="I20" s="172">
        <v>0</v>
      </c>
      <c r="J20" s="172">
        <v>0</v>
      </c>
      <c r="K20" s="172">
        <v>0</v>
      </c>
      <c r="L20" s="172"/>
      <c r="M20" s="172"/>
      <c r="N20" s="172"/>
      <c r="O20" s="172"/>
      <c r="P20" s="172"/>
      <c r="Q20" s="677"/>
    </row>
    <row r="21" spans="2:19" x14ac:dyDescent="0.35">
      <c r="B21" s="643" t="str">
        <f>PT!C20</f>
        <v>PIÑA RODAJA 567</v>
      </c>
      <c r="C21" s="742">
        <f>PT!H20</f>
        <v>0</v>
      </c>
      <c r="E21" s="183" t="str">
        <f>DP!T75</f>
        <v>PIÑA RODAJA 567</v>
      </c>
      <c r="F21" s="172">
        <v>270000</v>
      </c>
      <c r="G21" s="172">
        <v>270000</v>
      </c>
      <c r="H21" s="172">
        <v>270000</v>
      </c>
      <c r="I21" s="172">
        <v>270000</v>
      </c>
      <c r="J21" s="172">
        <v>270000</v>
      </c>
      <c r="K21" s="172">
        <v>270000</v>
      </c>
      <c r="L21" s="172">
        <v>270000</v>
      </c>
      <c r="M21" s="172">
        <v>270000</v>
      </c>
      <c r="N21" s="172">
        <v>270000</v>
      </c>
      <c r="O21" s="172">
        <v>324000</v>
      </c>
      <c r="P21" s="172">
        <v>324000</v>
      </c>
      <c r="Q21" s="677">
        <v>324000</v>
      </c>
    </row>
    <row r="22" spans="2:19" x14ac:dyDescent="0.35">
      <c r="B22" s="643" t="str">
        <f>PT!C21</f>
        <v>PIÑA TROZO 567</v>
      </c>
      <c r="C22" s="742">
        <f>PT!H21</f>
        <v>0</v>
      </c>
      <c r="E22" s="183" t="str">
        <f>DP!T76</f>
        <v>PIÑA TROZO 567</v>
      </c>
      <c r="F22" s="172">
        <v>108000</v>
      </c>
      <c r="G22" s="172">
        <v>108000</v>
      </c>
      <c r="H22" s="172">
        <v>108000</v>
      </c>
      <c r="I22" s="172">
        <v>108000</v>
      </c>
      <c r="J22" s="172">
        <v>108000</v>
      </c>
      <c r="K22" s="172">
        <v>108000</v>
      </c>
      <c r="L22" s="172">
        <v>108000</v>
      </c>
      <c r="M22" s="172">
        <v>108000</v>
      </c>
      <c r="N22" s="172">
        <v>108000</v>
      </c>
      <c r="O22" s="172">
        <v>162000</v>
      </c>
      <c r="P22" s="172">
        <v>162000</v>
      </c>
      <c r="Q22" s="677">
        <v>162000</v>
      </c>
    </row>
    <row r="23" spans="2:19" x14ac:dyDescent="0.35">
      <c r="B23" s="643" t="str">
        <f>PT!C22</f>
        <v>PIÑA RODAJA 822</v>
      </c>
      <c r="C23" s="742">
        <f>PT!H22</f>
        <v>0</v>
      </c>
      <c r="E23" s="183" t="str">
        <f>DP!T77</f>
        <v>PIÑA RODAJA 822</v>
      </c>
      <c r="F23" s="172">
        <v>73440</v>
      </c>
      <c r="G23" s="172">
        <v>73440</v>
      </c>
      <c r="H23" s="172">
        <v>73440</v>
      </c>
      <c r="I23" s="172">
        <v>73440</v>
      </c>
      <c r="J23" s="172">
        <v>73440</v>
      </c>
      <c r="K23" s="172">
        <v>73440</v>
      </c>
      <c r="L23" s="172">
        <v>73440</v>
      </c>
      <c r="M23" s="172">
        <v>73440</v>
      </c>
      <c r="N23" s="172">
        <v>73440</v>
      </c>
      <c r="O23" s="172">
        <v>36720</v>
      </c>
      <c r="P23" s="172">
        <v>36720</v>
      </c>
      <c r="Q23" s="677">
        <v>36720</v>
      </c>
    </row>
    <row r="24" spans="2:19" x14ac:dyDescent="0.35">
      <c r="B24" s="643" t="str">
        <f>PT!C23</f>
        <v>PIÑA TROZO 822</v>
      </c>
      <c r="C24" s="742">
        <f>PT!H23</f>
        <v>0</v>
      </c>
      <c r="E24" s="183" t="str">
        <f>DP!T78</f>
        <v>PIÑA TROZO 822</v>
      </c>
      <c r="F24" s="172">
        <v>36720</v>
      </c>
      <c r="G24" s="172">
        <v>36720</v>
      </c>
      <c r="H24" s="172">
        <v>36720</v>
      </c>
      <c r="I24" s="172">
        <v>36720</v>
      </c>
      <c r="J24" s="172">
        <v>36720</v>
      </c>
      <c r="K24" s="172">
        <v>36720</v>
      </c>
      <c r="L24" s="172">
        <v>36720</v>
      </c>
      <c r="M24" s="172">
        <v>36720</v>
      </c>
      <c r="N24" s="172">
        <v>36720</v>
      </c>
      <c r="O24" s="172">
        <v>0</v>
      </c>
      <c r="P24" s="172">
        <v>0</v>
      </c>
      <c r="Q24" s="677"/>
    </row>
    <row r="25" spans="2:19" ht="16" thickBot="1" x14ac:dyDescent="0.4">
      <c r="C25" s="49"/>
      <c r="E25" s="156" t="s">
        <v>238</v>
      </c>
      <c r="F25" s="163">
        <f>SUM(F17:F24)</f>
        <v>488160</v>
      </c>
      <c r="G25" s="163">
        <f t="shared" ref="G25:Q25" si="1">SUM(G17:G24)</f>
        <v>488160</v>
      </c>
      <c r="H25" s="163">
        <f t="shared" si="1"/>
        <v>488160</v>
      </c>
      <c r="I25" s="163">
        <f t="shared" si="1"/>
        <v>488160</v>
      </c>
      <c r="J25" s="163">
        <f t="shared" si="1"/>
        <v>488160</v>
      </c>
      <c r="K25" s="163">
        <f t="shared" si="1"/>
        <v>488160</v>
      </c>
      <c r="L25" s="163">
        <f t="shared" si="1"/>
        <v>488160</v>
      </c>
      <c r="M25" s="163">
        <f t="shared" si="1"/>
        <v>488160</v>
      </c>
      <c r="N25" s="163">
        <f t="shared" si="1"/>
        <v>488160</v>
      </c>
      <c r="O25" s="163">
        <f t="shared" si="1"/>
        <v>522720</v>
      </c>
      <c r="P25" s="163">
        <f t="shared" si="1"/>
        <v>522720</v>
      </c>
      <c r="Q25" s="164">
        <f t="shared" si="1"/>
        <v>522720</v>
      </c>
      <c r="R25" s="282"/>
      <c r="S25" s="282"/>
    </row>
    <row r="26" spans="2:19" x14ac:dyDescent="0.35">
      <c r="R26" s="282"/>
      <c r="S26" s="282"/>
    </row>
    <row r="27" spans="2:19" ht="20.5" thickBot="1" x14ac:dyDescent="0.4">
      <c r="E27" s="676" t="s">
        <v>12</v>
      </c>
    </row>
    <row r="28" spans="2:19" ht="16" thickBot="1" x14ac:dyDescent="0.4">
      <c r="E28" s="67" t="s">
        <v>167</v>
      </c>
      <c r="F28" s="638" t="s">
        <v>182</v>
      </c>
      <c r="G28" s="638" t="s">
        <v>183</v>
      </c>
      <c r="H28" s="638" t="s">
        <v>184</v>
      </c>
      <c r="I28" s="638" t="s">
        <v>185</v>
      </c>
      <c r="J28" s="638" t="s">
        <v>186</v>
      </c>
      <c r="K28" s="638" t="s">
        <v>187</v>
      </c>
      <c r="L28" s="638" t="s">
        <v>188</v>
      </c>
      <c r="M28" s="638" t="s">
        <v>189</v>
      </c>
      <c r="N28" s="638" t="s">
        <v>190</v>
      </c>
      <c r="O28" s="638" t="s">
        <v>191</v>
      </c>
      <c r="P28" s="638" t="s">
        <v>192</v>
      </c>
      <c r="Q28" s="638" t="s">
        <v>193</v>
      </c>
    </row>
    <row r="29" spans="2:19" x14ac:dyDescent="0.35">
      <c r="E29" s="182" t="str">
        <f>DP!T61</f>
        <v xml:space="preserve">PALMITO ENTERO 800 </v>
      </c>
      <c r="F29" s="144">
        <f>DP!$W61*F7</f>
        <v>0</v>
      </c>
      <c r="G29" s="144">
        <f>DP!$W61*G7</f>
        <v>0</v>
      </c>
      <c r="H29" s="144">
        <f>DP!$W61*H7</f>
        <v>0</v>
      </c>
      <c r="I29" s="144">
        <f>DP!$W61*I7</f>
        <v>0</v>
      </c>
      <c r="J29" s="144">
        <f>DP!$W61*J7</f>
        <v>0</v>
      </c>
      <c r="K29" s="144">
        <f>DP!$W61*K7</f>
        <v>0</v>
      </c>
      <c r="L29" s="144">
        <f>DP!$W61*L7</f>
        <v>0</v>
      </c>
      <c r="M29" s="144">
        <f>DP!$W61*M7</f>
        <v>0</v>
      </c>
      <c r="N29" s="144">
        <f>DP!$W61*N7</f>
        <v>0</v>
      </c>
      <c r="O29" s="144">
        <f>DP!$W61*O7</f>
        <v>0</v>
      </c>
      <c r="P29" s="144">
        <f>DP!$W61*P7</f>
        <v>0</v>
      </c>
      <c r="Q29" s="145">
        <f>DP!$W61*Q7</f>
        <v>0</v>
      </c>
    </row>
    <row r="30" spans="2:19" x14ac:dyDescent="0.35">
      <c r="E30" s="183" t="str">
        <f>DP!T62</f>
        <v>PALMITO RODAJA 800</v>
      </c>
      <c r="F30" s="149">
        <f>DP!$W62*F8</f>
        <v>0</v>
      </c>
      <c r="G30" s="149">
        <f>DP!$W62*G8</f>
        <v>0</v>
      </c>
      <c r="H30" s="149">
        <f>DP!$W62*H8</f>
        <v>0</v>
      </c>
      <c r="I30" s="149">
        <f>DP!$W62*I8</f>
        <v>0</v>
      </c>
      <c r="J30" s="149">
        <f>DP!$W62*J8</f>
        <v>0</v>
      </c>
      <c r="K30" s="149">
        <f>DP!$W62*K8</f>
        <v>0</v>
      </c>
      <c r="L30" s="149">
        <f>DP!$W62*L8</f>
        <v>0</v>
      </c>
      <c r="M30" s="149">
        <f>DP!$W62*M8</f>
        <v>0</v>
      </c>
      <c r="N30" s="149">
        <f>DP!$W62*N8</f>
        <v>0</v>
      </c>
      <c r="O30" s="149">
        <f>DP!$W62*O8</f>
        <v>0</v>
      </c>
      <c r="P30" s="149">
        <f>DP!$W62*P8</f>
        <v>0</v>
      </c>
      <c r="Q30" s="150">
        <f>DP!$W62*Q8</f>
        <v>0</v>
      </c>
    </row>
    <row r="31" spans="2:19" x14ac:dyDescent="0.35">
      <c r="E31" s="183" t="str">
        <f>DP!T63</f>
        <v>PALMITO TROZO 800</v>
      </c>
      <c r="F31" s="149">
        <f>DP!$W63*F9</f>
        <v>0</v>
      </c>
      <c r="G31" s="149">
        <f>DP!$W63*G9</f>
        <v>0</v>
      </c>
      <c r="H31" s="149">
        <f>DP!$W63*H9</f>
        <v>0</v>
      </c>
      <c r="I31" s="149">
        <f>DP!$W63*I9</f>
        <v>0</v>
      </c>
      <c r="J31" s="149">
        <f>DP!$W63*J9</f>
        <v>0</v>
      </c>
      <c r="K31" s="149">
        <f>DP!$W63*K9</f>
        <v>0</v>
      </c>
      <c r="L31" s="149">
        <f>DP!$W63*L9</f>
        <v>0</v>
      </c>
      <c r="M31" s="149">
        <f>DP!$W63*M9</f>
        <v>0</v>
      </c>
      <c r="N31" s="149">
        <f>DP!$W63*N9</f>
        <v>0</v>
      </c>
      <c r="O31" s="149">
        <f>DP!$W63*O9</f>
        <v>0</v>
      </c>
      <c r="P31" s="149">
        <f>DP!$W63*P9</f>
        <v>0</v>
      </c>
      <c r="Q31" s="150">
        <f>DP!$W63*Q9</f>
        <v>0</v>
      </c>
    </row>
    <row r="32" spans="2:19" x14ac:dyDescent="0.35">
      <c r="E32" s="183" t="str">
        <f>DP!T64</f>
        <v>PALMITO ENTERO 400</v>
      </c>
      <c r="F32" s="149">
        <f>DP!$W64*F10</f>
        <v>0</v>
      </c>
      <c r="G32" s="149">
        <f>DP!$W64*G10</f>
        <v>0</v>
      </c>
      <c r="H32" s="149">
        <f>DP!$W64*H10</f>
        <v>0</v>
      </c>
      <c r="I32" s="149">
        <f>DP!$W64*I10</f>
        <v>0</v>
      </c>
      <c r="J32" s="149">
        <f>DP!$W64*J10</f>
        <v>0</v>
      </c>
      <c r="K32" s="149">
        <f>DP!$W64*K10</f>
        <v>0</v>
      </c>
      <c r="L32" s="149">
        <f>DP!$W64*L10</f>
        <v>0</v>
      </c>
      <c r="M32" s="149">
        <f>DP!$W64*M10</f>
        <v>0</v>
      </c>
      <c r="N32" s="149">
        <f>DP!$W64*N10</f>
        <v>0</v>
      </c>
      <c r="O32" s="149">
        <f>DP!$W64*O10</f>
        <v>0</v>
      </c>
      <c r="P32" s="149">
        <f>DP!$W64*P10</f>
        <v>0</v>
      </c>
      <c r="Q32" s="150">
        <f>DP!$W64*Q10</f>
        <v>0</v>
      </c>
    </row>
    <row r="33" spans="5:18" x14ac:dyDescent="0.35">
      <c r="E33" s="183" t="str">
        <f>DP!T65</f>
        <v>PALMITO RODAJA 400</v>
      </c>
      <c r="F33" s="149">
        <f>DP!$W65*F11</f>
        <v>0</v>
      </c>
      <c r="G33" s="149">
        <f>DP!$W65*G11</f>
        <v>0</v>
      </c>
      <c r="H33" s="149">
        <f>DP!$W65*H11</f>
        <v>0</v>
      </c>
      <c r="I33" s="149">
        <f>DP!$W65*I11</f>
        <v>0</v>
      </c>
      <c r="J33" s="149">
        <f>DP!$W65*J11</f>
        <v>0</v>
      </c>
      <c r="K33" s="149">
        <f>DP!$W65*K11</f>
        <v>0</v>
      </c>
      <c r="L33" s="149">
        <f>DP!$W65*L11</f>
        <v>0</v>
      </c>
      <c r="M33" s="149">
        <f>DP!$W65*M11</f>
        <v>0</v>
      </c>
      <c r="N33" s="149">
        <f>DP!$W65*N11</f>
        <v>0</v>
      </c>
      <c r="O33" s="149">
        <f>DP!$W65*O11</f>
        <v>0</v>
      </c>
      <c r="P33" s="149">
        <f>DP!$W65*P11</f>
        <v>0</v>
      </c>
      <c r="Q33" s="150">
        <f>DP!$W65*Q11</f>
        <v>0</v>
      </c>
    </row>
    <row r="34" spans="5:18" x14ac:dyDescent="0.35">
      <c r="E34" s="183" t="str">
        <f>DP!T66</f>
        <v>PALMITO TROZO 400</v>
      </c>
      <c r="F34" s="149">
        <f>DP!$W66*F12</f>
        <v>0</v>
      </c>
      <c r="G34" s="149">
        <f>DP!$W66*G12</f>
        <v>0</v>
      </c>
      <c r="H34" s="149">
        <f>DP!$W66*H12</f>
        <v>0</v>
      </c>
      <c r="I34" s="149">
        <f>DP!$W66*I12</f>
        <v>0</v>
      </c>
      <c r="J34" s="149">
        <f>DP!$W66*J12</f>
        <v>0</v>
      </c>
      <c r="K34" s="149">
        <f>DP!$W66*K12</f>
        <v>0</v>
      </c>
      <c r="L34" s="149">
        <f>DP!$W66*L12</f>
        <v>0</v>
      </c>
      <c r="M34" s="149">
        <f>DP!$W66*M12</f>
        <v>0</v>
      </c>
      <c r="N34" s="149">
        <f>DP!$W66*N12</f>
        <v>0</v>
      </c>
      <c r="O34" s="149">
        <f>DP!$W66*O12</f>
        <v>0</v>
      </c>
      <c r="P34" s="149">
        <f>DP!$W66*P12</f>
        <v>0</v>
      </c>
      <c r="Q34" s="150">
        <f>DP!$W66*Q12</f>
        <v>0</v>
      </c>
    </row>
    <row r="35" spans="5:18" x14ac:dyDescent="0.35">
      <c r="E35" s="183" t="str">
        <f>DP!T67</f>
        <v>PALMITO TROZO  A-10</v>
      </c>
      <c r="F35" s="149">
        <f>DP!$W67*F13</f>
        <v>0</v>
      </c>
      <c r="G35" s="149">
        <f>DP!$W67*G13</f>
        <v>0</v>
      </c>
      <c r="H35" s="149">
        <f>DP!$W67*H13</f>
        <v>0</v>
      </c>
      <c r="I35" s="149">
        <f>DP!$W67*I13</f>
        <v>0</v>
      </c>
      <c r="J35" s="149">
        <f>DP!$W67*J13</f>
        <v>0</v>
      </c>
      <c r="K35" s="149">
        <f>DP!$W67*K13</f>
        <v>0</v>
      </c>
      <c r="L35" s="149">
        <f>DP!$W67*L13</f>
        <v>0</v>
      </c>
      <c r="M35" s="149">
        <f>DP!$W67*M13</f>
        <v>0</v>
      </c>
      <c r="N35" s="149">
        <f>DP!$W67*N13</f>
        <v>0</v>
      </c>
      <c r="O35" s="149">
        <f>DP!$W67*O13</f>
        <v>0</v>
      </c>
      <c r="P35" s="149">
        <f>DP!$W67*P13</f>
        <v>0</v>
      </c>
      <c r="Q35" s="150">
        <f>DP!$W67*Q13</f>
        <v>0</v>
      </c>
    </row>
    <row r="36" spans="5:18" x14ac:dyDescent="0.35">
      <c r="E36" s="183" t="str">
        <f>DP!T68</f>
        <v>PALMITO RODAJA  A-10</v>
      </c>
      <c r="F36" s="149">
        <f>DP!$W68*F14</f>
        <v>0</v>
      </c>
      <c r="G36" s="149">
        <f>DP!$W68*G14</f>
        <v>0</v>
      </c>
      <c r="H36" s="149">
        <f>DP!$W68*H14</f>
        <v>0</v>
      </c>
      <c r="I36" s="149">
        <f>DP!$W68*I14</f>
        <v>0</v>
      </c>
      <c r="J36" s="149">
        <f>DP!$W68*J14</f>
        <v>0</v>
      </c>
      <c r="K36" s="149">
        <f>DP!$W68*K14</f>
        <v>0</v>
      </c>
      <c r="L36" s="149">
        <f>DP!$W68*L14</f>
        <v>0</v>
      </c>
      <c r="M36" s="149">
        <f>DP!$W68*M14</f>
        <v>0</v>
      </c>
      <c r="N36" s="149">
        <f>DP!$W68*N14</f>
        <v>0</v>
      </c>
      <c r="O36" s="149">
        <f>DP!$W68*O14</f>
        <v>0</v>
      </c>
      <c r="P36" s="149">
        <f>DP!$W68*P14</f>
        <v>0</v>
      </c>
      <c r="Q36" s="150">
        <f>DP!$W68*Q14</f>
        <v>0</v>
      </c>
    </row>
    <row r="37" spans="5:18" ht="16" thickBot="1" x14ac:dyDescent="0.4">
      <c r="E37" s="156" t="s">
        <v>235</v>
      </c>
      <c r="F37" s="163">
        <f t="shared" ref="F37:Q37" si="2">SUM(F29:F36)</f>
        <v>0</v>
      </c>
      <c r="G37" s="163">
        <f t="shared" si="2"/>
        <v>0</v>
      </c>
      <c r="H37" s="163">
        <f t="shared" si="2"/>
        <v>0</v>
      </c>
      <c r="I37" s="163">
        <f t="shared" si="2"/>
        <v>0</v>
      </c>
      <c r="J37" s="163">
        <f t="shared" si="2"/>
        <v>0</v>
      </c>
      <c r="K37" s="163">
        <f t="shared" si="2"/>
        <v>0</v>
      </c>
      <c r="L37" s="163">
        <f t="shared" si="2"/>
        <v>0</v>
      </c>
      <c r="M37" s="163">
        <f t="shared" si="2"/>
        <v>0</v>
      </c>
      <c r="N37" s="163">
        <f t="shared" si="2"/>
        <v>0</v>
      </c>
      <c r="O37" s="163">
        <f t="shared" si="2"/>
        <v>0</v>
      </c>
      <c r="P37" s="163">
        <f t="shared" si="2"/>
        <v>0</v>
      </c>
      <c r="Q37" s="164">
        <f t="shared" si="2"/>
        <v>0</v>
      </c>
      <c r="R37" s="282"/>
    </row>
    <row r="38" spans="5:18" ht="19.5" customHeight="1" thickBot="1" x14ac:dyDescent="0.4">
      <c r="E38" s="157" t="s">
        <v>168</v>
      </c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</row>
    <row r="39" spans="5:18" ht="16" thickBot="1" x14ac:dyDescent="0.4">
      <c r="E39" s="182" t="str">
        <f>DP!T71</f>
        <v>PIÑA RODAJA 850</v>
      </c>
      <c r="F39" s="144">
        <f>DP!$W71*F17</f>
        <v>0</v>
      </c>
      <c r="G39" s="144">
        <f>DP!$M71*G17</f>
        <v>0</v>
      </c>
      <c r="H39" s="144">
        <f>DP!$M71*H17</f>
        <v>0</v>
      </c>
      <c r="I39" s="144">
        <f>DP!$M71*I17</f>
        <v>0</v>
      </c>
      <c r="J39" s="144">
        <f>DP!$M71*J17</f>
        <v>0</v>
      </c>
      <c r="K39" s="144">
        <f>DP!$M71*K17</f>
        <v>0</v>
      </c>
      <c r="L39" s="144">
        <f>DP!$M71*L17</f>
        <v>0</v>
      </c>
      <c r="M39" s="144">
        <f>DP!$M71*M17</f>
        <v>0</v>
      </c>
      <c r="N39" s="144">
        <f>DP!$M71*N17</f>
        <v>0</v>
      </c>
      <c r="O39" s="144">
        <f>DP!$M71*O17</f>
        <v>0</v>
      </c>
      <c r="P39" s="144">
        <f>DP!$M71*P17</f>
        <v>0</v>
      </c>
      <c r="Q39" s="144">
        <f>DP!$M71*Q17</f>
        <v>0</v>
      </c>
    </row>
    <row r="40" spans="5:18" ht="16" thickBot="1" x14ac:dyDescent="0.4">
      <c r="E40" s="183" t="str">
        <f>DP!T72</f>
        <v>PIÑA TROZO 850</v>
      </c>
      <c r="F40" s="144">
        <f>DP!$W72*F18</f>
        <v>0</v>
      </c>
      <c r="G40" s="144">
        <f>DP!$W72*G18</f>
        <v>0</v>
      </c>
      <c r="H40" s="144">
        <f>DP!$W72*H18</f>
        <v>0</v>
      </c>
      <c r="I40" s="144">
        <f>DP!$W72*I18</f>
        <v>0</v>
      </c>
      <c r="J40" s="144">
        <f>DP!$W72*J18</f>
        <v>0</v>
      </c>
      <c r="K40" s="144">
        <f>DP!$W72*K18</f>
        <v>0</v>
      </c>
      <c r="L40" s="144">
        <f>DP!$W72*L18</f>
        <v>0</v>
      </c>
      <c r="M40" s="144">
        <f>DP!$W72*M18</f>
        <v>0</v>
      </c>
      <c r="N40" s="144">
        <f>DP!$W72*N18</f>
        <v>0</v>
      </c>
      <c r="O40" s="144">
        <f>DP!$W72*O18</f>
        <v>0</v>
      </c>
      <c r="P40" s="144">
        <f>DP!$W72*P18</f>
        <v>0</v>
      </c>
      <c r="Q40" s="144">
        <f>DP!$W72*Q18</f>
        <v>0</v>
      </c>
    </row>
    <row r="41" spans="5:18" ht="16" thickBot="1" x14ac:dyDescent="0.4">
      <c r="E41" s="183" t="str">
        <f>DP!T73</f>
        <v>PIÑA TROZO A-10</v>
      </c>
      <c r="F41" s="144">
        <f>DP!$W73*F19</f>
        <v>0</v>
      </c>
      <c r="G41" s="144">
        <f>DP!$W73*G19</f>
        <v>0</v>
      </c>
      <c r="H41" s="144">
        <f>DP!$W73*H19</f>
        <v>0</v>
      </c>
      <c r="I41" s="144">
        <f>DP!$W73*I19</f>
        <v>0</v>
      </c>
      <c r="J41" s="144">
        <f>DP!$W73*J19</f>
        <v>0</v>
      </c>
      <c r="K41" s="144">
        <f>DP!$W73*K19</f>
        <v>0</v>
      </c>
      <c r="L41" s="144">
        <f>DP!$W73*L19</f>
        <v>0</v>
      </c>
      <c r="M41" s="144">
        <f>DP!$W73*M19</f>
        <v>0</v>
      </c>
      <c r="N41" s="144">
        <f>DP!$W73*N19</f>
        <v>0</v>
      </c>
      <c r="O41" s="144">
        <f>DP!$W73*O19</f>
        <v>0</v>
      </c>
      <c r="P41" s="144">
        <f>DP!$W73*P19</f>
        <v>0</v>
      </c>
      <c r="Q41" s="144">
        <f>DP!$W73*Q19</f>
        <v>0</v>
      </c>
    </row>
    <row r="42" spans="5:18" ht="16" thickBot="1" x14ac:dyDescent="0.4">
      <c r="E42" s="183" t="str">
        <f>DP!T74</f>
        <v>PIÑA RODAJA A-10</v>
      </c>
      <c r="F42" s="144">
        <f>DP!$W74*F20</f>
        <v>0</v>
      </c>
      <c r="G42" s="144">
        <f>DP!$W74*G20</f>
        <v>0</v>
      </c>
      <c r="H42" s="144">
        <f>DP!$W74*H20</f>
        <v>0</v>
      </c>
      <c r="I42" s="144">
        <f>DP!$W74*I20</f>
        <v>0</v>
      </c>
      <c r="J42" s="144">
        <f>DP!$W74*J20</f>
        <v>0</v>
      </c>
      <c r="K42" s="144">
        <f>DP!$W74*K20</f>
        <v>0</v>
      </c>
      <c r="L42" s="144">
        <f>DP!$W74*L20</f>
        <v>0</v>
      </c>
      <c r="M42" s="144">
        <f>DP!$W74*M20</f>
        <v>0</v>
      </c>
      <c r="N42" s="144">
        <f>DP!$W74*N20</f>
        <v>0</v>
      </c>
      <c r="O42" s="144">
        <f>DP!$W74*O20</f>
        <v>0</v>
      </c>
      <c r="P42" s="144">
        <f>DP!$W74*P20</f>
        <v>0</v>
      </c>
      <c r="Q42" s="144">
        <f>DP!$W74*Q20</f>
        <v>0</v>
      </c>
    </row>
    <row r="43" spans="5:18" ht="16" thickBot="1" x14ac:dyDescent="0.4">
      <c r="E43" s="183" t="str">
        <f>DP!T75</f>
        <v>PIÑA RODAJA 567</v>
      </c>
      <c r="F43" s="144">
        <f>DP!$W75*F21</f>
        <v>315000</v>
      </c>
      <c r="G43" s="144">
        <f>DP!$W75*G21</f>
        <v>315000</v>
      </c>
      <c r="H43" s="144">
        <f>DP!$W75*H21</f>
        <v>315000</v>
      </c>
      <c r="I43" s="144">
        <f>DP!$W75*I21</f>
        <v>315000</v>
      </c>
      <c r="J43" s="144">
        <f>DP!$W75*J21</f>
        <v>315000</v>
      </c>
      <c r="K43" s="144">
        <f>DP!$W75*K21</f>
        <v>315000</v>
      </c>
      <c r="L43" s="144">
        <f>DP!$W75*L21</f>
        <v>315000</v>
      </c>
      <c r="M43" s="144">
        <f>DP!$W75*M21</f>
        <v>315000</v>
      </c>
      <c r="N43" s="144">
        <f>DP!$W75*N21</f>
        <v>315000</v>
      </c>
      <c r="O43" s="144">
        <f>DP!$W75*O21</f>
        <v>378000</v>
      </c>
      <c r="P43" s="144">
        <f>DP!$W75*P21</f>
        <v>378000</v>
      </c>
      <c r="Q43" s="144">
        <f>DP!$W75*Q21</f>
        <v>378000</v>
      </c>
    </row>
    <row r="44" spans="5:18" ht="16" thickBot="1" x14ac:dyDescent="0.4">
      <c r="E44" s="183" t="str">
        <f>DP!T76</f>
        <v>PIÑA TROZO 567</v>
      </c>
      <c r="F44" s="144">
        <f>DP!$W76*F22</f>
        <v>121500</v>
      </c>
      <c r="G44" s="144">
        <f>DP!$W76*G22</f>
        <v>121500</v>
      </c>
      <c r="H44" s="144">
        <f>DP!$W76*H22</f>
        <v>121500</v>
      </c>
      <c r="I44" s="144">
        <f>DP!$W76*I22</f>
        <v>121500</v>
      </c>
      <c r="J44" s="144">
        <f>DP!$W76*J22</f>
        <v>121500</v>
      </c>
      <c r="K44" s="144">
        <f>DP!$W76*K22</f>
        <v>121500</v>
      </c>
      <c r="L44" s="144">
        <f>DP!$W76*L22</f>
        <v>121500</v>
      </c>
      <c r="M44" s="144">
        <f>DP!$W76*M22</f>
        <v>121500</v>
      </c>
      <c r="N44" s="144">
        <f>DP!$W76*N22</f>
        <v>121500</v>
      </c>
      <c r="O44" s="144">
        <f>DP!$W76*O22</f>
        <v>182250</v>
      </c>
      <c r="P44" s="144">
        <f>DP!$W76*P22</f>
        <v>182250</v>
      </c>
      <c r="Q44" s="144">
        <f>DP!$W76*Q22</f>
        <v>182250</v>
      </c>
    </row>
    <row r="45" spans="5:18" ht="16" thickBot="1" x14ac:dyDescent="0.4">
      <c r="E45" s="183" t="str">
        <f>DP!T77</f>
        <v>PIÑA RODAJA 822</v>
      </c>
      <c r="F45" s="144">
        <f>DP!$W77*F23</f>
        <v>116280</v>
      </c>
      <c r="G45" s="144">
        <f>DP!$W77*G23</f>
        <v>116280</v>
      </c>
      <c r="H45" s="144">
        <f>DP!$W77*H23</f>
        <v>116280</v>
      </c>
      <c r="I45" s="144">
        <f>DP!$W77*I23</f>
        <v>116280</v>
      </c>
      <c r="J45" s="144">
        <f>DP!$W77*J23</f>
        <v>116280</v>
      </c>
      <c r="K45" s="144">
        <f>DP!$W77*K23</f>
        <v>116280</v>
      </c>
      <c r="L45" s="144">
        <f>DP!$W77*L23</f>
        <v>116280</v>
      </c>
      <c r="M45" s="144">
        <f>DP!$W77*M23</f>
        <v>116280</v>
      </c>
      <c r="N45" s="144">
        <f>DP!$W77*N23</f>
        <v>116280</v>
      </c>
      <c r="O45" s="144">
        <f>DP!$W77*O23</f>
        <v>58140</v>
      </c>
      <c r="P45" s="144">
        <f>DP!$W77*P23</f>
        <v>58140</v>
      </c>
      <c r="Q45" s="144">
        <f>DP!$W77*Q23</f>
        <v>58140</v>
      </c>
    </row>
    <row r="46" spans="5:18" x14ac:dyDescent="0.35">
      <c r="E46" s="183" t="str">
        <f>DP!T78</f>
        <v>PIÑA TROZO 822</v>
      </c>
      <c r="F46" s="144">
        <f>DP!$W78*F24</f>
        <v>55080</v>
      </c>
      <c r="G46" s="144">
        <f>DP!$W78*G24</f>
        <v>55080</v>
      </c>
      <c r="H46" s="144">
        <f>DP!$W78*H24</f>
        <v>55080</v>
      </c>
      <c r="I46" s="144">
        <f>DP!$W78*I24</f>
        <v>55080</v>
      </c>
      <c r="J46" s="144">
        <f>DP!$W78*J24</f>
        <v>55080</v>
      </c>
      <c r="K46" s="144">
        <f>DP!$W78*K24</f>
        <v>55080</v>
      </c>
      <c r="L46" s="144">
        <f>DP!$W78*L24</f>
        <v>55080</v>
      </c>
      <c r="M46" s="144">
        <f>DP!$W78*M24</f>
        <v>55080</v>
      </c>
      <c r="N46" s="144">
        <f>DP!$W78*N24</f>
        <v>55080</v>
      </c>
      <c r="O46" s="144">
        <f>DP!$W78*O24</f>
        <v>0</v>
      </c>
      <c r="P46" s="144">
        <f>DP!$W78*P24</f>
        <v>0</v>
      </c>
      <c r="Q46" s="144">
        <f>DP!$W78*Q24</f>
        <v>0</v>
      </c>
    </row>
    <row r="47" spans="5:18" ht="16" thickBot="1" x14ac:dyDescent="0.4">
      <c r="E47" s="156" t="s">
        <v>236</v>
      </c>
      <c r="F47" s="163">
        <f>SUM(F39:F46)</f>
        <v>607860</v>
      </c>
      <c r="G47" s="163">
        <f t="shared" ref="G47:Q47" si="3">SUM(G39:G46)</f>
        <v>607860</v>
      </c>
      <c r="H47" s="163">
        <f t="shared" si="3"/>
        <v>607860</v>
      </c>
      <c r="I47" s="163">
        <f t="shared" si="3"/>
        <v>607860</v>
      </c>
      <c r="J47" s="163">
        <f t="shared" si="3"/>
        <v>607860</v>
      </c>
      <c r="K47" s="163">
        <f t="shared" si="3"/>
        <v>607860</v>
      </c>
      <c r="L47" s="163">
        <f t="shared" si="3"/>
        <v>607860</v>
      </c>
      <c r="M47" s="163">
        <f t="shared" si="3"/>
        <v>607860</v>
      </c>
      <c r="N47" s="163">
        <f t="shared" si="3"/>
        <v>607860</v>
      </c>
      <c r="O47" s="163">
        <f t="shared" si="3"/>
        <v>618390</v>
      </c>
      <c r="P47" s="163">
        <f t="shared" si="3"/>
        <v>618390</v>
      </c>
      <c r="Q47" s="164">
        <f t="shared" si="3"/>
        <v>618390</v>
      </c>
      <c r="R47" s="282">
        <f>SUM(F47:Q47)</f>
        <v>7325910</v>
      </c>
    </row>
  </sheetData>
  <mergeCells count="1">
    <mergeCell ref="B2:C3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EAF1-7074-4F12-A5DD-8C50BA1290EE}">
  <sheetPr codeName="Hoja5">
    <tabColor theme="7" tint="0.79998168889431442"/>
  </sheetPr>
  <dimension ref="B3:AV64"/>
  <sheetViews>
    <sheetView showGridLines="0" zoomScale="63" zoomScaleNormal="119" workbookViewId="0">
      <selection activeCell="N12" sqref="N12"/>
    </sheetView>
  </sheetViews>
  <sheetFormatPr baseColWidth="10" defaultRowHeight="14.5" x14ac:dyDescent="0.35"/>
  <cols>
    <col min="1" max="1" width="2.6328125" customWidth="1"/>
    <col min="2" max="2" width="24.7265625" customWidth="1"/>
    <col min="3" max="3" width="14.26953125" customWidth="1"/>
    <col min="4" max="4" width="13.453125" customWidth="1"/>
    <col min="5" max="6" width="12.81640625" customWidth="1"/>
    <col min="7" max="7" width="14.453125" customWidth="1"/>
    <col min="8" max="8" width="13" customWidth="1"/>
    <col min="9" max="9" width="14.81640625" bestFit="1" customWidth="1"/>
    <col min="10" max="10" width="16.1796875" customWidth="1"/>
    <col min="11" max="11" width="15.7265625" customWidth="1"/>
    <col min="14" max="14" width="28.7265625" customWidth="1"/>
    <col min="15" max="15" width="17.1796875" customWidth="1"/>
    <col min="16" max="17" width="13.453125" customWidth="1"/>
    <col min="18" max="18" width="12.81640625" customWidth="1"/>
    <col min="19" max="19" width="14.453125" customWidth="1"/>
    <col min="20" max="20" width="13" customWidth="1"/>
    <col min="21" max="22" width="15.7265625" customWidth="1"/>
    <col min="23" max="23" width="19.08984375" customWidth="1"/>
    <col min="24" max="27" width="16.36328125" customWidth="1"/>
    <col min="28" max="28" width="16.1796875" customWidth="1"/>
    <col min="29" max="29" width="18.1796875" customWidth="1"/>
    <col min="30" max="30" width="13.7265625" customWidth="1"/>
    <col min="31" max="31" width="13.6328125" customWidth="1"/>
    <col min="32" max="32" width="25.453125" customWidth="1"/>
    <col min="33" max="33" width="19.6328125" bestFit="1" customWidth="1"/>
    <col min="34" max="37" width="11.90625" bestFit="1" customWidth="1"/>
    <col min="38" max="38" width="13.26953125" bestFit="1" customWidth="1"/>
    <col min="39" max="39" width="11.90625" bestFit="1" customWidth="1"/>
    <col min="40" max="40" width="13.26953125" customWidth="1"/>
    <col min="41" max="41" width="15.54296875" bestFit="1" customWidth="1"/>
    <col min="42" max="42" width="24.26953125" bestFit="1" customWidth="1"/>
    <col min="46" max="47" width="32.1796875" customWidth="1"/>
    <col min="48" max="48" width="107.81640625" customWidth="1"/>
  </cols>
  <sheetData>
    <row r="3" spans="2:42" ht="20" x14ac:dyDescent="0.4">
      <c r="B3" s="179" t="s">
        <v>14</v>
      </c>
      <c r="N3" s="179" t="s">
        <v>33</v>
      </c>
      <c r="AF3" s="179" t="s">
        <v>369</v>
      </c>
    </row>
    <row r="4" spans="2:42" ht="15" thickBot="1" x14ac:dyDescent="0.4"/>
    <row r="5" spans="2:42" ht="31" customHeight="1" x14ac:dyDescent="0.35">
      <c r="B5" s="950" t="s">
        <v>15</v>
      </c>
      <c r="C5" s="953" t="s">
        <v>155</v>
      </c>
      <c r="D5" s="953" t="s">
        <v>16</v>
      </c>
      <c r="E5" s="953"/>
      <c r="F5" s="953"/>
      <c r="G5" s="953"/>
      <c r="H5" s="953" t="s">
        <v>17</v>
      </c>
      <c r="I5" s="953"/>
      <c r="J5" s="953"/>
      <c r="K5" s="957" t="s">
        <v>18</v>
      </c>
      <c r="N5" s="950" t="s">
        <v>15</v>
      </c>
      <c r="O5" s="953" t="s">
        <v>154</v>
      </c>
      <c r="P5" s="962" t="s">
        <v>16</v>
      </c>
      <c r="Q5" s="963"/>
      <c r="R5" s="964"/>
      <c r="S5" s="25"/>
      <c r="T5" s="962" t="s">
        <v>17</v>
      </c>
      <c r="U5" s="963"/>
      <c r="V5" s="963"/>
      <c r="W5" s="963"/>
      <c r="X5" s="963"/>
      <c r="Y5" s="963"/>
      <c r="Z5" s="963"/>
      <c r="AA5" s="963"/>
      <c r="AB5" s="964"/>
      <c r="AC5" s="957" t="s">
        <v>18</v>
      </c>
      <c r="AF5" s="950" t="s">
        <v>15</v>
      </c>
      <c r="AG5" s="953" t="s">
        <v>155</v>
      </c>
      <c r="AH5" s="956" t="s">
        <v>16</v>
      </c>
      <c r="AI5" s="956"/>
      <c r="AJ5" s="956"/>
      <c r="AK5" s="956"/>
      <c r="AL5" s="956"/>
      <c r="AM5" s="956" t="s">
        <v>17</v>
      </c>
      <c r="AN5" s="956"/>
      <c r="AO5" s="956"/>
      <c r="AP5" s="957" t="s">
        <v>18</v>
      </c>
    </row>
    <row r="6" spans="2:42" ht="31" x14ac:dyDescent="0.35">
      <c r="B6" s="951"/>
      <c r="C6" s="954"/>
      <c r="D6" s="14" t="s">
        <v>28</v>
      </c>
      <c r="E6" s="14" t="s">
        <v>29</v>
      </c>
      <c r="F6" s="14" t="s">
        <v>30</v>
      </c>
      <c r="G6" s="960" t="s">
        <v>19</v>
      </c>
      <c r="H6" s="14" t="s">
        <v>20</v>
      </c>
      <c r="I6" s="14" t="s">
        <v>21</v>
      </c>
      <c r="J6" s="960" t="s">
        <v>22</v>
      </c>
      <c r="K6" s="958"/>
      <c r="N6" s="951"/>
      <c r="O6" s="954"/>
      <c r="P6" s="14" t="s">
        <v>35</v>
      </c>
      <c r="Q6" s="744" t="s">
        <v>498</v>
      </c>
      <c r="R6" s="14" t="s">
        <v>36</v>
      </c>
      <c r="S6" s="960" t="s">
        <v>19</v>
      </c>
      <c r="T6" s="14" t="s">
        <v>40</v>
      </c>
      <c r="U6" s="14" t="s">
        <v>41</v>
      </c>
      <c r="V6" s="774" t="s">
        <v>37</v>
      </c>
      <c r="W6" s="14" t="s">
        <v>38</v>
      </c>
      <c r="X6" s="14" t="s">
        <v>39</v>
      </c>
      <c r="Y6" s="744" t="s">
        <v>499</v>
      </c>
      <c r="Z6" s="744" t="s">
        <v>500</v>
      </c>
      <c r="AA6" s="744" t="s">
        <v>501</v>
      </c>
      <c r="AB6" s="960" t="s">
        <v>22</v>
      </c>
      <c r="AC6" s="958"/>
      <c r="AF6" s="951"/>
      <c r="AG6" s="954"/>
      <c r="AH6" s="465" t="s">
        <v>368</v>
      </c>
      <c r="AI6" s="465" t="s">
        <v>367</v>
      </c>
      <c r="AJ6" s="465" t="s">
        <v>366</v>
      </c>
      <c r="AK6" s="465" t="s">
        <v>365</v>
      </c>
      <c r="AL6" s="960" t="s">
        <v>19</v>
      </c>
      <c r="AM6" s="465" t="s">
        <v>20</v>
      </c>
      <c r="AN6" s="465" t="s">
        <v>21</v>
      </c>
      <c r="AO6" s="960" t="s">
        <v>22</v>
      </c>
      <c r="AP6" s="958"/>
    </row>
    <row r="7" spans="2:42" ht="16" thickBot="1" x14ac:dyDescent="0.4">
      <c r="B7" s="952"/>
      <c r="C7" s="955"/>
      <c r="D7" s="15">
        <v>0.09</v>
      </c>
      <c r="E7" s="16">
        <v>1.4999999999999999E-2</v>
      </c>
      <c r="F7" s="15">
        <v>0.06</v>
      </c>
      <c r="G7" s="961"/>
      <c r="H7" s="16">
        <f>1/12</f>
        <v>8.3333333333333329E-2</v>
      </c>
      <c r="I7" s="16">
        <v>4.1095890410958901E-4</v>
      </c>
      <c r="J7" s="961"/>
      <c r="K7" s="959"/>
      <c r="N7" s="952"/>
      <c r="O7" s="955"/>
      <c r="P7" s="15">
        <v>0.09</v>
      </c>
      <c r="Q7" s="15">
        <v>0.09</v>
      </c>
      <c r="R7" s="16">
        <v>7.4999999999999997E-3</v>
      </c>
      <c r="S7" s="961"/>
      <c r="T7" s="15">
        <v>0.1</v>
      </c>
      <c r="U7" s="16">
        <v>9.7199999999999995E-2</v>
      </c>
      <c r="V7" s="16">
        <v>0.1666</v>
      </c>
      <c r="W7" s="16">
        <v>8.3299999999999999E-2</v>
      </c>
      <c r="X7" s="16">
        <v>0.1666</v>
      </c>
      <c r="Y7" s="752">
        <v>14</v>
      </c>
      <c r="Z7" s="753">
        <v>3.3E-3</v>
      </c>
      <c r="AA7" s="753">
        <f>1%+1.1%</f>
        <v>2.1000000000000001E-2</v>
      </c>
      <c r="AB7" s="961"/>
      <c r="AC7" s="959"/>
      <c r="AF7" s="952"/>
      <c r="AG7" s="955"/>
      <c r="AH7" s="587">
        <v>0.1</v>
      </c>
      <c r="AI7" s="588">
        <v>1.7100000000000001E-2</v>
      </c>
      <c r="AJ7" s="587">
        <v>0.02</v>
      </c>
      <c r="AK7" s="587">
        <v>0.03</v>
      </c>
      <c r="AL7" s="961"/>
      <c r="AM7" s="588">
        <v>8.3299999999999999E-2</v>
      </c>
      <c r="AN7" s="588">
        <v>8.3299999999999999E-2</v>
      </c>
      <c r="AO7" s="961"/>
      <c r="AP7" s="959"/>
    </row>
    <row r="8" spans="2:42" ht="20" customHeight="1" x14ac:dyDescent="0.35">
      <c r="B8" s="12" t="s">
        <v>23</v>
      </c>
      <c r="C8" s="17"/>
      <c r="D8" s="17"/>
      <c r="E8" s="17"/>
      <c r="F8" s="17"/>
      <c r="G8" s="17"/>
      <c r="H8" s="17"/>
      <c r="I8" s="17"/>
      <c r="J8" s="17"/>
      <c r="K8" s="17"/>
      <c r="N8" s="12" t="s">
        <v>23</v>
      </c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754"/>
      <c r="AB8" s="17"/>
      <c r="AC8" s="17"/>
      <c r="AF8" s="12" t="s">
        <v>23</v>
      </c>
      <c r="AG8" s="466"/>
      <c r="AH8" s="466"/>
      <c r="AI8" s="466"/>
      <c r="AJ8" s="466"/>
      <c r="AK8" s="466"/>
      <c r="AL8" s="466"/>
      <c r="AM8" s="466"/>
      <c r="AN8" s="466"/>
      <c r="AO8" s="466"/>
      <c r="AP8" s="466"/>
    </row>
    <row r="9" spans="2:42" ht="15.5" x14ac:dyDescent="0.35">
      <c r="B9" s="718" t="s">
        <v>433</v>
      </c>
      <c r="C9" s="719">
        <v>2155.1724137931033</v>
      </c>
      <c r="D9" s="37">
        <f>C9*$D$7</f>
        <v>193.96551724137927</v>
      </c>
      <c r="E9" s="37">
        <f>C9*$E$7</f>
        <v>32.327586206896548</v>
      </c>
      <c r="F9" s="37">
        <f>C9*$F$7</f>
        <v>129.31034482758619</v>
      </c>
      <c r="G9" s="37">
        <f>SUM(D9:F9)</f>
        <v>355.60344827586198</v>
      </c>
      <c r="H9" s="37">
        <f>C9*$H$7</f>
        <v>179.59770114942526</v>
      </c>
      <c r="I9" s="37">
        <f>C9*$I$7</f>
        <v>0.88568729333963137</v>
      </c>
      <c r="J9" s="37">
        <f>SUM(H9:I9)</f>
        <v>180.48338844276489</v>
      </c>
      <c r="K9" s="38">
        <f>C9+G9+J9</f>
        <v>2691.25925051173</v>
      </c>
      <c r="L9" s="39"/>
      <c r="M9" s="39"/>
      <c r="N9" s="718" t="s">
        <v>433</v>
      </c>
      <c r="O9" s="719">
        <v>2740</v>
      </c>
      <c r="P9" s="37">
        <f>($O9+$T9+$V9+$W9)*$P$7</f>
        <v>315.08254855403999</v>
      </c>
      <c r="Q9" s="37">
        <f>$Q$7*X9</f>
        <v>48.456339508079999</v>
      </c>
      <c r="R9" s="37">
        <f>($O9+T9+V9+W9)*$R$7</f>
        <v>26.256879046169999</v>
      </c>
      <c r="S9" s="37">
        <f>SUM(P9:R9)</f>
        <v>389.79576710829002</v>
      </c>
      <c r="T9" s="37">
        <f>IF(O9&gt;0,DP!$C$17*$T$7,0*1)</f>
        <v>30.200000000000003</v>
      </c>
      <c r="U9" s="37">
        <f>($O9+$T9+$V9)*$U$7</f>
        <v>314.12272910399997</v>
      </c>
      <c r="V9" s="37">
        <f>($O9+$T9)*V$7</f>
        <v>461.51531999999997</v>
      </c>
      <c r="W9" s="37">
        <f>($O9+$T9+$V9)*W$7</f>
        <v>269.201886156</v>
      </c>
      <c r="X9" s="37">
        <f>($O9+$T9+$V9)*X$7</f>
        <v>538.403772312</v>
      </c>
      <c r="Y9" s="37">
        <f>((O9+T9+V9+W9+X9+U9)*(14/30))/12</f>
        <v>169.30058862780001</v>
      </c>
      <c r="Z9" s="37">
        <f>$Z$7*O9</f>
        <v>9.0419999999999998</v>
      </c>
      <c r="AA9" s="37">
        <f>$AA$7*O9</f>
        <v>57.540000000000006</v>
      </c>
      <c r="AB9" s="37">
        <f>SUM(T9:AA9)</f>
        <v>1849.3262961997998</v>
      </c>
      <c r="AC9" s="38">
        <f>O9+S9+AB9</f>
        <v>4979.1220633080902</v>
      </c>
      <c r="AE9" s="282"/>
      <c r="AF9" s="718" t="s">
        <v>433</v>
      </c>
      <c r="AG9" s="719">
        <v>2155.1724137931033</v>
      </c>
      <c r="AH9" s="463">
        <f>AG9*$AH$7</f>
        <v>215.51724137931035</v>
      </c>
      <c r="AI9" s="463">
        <f>AG9*$AI$7</f>
        <v>36.853448275862064</v>
      </c>
      <c r="AJ9" s="463">
        <f>AG9*$AJ$7</f>
        <v>43.103448275862064</v>
      </c>
      <c r="AK9" s="463">
        <f>AG9*$AK$7</f>
        <v>64.655172413793096</v>
      </c>
      <c r="AL9" s="463">
        <f>SUM(AH9:AK9)</f>
        <v>360.12931034482756</v>
      </c>
      <c r="AM9" s="463">
        <f>AG9*$AM$7</f>
        <v>179.52586206896549</v>
      </c>
      <c r="AN9" s="463">
        <f>AG9*$AN$7</f>
        <v>179.52586206896549</v>
      </c>
      <c r="AO9" s="463">
        <f>SUM(AM9:AN9)</f>
        <v>359.05172413793099</v>
      </c>
      <c r="AP9" s="464">
        <f>AG9+AL9+AO9</f>
        <v>2874.3534482758619</v>
      </c>
    </row>
    <row r="10" spans="2:42" ht="15.5" x14ac:dyDescent="0.35">
      <c r="B10" s="718" t="s">
        <v>434</v>
      </c>
      <c r="C10" s="719">
        <v>1077.5862068965516</v>
      </c>
      <c r="D10" s="37">
        <f t="shared" ref="D10:D14" si="0">C10*$D$7</f>
        <v>96.982758620689637</v>
      </c>
      <c r="E10" s="37">
        <f t="shared" ref="E10:E14" si="1">C10*$E$7</f>
        <v>16.163793103448274</v>
      </c>
      <c r="F10" s="37">
        <f t="shared" ref="F10:F14" si="2">C10*$F$7</f>
        <v>64.655172413793096</v>
      </c>
      <c r="G10" s="37">
        <f t="shared" ref="G10:G14" si="3">SUM(D10:F10)</f>
        <v>177.80172413793099</v>
      </c>
      <c r="H10" s="37">
        <f t="shared" ref="H10:H14" si="4">C10*$H$7</f>
        <v>89.798850574712631</v>
      </c>
      <c r="I10" s="37">
        <f t="shared" ref="I10:I14" si="5">C10*$I$7</f>
        <v>0.44284364666981568</v>
      </c>
      <c r="J10" s="37">
        <f t="shared" ref="J10:J14" si="6">SUM(H10:I10)</f>
        <v>90.241694221382446</v>
      </c>
      <c r="K10" s="38">
        <f t="shared" ref="K10:K14" si="7">C10+G10+J10</f>
        <v>1345.629625255865</v>
      </c>
      <c r="L10" s="39"/>
      <c r="M10" s="39"/>
      <c r="N10" s="718" t="s">
        <v>488</v>
      </c>
      <c r="O10" s="719">
        <v>1781</v>
      </c>
      <c r="P10" s="37">
        <f t="shared" ref="P10:P22" si="8">($O10+$T10+$V10+$W10)*$P$7</f>
        <v>206.00588836224003</v>
      </c>
      <c r="Q10" s="37">
        <f t="shared" ref="Q10:Q22" si="9">$Q$7*X10</f>
        <v>31.681511124480004</v>
      </c>
      <c r="R10" s="37">
        <f t="shared" ref="R10:R22" si="10">($O10+T10+V10+W10)*$R$7</f>
        <v>17.167157363520001</v>
      </c>
      <c r="S10" s="37">
        <f t="shared" ref="S10:S21" si="11">SUM(P10:R10)</f>
        <v>254.85455685024004</v>
      </c>
      <c r="T10" s="37">
        <f>IF(O10&gt;0,DP!$C$17*$T$7,0*1)</f>
        <v>30.200000000000003</v>
      </c>
      <c r="U10" s="37">
        <f t="shared" ref="U10:U22" si="12">($O10+$T10+$V10)*$U$7</f>
        <v>205.37834342400001</v>
      </c>
      <c r="V10" s="37">
        <f t="shared" ref="V10:V22" si="13">($O10+$T10)*V$7</f>
        <v>301.74592000000001</v>
      </c>
      <c r="W10" s="37">
        <f t="shared" ref="W10:X22" si="14">($O10+$T10+$V10)*W$7</f>
        <v>176.00839513600002</v>
      </c>
      <c r="X10" s="37">
        <f t="shared" si="14"/>
        <v>352.01679027200004</v>
      </c>
      <c r="Y10" s="37">
        <f t="shared" ref="Y10:Y22" si="15">((O10+T10+V10+W10+X10+U10)*(14/30))/12</f>
        <v>110.69136745457779</v>
      </c>
      <c r="Z10" s="37">
        <f t="shared" ref="Z10:Z22" si="16">$Z$7*O10</f>
        <v>5.8773</v>
      </c>
      <c r="AA10" s="37">
        <f t="shared" ref="AA10:AA22" si="17">$AA$7*O10</f>
        <v>37.401000000000003</v>
      </c>
      <c r="AB10" s="37">
        <f t="shared" ref="AB10:AB21" si="18">SUM(T10:AA10)</f>
        <v>1219.319116286578</v>
      </c>
      <c r="AC10" s="38">
        <f t="shared" ref="AC10:AC21" si="19">O10+S10+AB10</f>
        <v>3255.1736731368183</v>
      </c>
      <c r="AE10" s="282"/>
      <c r="AF10" s="718" t="s">
        <v>434</v>
      </c>
      <c r="AG10" s="719">
        <v>1077.5862068965516</v>
      </c>
      <c r="AH10" s="463">
        <f t="shared" ref="AH10:AH14" si="20">AG10*$AH$7</f>
        <v>107.75862068965517</v>
      </c>
      <c r="AI10" s="463">
        <f t="shared" ref="AI10:AI14" si="21">AG10*$AI$7</f>
        <v>18.426724137931032</v>
      </c>
      <c r="AJ10" s="463">
        <f t="shared" ref="AJ10:AJ14" si="22">AG10*$AJ$7</f>
        <v>21.551724137931032</v>
      </c>
      <c r="AK10" s="463">
        <f t="shared" ref="AK10:AK14" si="23">AG10*$AK$7</f>
        <v>32.327586206896548</v>
      </c>
      <c r="AL10" s="463">
        <f t="shared" ref="AL10:AL14" si="24">SUM(AH10:AK10)</f>
        <v>180.06465517241378</v>
      </c>
      <c r="AM10" s="463">
        <f t="shared" ref="AM10:AM14" si="25">AG10*$AM$7</f>
        <v>89.762931034482747</v>
      </c>
      <c r="AN10" s="463">
        <f t="shared" ref="AN10:AN14" si="26">AG10*$AN$7</f>
        <v>89.762931034482747</v>
      </c>
      <c r="AO10" s="463">
        <f t="shared" ref="AO10:AO14" si="27">SUM(AM10:AN10)</f>
        <v>179.52586206896549</v>
      </c>
      <c r="AP10" s="464">
        <f t="shared" ref="AP10:AP14" si="28">AG10+AL10+AO10</f>
        <v>1437.1767241379309</v>
      </c>
    </row>
    <row r="11" spans="2:42" ht="15.5" x14ac:dyDescent="0.35">
      <c r="B11" s="718" t="s">
        <v>435</v>
      </c>
      <c r="C11" s="719">
        <v>862.06896551724139</v>
      </c>
      <c r="D11" s="37">
        <f t="shared" si="0"/>
        <v>77.58620689655173</v>
      </c>
      <c r="E11" s="37">
        <f t="shared" si="1"/>
        <v>12.931034482758621</v>
      </c>
      <c r="F11" s="37">
        <f t="shared" si="2"/>
        <v>51.724137931034484</v>
      </c>
      <c r="G11" s="37">
        <f t="shared" si="3"/>
        <v>142.24137931034483</v>
      </c>
      <c r="H11" s="37">
        <f t="shared" si="4"/>
        <v>71.839080459770116</v>
      </c>
      <c r="I11" s="37">
        <f t="shared" si="5"/>
        <v>0.35427491733585259</v>
      </c>
      <c r="J11" s="37">
        <f t="shared" si="6"/>
        <v>72.193355377105974</v>
      </c>
      <c r="K11" s="38">
        <f t="shared" si="7"/>
        <v>1076.5037002046922</v>
      </c>
      <c r="L11" s="39"/>
      <c r="M11" s="39"/>
      <c r="N11" s="718" t="s">
        <v>435</v>
      </c>
      <c r="O11" s="719">
        <v>904</v>
      </c>
      <c r="P11" s="37">
        <f t="shared" si="8"/>
        <v>106.25590818683999</v>
      </c>
      <c r="Q11" s="37">
        <f t="shared" si="9"/>
        <v>16.341026773679999</v>
      </c>
      <c r="R11" s="37">
        <f t="shared" si="10"/>
        <v>8.8546590155699985</v>
      </c>
      <c r="S11" s="37">
        <f t="shared" si="11"/>
        <v>131.45159397608998</v>
      </c>
      <c r="T11" s="37">
        <f>IF(O11&gt;0,DP!$C$17*$T$7,0*1)</f>
        <v>30.200000000000003</v>
      </c>
      <c r="U11" s="37">
        <f t="shared" si="12"/>
        <v>105.93222638399999</v>
      </c>
      <c r="V11" s="37">
        <f t="shared" si="13"/>
        <v>155.63772</v>
      </c>
      <c r="W11" s="37">
        <f t="shared" si="14"/>
        <v>90.783482075999999</v>
      </c>
      <c r="X11" s="37">
        <f t="shared" si="14"/>
        <v>181.566964152</v>
      </c>
      <c r="Y11" s="37">
        <f t="shared" si="15"/>
        <v>57.0935708238</v>
      </c>
      <c r="Z11" s="37">
        <f t="shared" si="16"/>
        <v>2.9832000000000001</v>
      </c>
      <c r="AA11" s="37">
        <f t="shared" si="17"/>
        <v>18.984000000000002</v>
      </c>
      <c r="AB11" s="37">
        <f t="shared" si="18"/>
        <v>643.18116343579993</v>
      </c>
      <c r="AC11" s="38">
        <f t="shared" si="19"/>
        <v>1678.63275741189</v>
      </c>
      <c r="AE11" s="282"/>
      <c r="AF11" s="718" t="s">
        <v>435</v>
      </c>
      <c r="AG11" s="719">
        <v>862.06896551724139</v>
      </c>
      <c r="AH11" s="463">
        <f t="shared" si="20"/>
        <v>86.206896551724142</v>
      </c>
      <c r="AI11" s="463">
        <f t="shared" si="21"/>
        <v>14.741379310344829</v>
      </c>
      <c r="AJ11" s="463">
        <f t="shared" si="22"/>
        <v>17.241379310344829</v>
      </c>
      <c r="AK11" s="463">
        <f t="shared" si="23"/>
        <v>25.862068965517242</v>
      </c>
      <c r="AL11" s="463">
        <f t="shared" si="24"/>
        <v>144.05172413793105</v>
      </c>
      <c r="AM11" s="463">
        <f t="shared" si="25"/>
        <v>71.810344827586206</v>
      </c>
      <c r="AN11" s="463">
        <f t="shared" si="26"/>
        <v>71.810344827586206</v>
      </c>
      <c r="AO11" s="463">
        <f t="shared" si="27"/>
        <v>143.62068965517241</v>
      </c>
      <c r="AP11" s="464">
        <f t="shared" si="28"/>
        <v>1149.7413793103449</v>
      </c>
    </row>
    <row r="12" spans="2:42" ht="15.5" x14ac:dyDescent="0.35">
      <c r="B12" s="718" t="s">
        <v>436</v>
      </c>
      <c r="C12" s="719">
        <v>862.06896551724139</v>
      </c>
      <c r="D12" s="37">
        <f>C12*$D$7</f>
        <v>77.58620689655173</v>
      </c>
      <c r="E12" s="37">
        <f t="shared" si="1"/>
        <v>12.931034482758621</v>
      </c>
      <c r="F12" s="37">
        <f t="shared" si="2"/>
        <v>51.724137931034484</v>
      </c>
      <c r="G12" s="37">
        <f t="shared" si="3"/>
        <v>142.24137931034483</v>
      </c>
      <c r="H12" s="37">
        <f t="shared" si="4"/>
        <v>71.839080459770116</v>
      </c>
      <c r="I12" s="37">
        <f t="shared" si="5"/>
        <v>0.35427491733585259</v>
      </c>
      <c r="J12" s="37">
        <f t="shared" si="6"/>
        <v>72.193355377105974</v>
      </c>
      <c r="K12" s="38">
        <f t="shared" si="7"/>
        <v>1076.5037002046922</v>
      </c>
      <c r="L12" s="39"/>
      <c r="M12" s="39"/>
      <c r="N12" s="718" t="s">
        <v>437</v>
      </c>
      <c r="O12" s="719">
        <v>959</v>
      </c>
      <c r="P12" s="37">
        <f t="shared" si="8"/>
        <v>112.51160819783999</v>
      </c>
      <c r="Q12" s="37">
        <f t="shared" si="9"/>
        <v>17.303086795679999</v>
      </c>
      <c r="R12" s="37">
        <f t="shared" si="10"/>
        <v>9.3759673498199998</v>
      </c>
      <c r="S12" s="37">
        <f t="shared" si="11"/>
        <v>139.19066234333999</v>
      </c>
      <c r="T12" s="37">
        <f>IF(O12&gt;0,DP!$C$17*$T$7,0*1)</f>
        <v>30.200000000000003</v>
      </c>
      <c r="U12" s="37">
        <f t="shared" si="12"/>
        <v>112.168869984</v>
      </c>
      <c r="V12" s="37">
        <f t="shared" si="13"/>
        <v>164.80072000000001</v>
      </c>
      <c r="W12" s="37">
        <f t="shared" si="14"/>
        <v>96.128259975999995</v>
      </c>
      <c r="X12" s="37">
        <f t="shared" si="14"/>
        <v>192.25651995199999</v>
      </c>
      <c r="Y12" s="37">
        <f t="shared" si="15"/>
        <v>60.454892163244438</v>
      </c>
      <c r="Z12" s="37">
        <f t="shared" si="16"/>
        <v>3.1646999999999998</v>
      </c>
      <c r="AA12" s="37">
        <f t="shared" si="17"/>
        <v>20.139000000000003</v>
      </c>
      <c r="AB12" s="37">
        <f t="shared" si="18"/>
        <v>679.3129620752444</v>
      </c>
      <c r="AC12" s="38">
        <f t="shared" si="19"/>
        <v>1777.5036244185844</v>
      </c>
      <c r="AE12" s="282"/>
      <c r="AF12" s="718" t="s">
        <v>436</v>
      </c>
      <c r="AG12" s="719">
        <v>862.06896551724139</v>
      </c>
      <c r="AH12" s="463">
        <f t="shared" si="20"/>
        <v>86.206896551724142</v>
      </c>
      <c r="AI12" s="463">
        <f t="shared" si="21"/>
        <v>14.741379310344829</v>
      </c>
      <c r="AJ12" s="463">
        <f t="shared" si="22"/>
        <v>17.241379310344829</v>
      </c>
      <c r="AK12" s="463">
        <f t="shared" si="23"/>
        <v>25.862068965517242</v>
      </c>
      <c r="AL12" s="463">
        <f t="shared" si="24"/>
        <v>144.05172413793105</v>
      </c>
      <c r="AM12" s="463">
        <f t="shared" si="25"/>
        <v>71.810344827586206</v>
      </c>
      <c r="AN12" s="463">
        <f t="shared" si="26"/>
        <v>71.810344827586206</v>
      </c>
      <c r="AO12" s="463">
        <f t="shared" si="27"/>
        <v>143.62068965517241</v>
      </c>
      <c r="AP12" s="464">
        <f t="shared" si="28"/>
        <v>1149.7413793103449</v>
      </c>
    </row>
    <row r="13" spans="2:42" ht="15.5" x14ac:dyDescent="0.35">
      <c r="B13" s="718" t="s">
        <v>437</v>
      </c>
      <c r="C13" s="719">
        <v>933.90804597701151</v>
      </c>
      <c r="D13" s="37">
        <f t="shared" si="0"/>
        <v>84.051724137931032</v>
      </c>
      <c r="E13" s="37">
        <f t="shared" si="1"/>
        <v>14.008620689655173</v>
      </c>
      <c r="F13" s="37">
        <f t="shared" si="2"/>
        <v>56.03448275862069</v>
      </c>
      <c r="G13" s="37">
        <f t="shared" si="3"/>
        <v>154.09482758620689</v>
      </c>
      <c r="H13" s="37">
        <f t="shared" si="4"/>
        <v>77.825670498084293</v>
      </c>
      <c r="I13" s="37">
        <f t="shared" si="5"/>
        <v>0.38379782711384031</v>
      </c>
      <c r="J13" s="37">
        <f t="shared" si="6"/>
        <v>78.209468325198131</v>
      </c>
      <c r="K13" s="38">
        <f t="shared" si="7"/>
        <v>1166.2123418884164</v>
      </c>
      <c r="L13" s="39"/>
      <c r="M13" s="39"/>
      <c r="N13" s="718" t="s">
        <v>438</v>
      </c>
      <c r="O13" s="719">
        <v>548</v>
      </c>
      <c r="P13" s="37">
        <f t="shared" si="8"/>
        <v>65.76446811564</v>
      </c>
      <c r="Q13" s="37">
        <f t="shared" si="9"/>
        <v>10.11387463128</v>
      </c>
      <c r="R13" s="37">
        <f t="shared" si="10"/>
        <v>5.48037234297</v>
      </c>
      <c r="S13" s="37">
        <f t="shared" si="11"/>
        <v>81.358715089889998</v>
      </c>
      <c r="T13" s="37">
        <f>IF(O13&gt;0,DP!$C$17*$T$7,0*1)</f>
        <v>30.200000000000003</v>
      </c>
      <c r="U13" s="37">
        <f t="shared" si="12"/>
        <v>65.564133264000006</v>
      </c>
      <c r="V13" s="37">
        <f t="shared" si="13"/>
        <v>96.328120000000013</v>
      </c>
      <c r="W13" s="37">
        <f t="shared" si="14"/>
        <v>56.188192396000005</v>
      </c>
      <c r="X13" s="37">
        <f t="shared" si="14"/>
        <v>112.37638479200001</v>
      </c>
      <c r="Y13" s="37">
        <f t="shared" si="15"/>
        <v>35.336654517577784</v>
      </c>
      <c r="Z13" s="37">
        <f t="shared" si="16"/>
        <v>1.8084</v>
      </c>
      <c r="AA13" s="37">
        <f t="shared" si="17"/>
        <v>11.508000000000001</v>
      </c>
      <c r="AB13" s="37">
        <f t="shared" si="18"/>
        <v>409.30988496957781</v>
      </c>
      <c r="AC13" s="38">
        <f t="shared" si="19"/>
        <v>1038.6686000594677</v>
      </c>
      <c r="AE13" s="282"/>
      <c r="AF13" s="718" t="s">
        <v>437</v>
      </c>
      <c r="AG13" s="719">
        <v>933.90804597701151</v>
      </c>
      <c r="AH13" s="463">
        <f t="shared" si="20"/>
        <v>93.390804597701162</v>
      </c>
      <c r="AI13" s="463">
        <f t="shared" si="21"/>
        <v>15.969827586206897</v>
      </c>
      <c r="AJ13" s="463">
        <f t="shared" si="22"/>
        <v>18.678160919540229</v>
      </c>
      <c r="AK13" s="463">
        <f t="shared" si="23"/>
        <v>28.017241379310345</v>
      </c>
      <c r="AL13" s="463">
        <f t="shared" si="24"/>
        <v>156.05603448275863</v>
      </c>
      <c r="AM13" s="463">
        <f t="shared" si="25"/>
        <v>77.794540229885058</v>
      </c>
      <c r="AN13" s="463">
        <f t="shared" si="26"/>
        <v>77.794540229885058</v>
      </c>
      <c r="AO13" s="463">
        <f t="shared" si="27"/>
        <v>155.58908045977012</v>
      </c>
      <c r="AP13" s="464">
        <f t="shared" si="28"/>
        <v>1245.5531609195405</v>
      </c>
    </row>
    <row r="14" spans="2:42" ht="31" x14ac:dyDescent="0.35">
      <c r="B14" s="718" t="s">
        <v>438</v>
      </c>
      <c r="C14" s="719">
        <v>431.0344827586207</v>
      </c>
      <c r="D14" s="37">
        <f t="shared" si="0"/>
        <v>38.793103448275865</v>
      </c>
      <c r="E14" s="37">
        <f t="shared" si="1"/>
        <v>6.4655172413793105</v>
      </c>
      <c r="F14" s="37">
        <f t="shared" si="2"/>
        <v>25.862068965517242</v>
      </c>
      <c r="G14" s="37">
        <f t="shared" si="3"/>
        <v>71.120689655172413</v>
      </c>
      <c r="H14" s="37">
        <f t="shared" si="4"/>
        <v>35.919540229885058</v>
      </c>
      <c r="I14" s="37">
        <f t="shared" si="5"/>
        <v>0.1771374586679263</v>
      </c>
      <c r="J14" s="37">
        <f t="shared" si="6"/>
        <v>36.096677688552987</v>
      </c>
      <c r="K14" s="38">
        <f t="shared" si="7"/>
        <v>538.25185010234611</v>
      </c>
      <c r="L14" s="39"/>
      <c r="M14" s="39"/>
      <c r="N14" s="718" t="s">
        <v>442</v>
      </c>
      <c r="O14" s="719">
        <v>685</v>
      </c>
      <c r="P14" s="37">
        <f t="shared" si="8"/>
        <v>81.346848143040006</v>
      </c>
      <c r="Q14" s="37">
        <f t="shared" si="9"/>
        <v>12.510278686080001</v>
      </c>
      <c r="R14" s="37">
        <f t="shared" si="10"/>
        <v>6.7789040119199999</v>
      </c>
      <c r="S14" s="37">
        <f t="shared" si="11"/>
        <v>100.63603084104001</v>
      </c>
      <c r="T14" s="37">
        <f>IF(O14&gt;0,DP!$C$17*$T$7,0*1)</f>
        <v>30.200000000000003</v>
      </c>
      <c r="U14" s="37">
        <f t="shared" si="12"/>
        <v>81.099045504000003</v>
      </c>
      <c r="V14" s="37">
        <f t="shared" si="13"/>
        <v>119.15232</v>
      </c>
      <c r="W14" s="37">
        <f t="shared" si="14"/>
        <v>69.501548256000007</v>
      </c>
      <c r="X14" s="37">
        <f t="shared" si="14"/>
        <v>139.00309651200001</v>
      </c>
      <c r="Y14" s="37">
        <f t="shared" si="15"/>
        <v>43.709400399466681</v>
      </c>
      <c r="Z14" s="37">
        <f t="shared" si="16"/>
        <v>2.2605</v>
      </c>
      <c r="AA14" s="37">
        <f t="shared" si="17"/>
        <v>14.385000000000002</v>
      </c>
      <c r="AB14" s="37">
        <f t="shared" si="18"/>
        <v>499.31091067146667</v>
      </c>
      <c r="AC14" s="38">
        <f t="shared" si="19"/>
        <v>1284.9469415125068</v>
      </c>
      <c r="AE14" s="282"/>
      <c r="AF14" s="718" t="s">
        <v>438</v>
      </c>
      <c r="AG14" s="719">
        <v>431.0344827586207</v>
      </c>
      <c r="AH14" s="463">
        <f t="shared" si="20"/>
        <v>43.103448275862071</v>
      </c>
      <c r="AI14" s="463">
        <f t="shared" si="21"/>
        <v>7.3706896551724146</v>
      </c>
      <c r="AJ14" s="463">
        <f t="shared" si="22"/>
        <v>8.6206896551724146</v>
      </c>
      <c r="AK14" s="463">
        <f t="shared" si="23"/>
        <v>12.931034482758621</v>
      </c>
      <c r="AL14" s="463">
        <f t="shared" si="24"/>
        <v>72.025862068965523</v>
      </c>
      <c r="AM14" s="463">
        <f t="shared" si="25"/>
        <v>35.905172413793103</v>
      </c>
      <c r="AN14" s="463">
        <f t="shared" si="26"/>
        <v>35.905172413793103</v>
      </c>
      <c r="AO14" s="463">
        <f t="shared" si="27"/>
        <v>71.810344827586206</v>
      </c>
      <c r="AP14" s="464">
        <f t="shared" si="28"/>
        <v>574.87068965517244</v>
      </c>
    </row>
    <row r="15" spans="2:42" ht="15.5" x14ac:dyDescent="0.35">
      <c r="B15" s="718" t="s">
        <v>439</v>
      </c>
      <c r="C15" s="719">
        <v>790.22988505747128</v>
      </c>
      <c r="D15" s="37">
        <f t="shared" ref="D15:D22" si="29">C15*$D$7</f>
        <v>71.120689655172413</v>
      </c>
      <c r="E15" s="37">
        <f t="shared" ref="E15:E22" si="30">C15*$E$7</f>
        <v>11.853448275862069</v>
      </c>
      <c r="F15" s="37">
        <f t="shared" ref="F15:F22" si="31">C15*$F$7</f>
        <v>47.413793103448278</v>
      </c>
      <c r="G15" s="37">
        <f t="shared" ref="G15:G22" si="32">SUM(D15:F15)</f>
        <v>130.38793103448276</v>
      </c>
      <c r="H15" s="37">
        <f t="shared" ref="H15:H22" si="33">C15*$H$7</f>
        <v>65.85249042145594</v>
      </c>
      <c r="I15" s="37">
        <f t="shared" ref="I15:I22" si="34">C15*$I$7</f>
        <v>0.32475200755786487</v>
      </c>
      <c r="J15" s="37">
        <f t="shared" ref="J15:J22" si="35">SUM(H15:I15)</f>
        <v>66.177242429013802</v>
      </c>
      <c r="K15" s="38">
        <f t="shared" ref="K15:K22" si="36">C15+G15+J15</f>
        <v>986.79505852096781</v>
      </c>
      <c r="L15" s="39"/>
      <c r="M15" s="39"/>
      <c r="N15" s="718" t="s">
        <v>443</v>
      </c>
      <c r="O15" s="719">
        <v>986</v>
      </c>
      <c r="P15" s="37">
        <f t="shared" si="8"/>
        <v>115.58258820324001</v>
      </c>
      <c r="Q15" s="37">
        <f t="shared" si="9"/>
        <v>17.775370806480002</v>
      </c>
      <c r="R15" s="37">
        <f t="shared" si="10"/>
        <v>9.6318823502700006</v>
      </c>
      <c r="S15" s="37">
        <f t="shared" si="11"/>
        <v>142.98984135999001</v>
      </c>
      <c r="T15" s="37">
        <f>IF(O15&gt;0,DP!$C$17*$T$7,0*1)</f>
        <v>30.200000000000003</v>
      </c>
      <c r="U15" s="37">
        <f t="shared" si="12"/>
        <v>115.23049502399999</v>
      </c>
      <c r="V15" s="37">
        <f t="shared" si="13"/>
        <v>169.29892000000001</v>
      </c>
      <c r="W15" s="37">
        <f t="shared" si="14"/>
        <v>98.752060036000003</v>
      </c>
      <c r="X15" s="37">
        <f t="shared" si="14"/>
        <v>197.50412007200001</v>
      </c>
      <c r="Y15" s="37">
        <f t="shared" si="15"/>
        <v>62.104995366244452</v>
      </c>
      <c r="Z15" s="37">
        <f t="shared" si="16"/>
        <v>3.2538</v>
      </c>
      <c r="AA15" s="37">
        <f>$AA$7*O15</f>
        <v>20.706</v>
      </c>
      <c r="AB15" s="37">
        <f t="shared" si="18"/>
        <v>697.05039049824438</v>
      </c>
      <c r="AC15" s="38">
        <f t="shared" si="19"/>
        <v>1826.0402318582342</v>
      </c>
      <c r="AE15" s="282"/>
      <c r="AF15" s="718" t="s">
        <v>439</v>
      </c>
      <c r="AG15" s="719">
        <v>790.22988505747128</v>
      </c>
      <c r="AH15" s="463">
        <f t="shared" ref="AH15:AH22" si="37">AG15*$AH$7</f>
        <v>79.022988505747136</v>
      </c>
      <c r="AI15" s="463">
        <f t="shared" ref="AI15:AI22" si="38">AG15*$AI$7</f>
        <v>13.51293103448276</v>
      </c>
      <c r="AJ15" s="463">
        <f t="shared" ref="AJ15:AJ22" si="39">AG15*$AJ$7</f>
        <v>15.804597701149426</v>
      </c>
      <c r="AK15" s="463">
        <f t="shared" ref="AK15:AK22" si="40">AG15*$AK$7</f>
        <v>23.706896551724139</v>
      </c>
      <c r="AL15" s="463">
        <f t="shared" ref="AL15:AL22" si="41">SUM(AH15:AK15)</f>
        <v>132.04741379310346</v>
      </c>
      <c r="AM15" s="463">
        <f t="shared" ref="AM15:AM22" si="42">AG15*$AM$7</f>
        <v>65.826149425287355</v>
      </c>
      <c r="AN15" s="463">
        <f t="shared" ref="AN15:AN22" si="43">AG15*$AN$7</f>
        <v>65.826149425287355</v>
      </c>
      <c r="AO15" s="463">
        <f t="shared" ref="AO15:AO22" si="44">SUM(AM15:AN15)</f>
        <v>131.65229885057471</v>
      </c>
      <c r="AP15" s="464">
        <f t="shared" ref="AP15:AP22" si="45">AG15+AL15+AO15</f>
        <v>1053.9295977011495</v>
      </c>
    </row>
    <row r="16" spans="2:42" ht="15.5" x14ac:dyDescent="0.35">
      <c r="B16" s="718" t="s">
        <v>440</v>
      </c>
      <c r="C16" s="719">
        <v>790.22988505747128</v>
      </c>
      <c r="D16" s="37">
        <f t="shared" si="29"/>
        <v>71.120689655172413</v>
      </c>
      <c r="E16" s="37">
        <f t="shared" si="30"/>
        <v>11.853448275862069</v>
      </c>
      <c r="F16" s="37">
        <f t="shared" si="31"/>
        <v>47.413793103448278</v>
      </c>
      <c r="G16" s="37">
        <f t="shared" si="32"/>
        <v>130.38793103448276</v>
      </c>
      <c r="H16" s="37">
        <f t="shared" si="33"/>
        <v>65.85249042145594</v>
      </c>
      <c r="I16" s="37">
        <f t="shared" si="34"/>
        <v>0.32475200755786487</v>
      </c>
      <c r="J16" s="37">
        <f t="shared" si="35"/>
        <v>66.177242429013802</v>
      </c>
      <c r="K16" s="38">
        <f t="shared" si="36"/>
        <v>986.79505852096781</v>
      </c>
      <c r="L16" s="39"/>
      <c r="M16" s="39"/>
      <c r="N16" s="718"/>
      <c r="O16" s="719"/>
      <c r="P16" s="37">
        <f t="shared" si="8"/>
        <v>0</v>
      </c>
      <c r="Q16" s="37">
        <f t="shared" si="9"/>
        <v>0</v>
      </c>
      <c r="R16" s="37">
        <f t="shared" si="10"/>
        <v>0</v>
      </c>
      <c r="S16" s="37">
        <f t="shared" si="11"/>
        <v>0</v>
      </c>
      <c r="T16" s="37">
        <f>IF(O16&gt;0,DP!$C$17*$T$7,0*1)</f>
        <v>0</v>
      </c>
      <c r="U16" s="37">
        <f t="shared" si="12"/>
        <v>0</v>
      </c>
      <c r="V16" s="37">
        <f t="shared" si="13"/>
        <v>0</v>
      </c>
      <c r="W16" s="37">
        <f t="shared" si="14"/>
        <v>0</v>
      </c>
      <c r="X16" s="37">
        <f t="shared" si="14"/>
        <v>0</v>
      </c>
      <c r="Y16" s="37">
        <f t="shared" si="15"/>
        <v>0</v>
      </c>
      <c r="Z16" s="37">
        <f t="shared" si="16"/>
        <v>0</v>
      </c>
      <c r="AA16" s="37">
        <f t="shared" si="17"/>
        <v>0</v>
      </c>
      <c r="AB16" s="37">
        <f t="shared" si="18"/>
        <v>0</v>
      </c>
      <c r="AC16" s="38">
        <f t="shared" si="19"/>
        <v>0</v>
      </c>
      <c r="AE16" s="282"/>
      <c r="AF16" s="718" t="s">
        <v>440</v>
      </c>
      <c r="AG16" s="719">
        <v>790.22988505747128</v>
      </c>
      <c r="AH16" s="463">
        <f t="shared" si="37"/>
        <v>79.022988505747136</v>
      </c>
      <c r="AI16" s="463">
        <f t="shared" si="38"/>
        <v>13.51293103448276</v>
      </c>
      <c r="AJ16" s="463">
        <f t="shared" si="39"/>
        <v>15.804597701149426</v>
      </c>
      <c r="AK16" s="463">
        <f t="shared" si="40"/>
        <v>23.706896551724139</v>
      </c>
      <c r="AL16" s="463">
        <f t="shared" si="41"/>
        <v>132.04741379310346</v>
      </c>
      <c r="AM16" s="463">
        <f t="shared" si="42"/>
        <v>65.826149425287355</v>
      </c>
      <c r="AN16" s="463">
        <f t="shared" si="43"/>
        <v>65.826149425287355</v>
      </c>
      <c r="AO16" s="463">
        <f t="shared" si="44"/>
        <v>131.65229885057471</v>
      </c>
      <c r="AP16" s="464">
        <f t="shared" si="45"/>
        <v>1053.9295977011495</v>
      </c>
    </row>
    <row r="17" spans="2:42" ht="15.5" x14ac:dyDescent="0.35">
      <c r="B17" s="718" t="s">
        <v>441</v>
      </c>
      <c r="C17" s="719">
        <v>790.22988505747128</v>
      </c>
      <c r="D17" s="37">
        <f t="shared" si="29"/>
        <v>71.120689655172413</v>
      </c>
      <c r="E17" s="37">
        <f t="shared" si="30"/>
        <v>11.853448275862069</v>
      </c>
      <c r="F17" s="37">
        <f t="shared" si="31"/>
        <v>47.413793103448278</v>
      </c>
      <c r="G17" s="37">
        <f t="shared" si="32"/>
        <v>130.38793103448276</v>
      </c>
      <c r="H17" s="37">
        <f t="shared" si="33"/>
        <v>65.85249042145594</v>
      </c>
      <c r="I17" s="37">
        <f t="shared" si="34"/>
        <v>0.32475200755786487</v>
      </c>
      <c r="J17" s="37">
        <f t="shared" si="35"/>
        <v>66.177242429013802</v>
      </c>
      <c r="K17" s="38">
        <f t="shared" si="36"/>
        <v>986.79505852096781</v>
      </c>
      <c r="L17" s="39"/>
      <c r="M17" s="39"/>
      <c r="N17" s="718" t="s">
        <v>445</v>
      </c>
      <c r="O17" s="719">
        <v>521</v>
      </c>
      <c r="P17" s="37">
        <f t="shared" si="8"/>
        <v>62.693488110239997</v>
      </c>
      <c r="Q17" s="37">
        <f t="shared" si="9"/>
        <v>9.6415906204800006</v>
      </c>
      <c r="R17" s="37">
        <f t="shared" si="10"/>
        <v>5.22445734252</v>
      </c>
      <c r="S17" s="37">
        <f t="shared" si="11"/>
        <v>77.559536073239997</v>
      </c>
      <c r="T17" s="37">
        <f>IF(O17&gt;0,DP!$C$17*$T$7,0*1)</f>
        <v>30.200000000000003</v>
      </c>
      <c r="U17" s="37">
        <f t="shared" si="12"/>
        <v>62.502508224000003</v>
      </c>
      <c r="V17" s="37">
        <f t="shared" si="13"/>
        <v>91.829920000000001</v>
      </c>
      <c r="W17" s="37">
        <f t="shared" si="14"/>
        <v>53.564392336000004</v>
      </c>
      <c r="X17" s="37">
        <f t="shared" si="14"/>
        <v>107.12878467200001</v>
      </c>
      <c r="Y17" s="37">
        <f t="shared" si="15"/>
        <v>33.686551314577784</v>
      </c>
      <c r="Z17" s="37">
        <f t="shared" si="16"/>
        <v>1.7193000000000001</v>
      </c>
      <c r="AA17" s="37">
        <f t="shared" si="17"/>
        <v>10.941000000000001</v>
      </c>
      <c r="AB17" s="37">
        <f t="shared" si="18"/>
        <v>391.57245654657777</v>
      </c>
      <c r="AC17" s="38">
        <f t="shared" si="19"/>
        <v>990.13199261981777</v>
      </c>
      <c r="AD17" s="282"/>
      <c r="AE17" s="282"/>
      <c r="AF17" s="718" t="s">
        <v>441</v>
      </c>
      <c r="AG17" s="719">
        <v>790.22988505747128</v>
      </c>
      <c r="AH17" s="463">
        <f t="shared" si="37"/>
        <v>79.022988505747136</v>
      </c>
      <c r="AI17" s="463">
        <f t="shared" si="38"/>
        <v>13.51293103448276</v>
      </c>
      <c r="AJ17" s="463">
        <f t="shared" si="39"/>
        <v>15.804597701149426</v>
      </c>
      <c r="AK17" s="463">
        <f t="shared" si="40"/>
        <v>23.706896551724139</v>
      </c>
      <c r="AL17" s="463">
        <f t="shared" si="41"/>
        <v>132.04741379310346</v>
      </c>
      <c r="AM17" s="463">
        <f t="shared" si="42"/>
        <v>65.826149425287355</v>
      </c>
      <c r="AN17" s="463">
        <f t="shared" si="43"/>
        <v>65.826149425287355</v>
      </c>
      <c r="AO17" s="463">
        <f t="shared" si="44"/>
        <v>131.65229885057471</v>
      </c>
      <c r="AP17" s="464">
        <f t="shared" si="45"/>
        <v>1053.9295977011495</v>
      </c>
    </row>
    <row r="18" spans="2:42" ht="31" x14ac:dyDescent="0.35">
      <c r="B18" s="718" t="s">
        <v>442</v>
      </c>
      <c r="C18" s="719">
        <v>862.06896551724139</v>
      </c>
      <c r="D18" s="37">
        <f t="shared" si="29"/>
        <v>77.58620689655173</v>
      </c>
      <c r="E18" s="37">
        <f t="shared" si="30"/>
        <v>12.931034482758621</v>
      </c>
      <c r="F18" s="37">
        <f t="shared" si="31"/>
        <v>51.724137931034484</v>
      </c>
      <c r="G18" s="37">
        <f t="shared" si="32"/>
        <v>142.24137931034483</v>
      </c>
      <c r="H18" s="37">
        <f t="shared" si="33"/>
        <v>71.839080459770116</v>
      </c>
      <c r="I18" s="37">
        <f t="shared" si="34"/>
        <v>0.35427491733585259</v>
      </c>
      <c r="J18" s="37">
        <f t="shared" si="35"/>
        <v>72.193355377105974</v>
      </c>
      <c r="K18" s="38">
        <f t="shared" si="36"/>
        <v>1076.5037002046922</v>
      </c>
      <c r="L18" s="39"/>
      <c r="M18" s="39"/>
      <c r="N18" s="718" t="s">
        <v>489</v>
      </c>
      <c r="O18" s="719">
        <f>45*521</f>
        <v>23445</v>
      </c>
      <c r="P18" s="37">
        <f t="shared" si="8"/>
        <v>2670.0692526950402</v>
      </c>
      <c r="Q18" s="37">
        <f t="shared" si="9"/>
        <v>410.62820779008001</v>
      </c>
      <c r="R18" s="37">
        <f t="shared" si="10"/>
        <v>222.50577105792001</v>
      </c>
      <c r="S18" s="37">
        <f t="shared" si="11"/>
        <v>3303.2032315430401</v>
      </c>
      <c r="T18" s="37">
        <f>IF(O18&gt;0,DP!$C$17*$T$7,0*1)</f>
        <v>30.200000000000003</v>
      </c>
      <c r="U18" s="37">
        <f t="shared" si="12"/>
        <v>2661.9355607039997</v>
      </c>
      <c r="V18" s="37">
        <f t="shared" si="13"/>
        <v>3910.9683199999999</v>
      </c>
      <c r="W18" s="37">
        <f t="shared" si="14"/>
        <v>2281.2678210560002</v>
      </c>
      <c r="X18" s="37">
        <f t="shared" si="14"/>
        <v>4562.5356421120005</v>
      </c>
      <c r="Y18" s="37">
        <f t="shared" si="15"/>
        <v>1434.6852855950222</v>
      </c>
      <c r="Z18" s="37">
        <f t="shared" si="16"/>
        <v>77.368499999999997</v>
      </c>
      <c r="AA18" s="37">
        <f t="shared" si="17"/>
        <v>492.34500000000003</v>
      </c>
      <c r="AB18" s="37">
        <f t="shared" si="18"/>
        <v>15451.306129467022</v>
      </c>
      <c r="AC18" s="38">
        <f t="shared" si="19"/>
        <v>42199.509361010059</v>
      </c>
      <c r="AE18" s="282"/>
      <c r="AF18" s="718" t="s">
        <v>442</v>
      </c>
      <c r="AG18" s="719">
        <v>862.06896551724139</v>
      </c>
      <c r="AH18" s="463">
        <f t="shared" si="37"/>
        <v>86.206896551724142</v>
      </c>
      <c r="AI18" s="463">
        <f t="shared" si="38"/>
        <v>14.741379310344829</v>
      </c>
      <c r="AJ18" s="463">
        <f t="shared" si="39"/>
        <v>17.241379310344829</v>
      </c>
      <c r="AK18" s="463">
        <f t="shared" si="40"/>
        <v>25.862068965517242</v>
      </c>
      <c r="AL18" s="463">
        <f t="shared" si="41"/>
        <v>144.05172413793105</v>
      </c>
      <c r="AM18" s="463">
        <f t="shared" si="42"/>
        <v>71.810344827586206</v>
      </c>
      <c r="AN18" s="463">
        <f t="shared" si="43"/>
        <v>71.810344827586206</v>
      </c>
      <c r="AO18" s="463">
        <f t="shared" si="44"/>
        <v>143.62068965517241</v>
      </c>
      <c r="AP18" s="464">
        <f t="shared" si="45"/>
        <v>1149.7413793103449</v>
      </c>
    </row>
    <row r="19" spans="2:42" ht="31" x14ac:dyDescent="0.35">
      <c r="B19" s="718" t="s">
        <v>443</v>
      </c>
      <c r="C19" s="719">
        <v>718.39080459770116</v>
      </c>
      <c r="D19" s="37">
        <f t="shared" si="29"/>
        <v>64.655172413793096</v>
      </c>
      <c r="E19" s="37">
        <f t="shared" si="30"/>
        <v>10.775862068965518</v>
      </c>
      <c r="F19" s="37">
        <f t="shared" si="31"/>
        <v>43.103448275862071</v>
      </c>
      <c r="G19" s="37">
        <f t="shared" si="32"/>
        <v>118.5344827586207</v>
      </c>
      <c r="H19" s="37">
        <f t="shared" si="33"/>
        <v>59.865900383141764</v>
      </c>
      <c r="I19" s="37">
        <f t="shared" si="34"/>
        <v>0.29522909777987716</v>
      </c>
      <c r="J19" s="37">
        <f t="shared" si="35"/>
        <v>60.161129480921637</v>
      </c>
      <c r="K19" s="38">
        <f t="shared" si="36"/>
        <v>897.08641683724352</v>
      </c>
      <c r="L19" s="39"/>
      <c r="M19" s="39"/>
      <c r="N19" s="718"/>
      <c r="O19" s="719"/>
      <c r="P19" s="37">
        <f t="shared" si="8"/>
        <v>0</v>
      </c>
      <c r="Q19" s="37">
        <f t="shared" si="9"/>
        <v>0</v>
      </c>
      <c r="R19" s="37">
        <f t="shared" si="10"/>
        <v>0</v>
      </c>
      <c r="S19" s="37">
        <f t="shared" si="11"/>
        <v>0</v>
      </c>
      <c r="T19" s="37">
        <f>IF(O19&gt;0,DP!$C$17*$T$7,0*1)</f>
        <v>0</v>
      </c>
      <c r="U19" s="37">
        <f t="shared" si="12"/>
        <v>0</v>
      </c>
      <c r="V19" s="37">
        <f t="shared" si="13"/>
        <v>0</v>
      </c>
      <c r="W19" s="37">
        <f t="shared" si="14"/>
        <v>0</v>
      </c>
      <c r="X19" s="37">
        <f t="shared" si="14"/>
        <v>0</v>
      </c>
      <c r="Y19" s="37">
        <f t="shared" si="15"/>
        <v>0</v>
      </c>
      <c r="Z19" s="37">
        <f t="shared" si="16"/>
        <v>0</v>
      </c>
      <c r="AA19" s="37">
        <f t="shared" si="17"/>
        <v>0</v>
      </c>
      <c r="AB19" s="37">
        <f t="shared" si="18"/>
        <v>0</v>
      </c>
      <c r="AC19" s="38">
        <f t="shared" si="19"/>
        <v>0</v>
      </c>
      <c r="AE19" s="282"/>
      <c r="AF19" s="718" t="s">
        <v>443</v>
      </c>
      <c r="AG19" s="719">
        <v>718.39080459770116</v>
      </c>
      <c r="AH19" s="463">
        <f t="shared" si="37"/>
        <v>71.839080459770116</v>
      </c>
      <c r="AI19" s="463">
        <f t="shared" si="38"/>
        <v>12.28448275862069</v>
      </c>
      <c r="AJ19" s="463">
        <f t="shared" si="39"/>
        <v>14.367816091954024</v>
      </c>
      <c r="AK19" s="463">
        <f t="shared" si="40"/>
        <v>21.551724137931036</v>
      </c>
      <c r="AL19" s="463">
        <f t="shared" si="41"/>
        <v>120.04310344827587</v>
      </c>
      <c r="AM19" s="463">
        <f t="shared" si="42"/>
        <v>59.841954022988503</v>
      </c>
      <c r="AN19" s="463">
        <f t="shared" si="43"/>
        <v>59.841954022988503</v>
      </c>
      <c r="AO19" s="463">
        <f t="shared" si="44"/>
        <v>119.68390804597701</v>
      </c>
      <c r="AP19" s="464">
        <f t="shared" si="45"/>
        <v>958.11781609195396</v>
      </c>
    </row>
    <row r="20" spans="2:42" ht="15.5" x14ac:dyDescent="0.35">
      <c r="B20" s="718" t="s">
        <v>444</v>
      </c>
      <c r="C20" s="719">
        <v>431.0344827586207</v>
      </c>
      <c r="D20" s="37">
        <f t="shared" si="29"/>
        <v>38.793103448275865</v>
      </c>
      <c r="E20" s="37">
        <f t="shared" si="30"/>
        <v>6.4655172413793105</v>
      </c>
      <c r="F20" s="37">
        <f t="shared" si="31"/>
        <v>25.862068965517242</v>
      </c>
      <c r="G20" s="37">
        <f t="shared" si="32"/>
        <v>71.120689655172413</v>
      </c>
      <c r="H20" s="37">
        <f t="shared" si="33"/>
        <v>35.919540229885058</v>
      </c>
      <c r="I20" s="37">
        <f t="shared" si="34"/>
        <v>0.1771374586679263</v>
      </c>
      <c r="J20" s="37">
        <f t="shared" si="35"/>
        <v>36.096677688552987</v>
      </c>
      <c r="K20" s="38">
        <f t="shared" si="36"/>
        <v>538.25185010234611</v>
      </c>
      <c r="L20" s="39"/>
      <c r="M20" s="39"/>
      <c r="N20" s="718"/>
      <c r="O20" s="719"/>
      <c r="P20" s="37">
        <f t="shared" si="8"/>
        <v>0</v>
      </c>
      <c r="Q20" s="37">
        <f t="shared" si="9"/>
        <v>0</v>
      </c>
      <c r="R20" s="37">
        <f t="shared" si="10"/>
        <v>0</v>
      </c>
      <c r="S20" s="37">
        <f t="shared" si="11"/>
        <v>0</v>
      </c>
      <c r="T20" s="37">
        <f>IF(O20&gt;0,DP!$C$17*$T$7,0*1)</f>
        <v>0</v>
      </c>
      <c r="U20" s="37">
        <f t="shared" si="12"/>
        <v>0</v>
      </c>
      <c r="V20" s="37">
        <f t="shared" si="13"/>
        <v>0</v>
      </c>
      <c r="W20" s="37">
        <f t="shared" si="14"/>
        <v>0</v>
      </c>
      <c r="X20" s="37">
        <f t="shared" si="14"/>
        <v>0</v>
      </c>
      <c r="Y20" s="37">
        <f t="shared" si="15"/>
        <v>0</v>
      </c>
      <c r="Z20" s="37">
        <f t="shared" si="16"/>
        <v>0</v>
      </c>
      <c r="AA20" s="37">
        <f t="shared" si="17"/>
        <v>0</v>
      </c>
      <c r="AB20" s="37">
        <f t="shared" si="18"/>
        <v>0</v>
      </c>
      <c r="AC20" s="38">
        <f t="shared" si="19"/>
        <v>0</v>
      </c>
      <c r="AE20" s="282"/>
      <c r="AF20" s="718" t="s">
        <v>444</v>
      </c>
      <c r="AG20" s="719">
        <v>431.0344827586207</v>
      </c>
      <c r="AH20" s="463">
        <f t="shared" si="37"/>
        <v>43.103448275862071</v>
      </c>
      <c r="AI20" s="463">
        <f t="shared" si="38"/>
        <v>7.3706896551724146</v>
      </c>
      <c r="AJ20" s="463">
        <f t="shared" si="39"/>
        <v>8.6206896551724146</v>
      </c>
      <c r="AK20" s="463">
        <f t="shared" si="40"/>
        <v>12.931034482758621</v>
      </c>
      <c r="AL20" s="463">
        <f t="shared" si="41"/>
        <v>72.025862068965523</v>
      </c>
      <c r="AM20" s="463">
        <f t="shared" si="42"/>
        <v>35.905172413793103</v>
      </c>
      <c r="AN20" s="463">
        <f t="shared" si="43"/>
        <v>35.905172413793103</v>
      </c>
      <c r="AO20" s="463">
        <f t="shared" si="44"/>
        <v>71.810344827586206</v>
      </c>
      <c r="AP20" s="464">
        <f t="shared" si="45"/>
        <v>574.87068965517244</v>
      </c>
    </row>
    <row r="21" spans="2:42" ht="15.5" x14ac:dyDescent="0.35">
      <c r="B21" s="718" t="s">
        <v>445</v>
      </c>
      <c r="C21" s="719">
        <v>431.0344827586207</v>
      </c>
      <c r="D21" s="37">
        <f t="shared" si="29"/>
        <v>38.793103448275865</v>
      </c>
      <c r="E21" s="37">
        <f t="shared" si="30"/>
        <v>6.4655172413793105</v>
      </c>
      <c r="F21" s="37">
        <f t="shared" si="31"/>
        <v>25.862068965517242</v>
      </c>
      <c r="G21" s="37">
        <f t="shared" si="32"/>
        <v>71.120689655172413</v>
      </c>
      <c r="H21" s="37">
        <f t="shared" si="33"/>
        <v>35.919540229885058</v>
      </c>
      <c r="I21" s="37">
        <f t="shared" si="34"/>
        <v>0.1771374586679263</v>
      </c>
      <c r="J21" s="37">
        <f t="shared" si="35"/>
        <v>36.096677688552987</v>
      </c>
      <c r="K21" s="38">
        <f t="shared" si="36"/>
        <v>538.25185010234611</v>
      </c>
      <c r="L21" s="39"/>
      <c r="M21" s="39"/>
      <c r="N21" s="718"/>
      <c r="O21" s="719"/>
      <c r="P21" s="37">
        <f t="shared" si="8"/>
        <v>0</v>
      </c>
      <c r="Q21" s="37">
        <f t="shared" si="9"/>
        <v>0</v>
      </c>
      <c r="R21" s="37">
        <f t="shared" si="10"/>
        <v>0</v>
      </c>
      <c r="S21" s="37">
        <f t="shared" si="11"/>
        <v>0</v>
      </c>
      <c r="T21" s="37">
        <f>IF(O21&gt;0,DP!$C$17*$T$7,0*1)</f>
        <v>0</v>
      </c>
      <c r="U21" s="37">
        <f t="shared" si="12"/>
        <v>0</v>
      </c>
      <c r="V21" s="37">
        <f t="shared" si="13"/>
        <v>0</v>
      </c>
      <c r="W21" s="37">
        <f t="shared" si="14"/>
        <v>0</v>
      </c>
      <c r="X21" s="37">
        <f t="shared" si="14"/>
        <v>0</v>
      </c>
      <c r="Y21" s="37">
        <f t="shared" si="15"/>
        <v>0</v>
      </c>
      <c r="Z21" s="37">
        <f t="shared" si="16"/>
        <v>0</v>
      </c>
      <c r="AA21" s="37">
        <f t="shared" si="17"/>
        <v>0</v>
      </c>
      <c r="AB21" s="37">
        <f t="shared" si="18"/>
        <v>0</v>
      </c>
      <c r="AC21" s="38">
        <f t="shared" si="19"/>
        <v>0</v>
      </c>
      <c r="AE21" s="282"/>
      <c r="AF21" s="718" t="s">
        <v>445</v>
      </c>
      <c r="AG21" s="719">
        <v>431.0344827586207</v>
      </c>
      <c r="AH21" s="463">
        <f t="shared" si="37"/>
        <v>43.103448275862071</v>
      </c>
      <c r="AI21" s="463">
        <f t="shared" si="38"/>
        <v>7.3706896551724146</v>
      </c>
      <c r="AJ21" s="463">
        <f t="shared" si="39"/>
        <v>8.6206896551724146</v>
      </c>
      <c r="AK21" s="463">
        <f t="shared" si="40"/>
        <v>12.931034482758621</v>
      </c>
      <c r="AL21" s="463">
        <f t="shared" si="41"/>
        <v>72.025862068965523</v>
      </c>
      <c r="AM21" s="463">
        <f t="shared" si="42"/>
        <v>35.905172413793103</v>
      </c>
      <c r="AN21" s="463">
        <f t="shared" si="43"/>
        <v>35.905172413793103</v>
      </c>
      <c r="AO21" s="463">
        <f t="shared" si="44"/>
        <v>71.810344827586206</v>
      </c>
      <c r="AP21" s="464">
        <f t="shared" si="45"/>
        <v>574.87068965517244</v>
      </c>
    </row>
    <row r="22" spans="2:42" ht="15.5" x14ac:dyDescent="0.35">
      <c r="B22" s="718" t="s">
        <v>446</v>
      </c>
      <c r="C22" s="719">
        <v>26580.459770114943</v>
      </c>
      <c r="D22" s="37">
        <f t="shared" si="29"/>
        <v>2392.2413793103447</v>
      </c>
      <c r="E22" s="37">
        <f t="shared" si="30"/>
        <v>398.70689655172413</v>
      </c>
      <c r="F22" s="37">
        <f t="shared" si="31"/>
        <v>1594.8275862068965</v>
      </c>
      <c r="G22" s="37">
        <f t="shared" si="32"/>
        <v>4385.7758620689656</v>
      </c>
      <c r="H22" s="37">
        <f t="shared" si="33"/>
        <v>2215.038314176245</v>
      </c>
      <c r="I22" s="37">
        <f t="shared" si="34"/>
        <v>10.923476617855455</v>
      </c>
      <c r="J22" s="37">
        <f t="shared" si="35"/>
        <v>2225.9617907941006</v>
      </c>
      <c r="K22" s="38">
        <f t="shared" si="36"/>
        <v>33192.19742297801</v>
      </c>
      <c r="L22" s="39"/>
      <c r="M22" s="39"/>
      <c r="N22" s="718"/>
      <c r="O22" s="719"/>
      <c r="P22" s="37">
        <f t="shared" si="8"/>
        <v>0</v>
      </c>
      <c r="Q22" s="37">
        <f t="shared" si="9"/>
        <v>0</v>
      </c>
      <c r="R22" s="37">
        <f t="shared" si="10"/>
        <v>0</v>
      </c>
      <c r="S22" s="37">
        <f>SUM(P22:R22)</f>
        <v>0</v>
      </c>
      <c r="T22" s="37">
        <f>IF(O22&gt;0,DP!$C$17*$T$7,0*1)</f>
        <v>0</v>
      </c>
      <c r="U22" s="37">
        <f t="shared" si="12"/>
        <v>0</v>
      </c>
      <c r="V22" s="37">
        <f t="shared" si="13"/>
        <v>0</v>
      </c>
      <c r="W22" s="37">
        <f t="shared" si="14"/>
        <v>0</v>
      </c>
      <c r="X22" s="37">
        <f t="shared" si="14"/>
        <v>0</v>
      </c>
      <c r="Y22" s="37">
        <f t="shared" si="15"/>
        <v>0</v>
      </c>
      <c r="Z22" s="37">
        <f t="shared" si="16"/>
        <v>0</v>
      </c>
      <c r="AA22" s="37">
        <f t="shared" si="17"/>
        <v>0</v>
      </c>
      <c r="AB22" s="37">
        <f>SUM(T22:AA22)</f>
        <v>0</v>
      </c>
      <c r="AC22" s="38">
        <f>O22+S22+AB22</f>
        <v>0</v>
      </c>
      <c r="AD22" s="282"/>
      <c r="AE22" s="282"/>
      <c r="AF22" s="718" t="s">
        <v>446</v>
      </c>
      <c r="AG22" s="719">
        <v>26580.459770114943</v>
      </c>
      <c r="AH22" s="463">
        <f t="shared" si="37"/>
        <v>2658.0459770114944</v>
      </c>
      <c r="AI22" s="463">
        <f t="shared" si="38"/>
        <v>454.52586206896552</v>
      </c>
      <c r="AJ22" s="463">
        <f t="shared" si="39"/>
        <v>531.60919540229884</v>
      </c>
      <c r="AK22" s="463">
        <f t="shared" si="40"/>
        <v>797.41379310344826</v>
      </c>
      <c r="AL22" s="463">
        <f t="shared" si="41"/>
        <v>4441.5948275862074</v>
      </c>
      <c r="AM22" s="463">
        <f t="shared" si="42"/>
        <v>2214.1522988505749</v>
      </c>
      <c r="AN22" s="463">
        <f t="shared" si="43"/>
        <v>2214.1522988505749</v>
      </c>
      <c r="AO22" s="463">
        <f t="shared" si="44"/>
        <v>4428.3045977011498</v>
      </c>
      <c r="AP22" s="464">
        <f t="shared" si="45"/>
        <v>35450.3591954023</v>
      </c>
    </row>
    <row r="23" spans="2:42" ht="15" x14ac:dyDescent="0.35">
      <c r="B23" s="40" t="s">
        <v>24</v>
      </c>
      <c r="C23" s="41">
        <f t="shared" ref="C23:I23" si="46">SUM(C9:C22)</f>
        <v>37715.517241379312</v>
      </c>
      <c r="D23" s="41">
        <f t="shared" si="46"/>
        <v>3394.3965517241377</v>
      </c>
      <c r="E23" s="41">
        <f t="shared" si="46"/>
        <v>565.73275862068965</v>
      </c>
      <c r="F23" s="41">
        <f t="shared" si="46"/>
        <v>2262.9310344827586</v>
      </c>
      <c r="G23" s="41">
        <f t="shared" si="46"/>
        <v>6223.0603448275861</v>
      </c>
      <c r="H23" s="41">
        <f t="shared" si="46"/>
        <v>3142.9597701149423</v>
      </c>
      <c r="I23" s="41">
        <f t="shared" si="46"/>
        <v>15.499527633443549</v>
      </c>
      <c r="J23" s="41">
        <f t="shared" ref="J23" si="47">SUM(H23:I23)</f>
        <v>3158.4592977483858</v>
      </c>
      <c r="K23" s="41">
        <f>C23+G23+J23</f>
        <v>47097.036883955283</v>
      </c>
      <c r="L23" s="39"/>
      <c r="M23" s="39"/>
      <c r="N23" s="40" t="s">
        <v>24</v>
      </c>
      <c r="O23" s="41">
        <f t="shared" ref="O23:AB23" si="48">SUM(O9:O22)</f>
        <v>32569</v>
      </c>
      <c r="P23" s="41">
        <f t="shared" si="48"/>
        <v>3735.31259856816</v>
      </c>
      <c r="Q23" s="41">
        <f t="shared" si="48"/>
        <v>574.45128673632007</v>
      </c>
      <c r="R23" s="41">
        <f t="shared" si="48"/>
        <v>311.27604988068003</v>
      </c>
      <c r="S23" s="41">
        <f>SUM(S9:S22)</f>
        <v>4621.0399351851602</v>
      </c>
      <c r="T23" s="41">
        <f t="shared" si="48"/>
        <v>271.79999999999995</v>
      </c>
      <c r="U23" s="41">
        <f t="shared" si="48"/>
        <v>3723.9339116159999</v>
      </c>
      <c r="V23" s="41">
        <f t="shared" si="48"/>
        <v>5471.2772799999993</v>
      </c>
      <c r="W23" s="41">
        <f t="shared" si="48"/>
        <v>3191.396037424</v>
      </c>
      <c r="X23" s="41">
        <f t="shared" si="48"/>
        <v>6382.7920748480001</v>
      </c>
      <c r="Y23" s="41">
        <f t="shared" si="48"/>
        <v>2007.063306262311</v>
      </c>
      <c r="Z23" s="41">
        <f t="shared" si="48"/>
        <v>107.4777</v>
      </c>
      <c r="AA23" s="41">
        <f t="shared" si="48"/>
        <v>683.94900000000007</v>
      </c>
      <c r="AB23" s="41">
        <f t="shared" si="48"/>
        <v>21839.689310150312</v>
      </c>
      <c r="AC23" s="41">
        <f>SUM(AC9:AC22)</f>
        <v>59029.729245335475</v>
      </c>
      <c r="AD23" s="282"/>
      <c r="AF23" s="40" t="s">
        <v>24</v>
      </c>
      <c r="AG23" s="41">
        <f t="shared" ref="AG23:AP23" si="49">SUM(AG9:AG22)</f>
        <v>37715.517241379312</v>
      </c>
      <c r="AH23" s="41">
        <f t="shared" si="49"/>
        <v>3771.5517241379312</v>
      </c>
      <c r="AI23" s="41">
        <f t="shared" si="49"/>
        <v>644.93534482758628</v>
      </c>
      <c r="AJ23" s="41">
        <f t="shared" si="49"/>
        <v>754.31034482758616</v>
      </c>
      <c r="AK23" s="41">
        <f t="shared" si="49"/>
        <v>1131.4655172413793</v>
      </c>
      <c r="AL23" s="41">
        <f t="shared" si="49"/>
        <v>6302.2629310344837</v>
      </c>
      <c r="AM23" s="41">
        <f t="shared" si="49"/>
        <v>3141.7025862068967</v>
      </c>
      <c r="AN23" s="41">
        <f t="shared" si="49"/>
        <v>3141.7025862068967</v>
      </c>
      <c r="AO23" s="41">
        <f t="shared" si="49"/>
        <v>6283.4051724137935</v>
      </c>
      <c r="AP23" s="41">
        <f t="shared" si="49"/>
        <v>50301.185344827587</v>
      </c>
    </row>
    <row r="24" spans="2:42" ht="20" customHeight="1" x14ac:dyDescent="0.35">
      <c r="B24" s="9" t="s">
        <v>31</v>
      </c>
      <c r="C24" s="18"/>
      <c r="D24" s="19"/>
      <c r="E24" s="19"/>
      <c r="F24" s="19"/>
      <c r="G24" s="19"/>
      <c r="H24" s="19"/>
      <c r="I24" s="19"/>
      <c r="J24" s="19"/>
      <c r="K24" s="20"/>
      <c r="N24" s="9" t="s">
        <v>31</v>
      </c>
      <c r="O24" s="18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20"/>
      <c r="AF24" s="9" t="s">
        <v>31</v>
      </c>
      <c r="AG24" s="459"/>
      <c r="AH24" s="460"/>
      <c r="AI24" s="460"/>
      <c r="AJ24" s="460"/>
      <c r="AK24" s="460"/>
      <c r="AL24" s="460"/>
      <c r="AM24" s="460"/>
      <c r="AN24" s="460"/>
      <c r="AO24" s="460"/>
      <c r="AP24" s="460"/>
    </row>
    <row r="25" spans="2:42" ht="15.5" x14ac:dyDescent="0.35">
      <c r="B25" s="718" t="s">
        <v>455</v>
      </c>
      <c r="C25" s="719">
        <v>3000</v>
      </c>
      <c r="D25" s="37">
        <f t="shared" ref="D25:D36" si="50">C25*$D$7</f>
        <v>270</v>
      </c>
      <c r="E25" s="37">
        <f t="shared" ref="E25:E36" si="51">C25*$E$7</f>
        <v>45</v>
      </c>
      <c r="F25" s="37">
        <f t="shared" ref="F25:F36" si="52">C25*$F$7</f>
        <v>180</v>
      </c>
      <c r="G25" s="37">
        <f>SUM(D25:F25)</f>
        <v>495</v>
      </c>
      <c r="H25" s="37">
        <f>C25*$H$7</f>
        <v>250</v>
      </c>
      <c r="I25" s="37">
        <f>C25*$I$7</f>
        <v>1.2328767123287669</v>
      </c>
      <c r="J25" s="37">
        <f>SUM(H25:I25)</f>
        <v>251.23287671232876</v>
      </c>
      <c r="K25" s="38">
        <f>C25+G25+J25</f>
        <v>3746.2328767123286</v>
      </c>
      <c r="L25" s="39"/>
      <c r="M25" s="39"/>
      <c r="N25" s="718" t="s">
        <v>496</v>
      </c>
      <c r="O25" s="719">
        <v>1500</v>
      </c>
      <c r="P25" s="37">
        <f t="shared" ref="P25:P33" si="53">($O25+$T25+$V25+$W25)*$P$7</f>
        <v>174.04494830604</v>
      </c>
      <c r="Q25" s="37">
        <f t="shared" ref="Q25" si="54">$Q$7*X25</f>
        <v>26.766259012079999</v>
      </c>
      <c r="R25" s="37">
        <f t="shared" ref="R25" si="55">($O25+T25+V25+W25)*$R$7</f>
        <v>14.503745692169998</v>
      </c>
      <c r="S25" s="37">
        <f t="shared" ref="S25" si="56">SUM(P25:R25)</f>
        <v>215.31495301029</v>
      </c>
      <c r="T25" s="37">
        <f>IF(O25&gt;0,DP!$C$17*$T$7,0*1)</f>
        <v>30.200000000000003</v>
      </c>
      <c r="U25" s="37">
        <f t="shared" ref="U25:U33" si="57">($O25+$T25+$V25)*$U$7</f>
        <v>173.51476430399998</v>
      </c>
      <c r="V25" s="37">
        <f t="shared" ref="V25:V33" si="58">($O25+$T25)*V$7</f>
        <v>254.93132</v>
      </c>
      <c r="W25" s="37">
        <f t="shared" ref="W25:X33" si="59">($O25+$T25+$V25)*W$7</f>
        <v>148.701438956</v>
      </c>
      <c r="X25" s="37">
        <f t="shared" si="59"/>
        <v>297.40287791200001</v>
      </c>
      <c r="Y25" s="37">
        <f t="shared" ref="Y25" si="60">((O25+T25+V25+W25+X25+U25)*(14/30))/12</f>
        <v>93.51807115668889</v>
      </c>
      <c r="Z25" s="37">
        <f t="shared" ref="Z25" si="61">$Z$7*O25</f>
        <v>4.95</v>
      </c>
      <c r="AA25" s="37">
        <f t="shared" ref="AA25" si="62">$AA$7*O25</f>
        <v>31.500000000000004</v>
      </c>
      <c r="AB25" s="37">
        <f t="shared" ref="AB25" si="63">SUM(T25:AA25)</f>
        <v>1034.7184723286889</v>
      </c>
      <c r="AC25" s="38">
        <f t="shared" ref="AC25" si="64">O25+S25+AB25</f>
        <v>2750.0334253389792</v>
      </c>
      <c r="AF25" s="718" t="s">
        <v>455</v>
      </c>
      <c r="AG25" s="719">
        <v>3000</v>
      </c>
      <c r="AH25" s="463">
        <f>AG25*$AH$7</f>
        <v>300</v>
      </c>
      <c r="AI25" s="463">
        <f>AG25*$AI$7</f>
        <v>51.300000000000004</v>
      </c>
      <c r="AJ25" s="463">
        <f>AG25*$AJ$7</f>
        <v>60</v>
      </c>
      <c r="AK25" s="463">
        <f>AG25*$AK$7</f>
        <v>90</v>
      </c>
      <c r="AL25" s="463">
        <f>SUM(AH25:AK25)</f>
        <v>501.3</v>
      </c>
      <c r="AM25" s="463">
        <f>AG25*$AM$7</f>
        <v>249.9</v>
      </c>
      <c r="AN25" s="463">
        <f>AG25*$AN$7</f>
        <v>249.9</v>
      </c>
      <c r="AO25" s="463">
        <f>SUM(AM25:AN25)</f>
        <v>499.8</v>
      </c>
      <c r="AP25" s="464">
        <f>AG25+AL25+AO25</f>
        <v>4001.1000000000004</v>
      </c>
    </row>
    <row r="26" spans="2:42" ht="15.5" x14ac:dyDescent="0.35">
      <c r="B26" s="35"/>
      <c r="C26" s="36"/>
      <c r="D26" s="37">
        <f t="shared" ref="D26:D32" si="65">C26*$D$7</f>
        <v>0</v>
      </c>
      <c r="E26" s="37">
        <f t="shared" ref="E26:E32" si="66">C26*$E$7</f>
        <v>0</v>
      </c>
      <c r="F26" s="37">
        <f t="shared" ref="F26:F32" si="67">C26*$F$7</f>
        <v>0</v>
      </c>
      <c r="G26" s="37">
        <f t="shared" ref="G26:G32" si="68">SUM(D26:F26)</f>
        <v>0</v>
      </c>
      <c r="H26" s="37">
        <f t="shared" ref="H26:H32" si="69">C26*$H$7</f>
        <v>0</v>
      </c>
      <c r="I26" s="37">
        <f t="shared" ref="I26:I32" si="70">C26*$I$7</f>
        <v>0</v>
      </c>
      <c r="J26" s="37">
        <f t="shared" ref="J26:J32" si="71">SUM(H26:I26)</f>
        <v>0</v>
      </c>
      <c r="K26" s="38">
        <f t="shared" ref="K26:K32" si="72">C26+G26+J26</f>
        <v>0</v>
      </c>
      <c r="L26" s="39"/>
      <c r="M26" s="39"/>
      <c r="N26" s="35"/>
      <c r="O26" s="36"/>
      <c r="P26" s="37">
        <f t="shared" si="53"/>
        <v>0</v>
      </c>
      <c r="Q26" s="37">
        <f t="shared" ref="Q26:Q33" si="73">$Q$7*X26</f>
        <v>0</v>
      </c>
      <c r="R26" s="37">
        <f t="shared" ref="R26:R33" si="74">($O26+T26+V26+W26)*$R$7</f>
        <v>0</v>
      </c>
      <c r="S26" s="37">
        <f t="shared" ref="S26:S33" si="75">SUM(P26:R26)</f>
        <v>0</v>
      </c>
      <c r="T26" s="37">
        <f>IF(O26&gt;0,DP!$C$17*$T$7,0*1)</f>
        <v>0</v>
      </c>
      <c r="U26" s="37">
        <f t="shared" si="57"/>
        <v>0</v>
      </c>
      <c r="V26" s="37">
        <f t="shared" si="58"/>
        <v>0</v>
      </c>
      <c r="W26" s="37">
        <f t="shared" si="59"/>
        <v>0</v>
      </c>
      <c r="X26" s="37">
        <f t="shared" si="59"/>
        <v>0</v>
      </c>
      <c r="Y26" s="37">
        <f t="shared" ref="Y26:Y33" si="76">((O26+T26+V26+W26+X26+U26)*(14/30))/12</f>
        <v>0</v>
      </c>
      <c r="Z26" s="37">
        <f t="shared" ref="Z26:Z33" si="77">$Z$7*O26</f>
        <v>0</v>
      </c>
      <c r="AA26" s="37">
        <f t="shared" ref="AA26:AA33" si="78">$AA$7*O26</f>
        <v>0</v>
      </c>
      <c r="AB26" s="37">
        <f t="shared" ref="AB26:AB33" si="79">SUM(T26:AA26)</f>
        <v>0</v>
      </c>
      <c r="AC26" s="38">
        <f t="shared" ref="AC26:AC33" si="80">O26+S26+AB26</f>
        <v>0</v>
      </c>
      <c r="AF26" s="35"/>
      <c r="AG26" s="36"/>
      <c r="AH26" s="463">
        <f t="shared" ref="AH26:AH33" si="81">AG26*$AH$7</f>
        <v>0</v>
      </c>
      <c r="AI26" s="463">
        <f t="shared" ref="AI26:AI33" si="82">AG26*$AI$7</f>
        <v>0</v>
      </c>
      <c r="AJ26" s="463">
        <f t="shared" ref="AJ26:AJ33" si="83">AG26*$AJ$7</f>
        <v>0</v>
      </c>
      <c r="AK26" s="463">
        <f t="shared" ref="AK26:AK33" si="84">AG26*$AK$7</f>
        <v>0</v>
      </c>
      <c r="AL26" s="463">
        <f t="shared" ref="AL26:AL33" si="85">SUM(AH26:AK26)</f>
        <v>0</v>
      </c>
      <c r="AM26" s="463">
        <f t="shared" ref="AM26:AM33" si="86">AG26*$AM$7</f>
        <v>0</v>
      </c>
      <c r="AN26" s="463">
        <f t="shared" ref="AN26:AN33" si="87">AG26*$AN$7</f>
        <v>0</v>
      </c>
      <c r="AO26" s="463">
        <f t="shared" ref="AO26:AO33" si="88">SUM(AM26:AN26)</f>
        <v>0</v>
      </c>
      <c r="AP26" s="464">
        <f t="shared" ref="AP26:AP33" si="89">AG26+AL26+AO26</f>
        <v>0</v>
      </c>
    </row>
    <row r="27" spans="2:42" ht="15.5" x14ac:dyDescent="0.35">
      <c r="B27" s="35"/>
      <c r="C27" s="36"/>
      <c r="D27" s="37">
        <f t="shared" si="65"/>
        <v>0</v>
      </c>
      <c r="E27" s="37">
        <f t="shared" si="66"/>
        <v>0</v>
      </c>
      <c r="F27" s="37">
        <f t="shared" si="67"/>
        <v>0</v>
      </c>
      <c r="G27" s="37">
        <f t="shared" si="68"/>
        <v>0</v>
      </c>
      <c r="H27" s="37">
        <f t="shared" si="69"/>
        <v>0</v>
      </c>
      <c r="I27" s="37">
        <f t="shared" si="70"/>
        <v>0</v>
      </c>
      <c r="J27" s="37">
        <f t="shared" si="71"/>
        <v>0</v>
      </c>
      <c r="K27" s="38">
        <f t="shared" si="72"/>
        <v>0</v>
      </c>
      <c r="L27" s="39"/>
      <c r="M27" s="39"/>
      <c r="N27" s="35"/>
      <c r="O27" s="36"/>
      <c r="P27" s="37">
        <f t="shared" si="53"/>
        <v>0</v>
      </c>
      <c r="Q27" s="37">
        <f t="shared" si="73"/>
        <v>0</v>
      </c>
      <c r="R27" s="37">
        <f t="shared" si="74"/>
        <v>0</v>
      </c>
      <c r="S27" s="37">
        <f t="shared" si="75"/>
        <v>0</v>
      </c>
      <c r="T27" s="37">
        <f>IF(O27&gt;0,DP!$C$17*$T$7,0*1)</f>
        <v>0</v>
      </c>
      <c r="U27" s="37">
        <f t="shared" si="57"/>
        <v>0</v>
      </c>
      <c r="V27" s="37">
        <f t="shared" si="58"/>
        <v>0</v>
      </c>
      <c r="W27" s="37">
        <f t="shared" si="59"/>
        <v>0</v>
      </c>
      <c r="X27" s="37">
        <f t="shared" si="59"/>
        <v>0</v>
      </c>
      <c r="Y27" s="37">
        <f t="shared" si="76"/>
        <v>0</v>
      </c>
      <c r="Z27" s="37">
        <f t="shared" si="77"/>
        <v>0</v>
      </c>
      <c r="AA27" s="37">
        <f t="shared" si="78"/>
        <v>0</v>
      </c>
      <c r="AB27" s="37">
        <f t="shared" si="79"/>
        <v>0</v>
      </c>
      <c r="AC27" s="38">
        <f t="shared" si="80"/>
        <v>0</v>
      </c>
      <c r="AF27" s="35"/>
      <c r="AG27" s="36"/>
      <c r="AH27" s="463">
        <f t="shared" si="81"/>
        <v>0</v>
      </c>
      <c r="AI27" s="463">
        <f t="shared" si="82"/>
        <v>0</v>
      </c>
      <c r="AJ27" s="463">
        <f t="shared" si="83"/>
        <v>0</v>
      </c>
      <c r="AK27" s="463">
        <f t="shared" si="84"/>
        <v>0</v>
      </c>
      <c r="AL27" s="463">
        <f t="shared" si="85"/>
        <v>0</v>
      </c>
      <c r="AM27" s="463">
        <f t="shared" si="86"/>
        <v>0</v>
      </c>
      <c r="AN27" s="463">
        <f t="shared" si="87"/>
        <v>0</v>
      </c>
      <c r="AO27" s="463">
        <f t="shared" si="88"/>
        <v>0</v>
      </c>
      <c r="AP27" s="464">
        <f t="shared" si="89"/>
        <v>0</v>
      </c>
    </row>
    <row r="28" spans="2:42" ht="15.5" x14ac:dyDescent="0.35">
      <c r="B28" s="35"/>
      <c r="C28" s="36"/>
      <c r="D28" s="37">
        <f t="shared" si="65"/>
        <v>0</v>
      </c>
      <c r="E28" s="37">
        <f t="shared" si="66"/>
        <v>0</v>
      </c>
      <c r="F28" s="37">
        <f t="shared" si="67"/>
        <v>0</v>
      </c>
      <c r="G28" s="37">
        <f t="shared" si="68"/>
        <v>0</v>
      </c>
      <c r="H28" s="37">
        <f t="shared" si="69"/>
        <v>0</v>
      </c>
      <c r="I28" s="37">
        <f t="shared" si="70"/>
        <v>0</v>
      </c>
      <c r="J28" s="37">
        <f t="shared" si="71"/>
        <v>0</v>
      </c>
      <c r="K28" s="38">
        <f t="shared" si="72"/>
        <v>0</v>
      </c>
      <c r="L28" s="39"/>
      <c r="M28" s="39"/>
      <c r="N28" s="35"/>
      <c r="O28" s="36"/>
      <c r="P28" s="37">
        <f t="shared" si="53"/>
        <v>0</v>
      </c>
      <c r="Q28" s="37">
        <f t="shared" si="73"/>
        <v>0</v>
      </c>
      <c r="R28" s="37">
        <f t="shared" si="74"/>
        <v>0</v>
      </c>
      <c r="S28" s="37">
        <f t="shared" si="75"/>
        <v>0</v>
      </c>
      <c r="T28" s="37">
        <f>IF(O28&gt;0,DP!$C$17*$T$7,0*1)</f>
        <v>0</v>
      </c>
      <c r="U28" s="37">
        <f t="shared" si="57"/>
        <v>0</v>
      </c>
      <c r="V28" s="37">
        <f t="shared" si="58"/>
        <v>0</v>
      </c>
      <c r="W28" s="37">
        <f>($O28+$T28+$V28)*W$7</f>
        <v>0</v>
      </c>
      <c r="X28" s="37">
        <f t="shared" si="59"/>
        <v>0</v>
      </c>
      <c r="Y28" s="37">
        <f t="shared" si="76"/>
        <v>0</v>
      </c>
      <c r="Z28" s="37">
        <f t="shared" si="77"/>
        <v>0</v>
      </c>
      <c r="AA28" s="37">
        <f t="shared" si="78"/>
        <v>0</v>
      </c>
      <c r="AB28" s="37">
        <f t="shared" si="79"/>
        <v>0</v>
      </c>
      <c r="AC28" s="38">
        <f t="shared" si="80"/>
        <v>0</v>
      </c>
      <c r="AF28" s="35"/>
      <c r="AG28" s="36"/>
      <c r="AH28" s="463">
        <f t="shared" si="81"/>
        <v>0</v>
      </c>
      <c r="AI28" s="463">
        <f t="shared" si="82"/>
        <v>0</v>
      </c>
      <c r="AJ28" s="463">
        <f t="shared" si="83"/>
        <v>0</v>
      </c>
      <c r="AK28" s="463">
        <f t="shared" si="84"/>
        <v>0</v>
      </c>
      <c r="AL28" s="463">
        <f t="shared" si="85"/>
        <v>0</v>
      </c>
      <c r="AM28" s="463">
        <f t="shared" si="86"/>
        <v>0</v>
      </c>
      <c r="AN28" s="463">
        <f t="shared" si="87"/>
        <v>0</v>
      </c>
      <c r="AO28" s="463">
        <f t="shared" si="88"/>
        <v>0</v>
      </c>
      <c r="AP28" s="464">
        <f t="shared" si="89"/>
        <v>0</v>
      </c>
    </row>
    <row r="29" spans="2:42" ht="15.5" x14ac:dyDescent="0.35">
      <c r="B29" s="35"/>
      <c r="C29" s="36"/>
      <c r="D29" s="37">
        <f t="shared" si="65"/>
        <v>0</v>
      </c>
      <c r="E29" s="37">
        <f t="shared" si="66"/>
        <v>0</v>
      </c>
      <c r="F29" s="37">
        <f t="shared" si="67"/>
        <v>0</v>
      </c>
      <c r="G29" s="37">
        <f t="shared" si="68"/>
        <v>0</v>
      </c>
      <c r="H29" s="37">
        <f t="shared" si="69"/>
        <v>0</v>
      </c>
      <c r="I29" s="37">
        <f t="shared" si="70"/>
        <v>0</v>
      </c>
      <c r="J29" s="37">
        <f t="shared" si="71"/>
        <v>0</v>
      </c>
      <c r="K29" s="38">
        <f t="shared" si="72"/>
        <v>0</v>
      </c>
      <c r="L29" s="39"/>
      <c r="M29" s="39"/>
      <c r="N29" s="35"/>
      <c r="O29" s="36"/>
      <c r="P29" s="37">
        <f t="shared" si="53"/>
        <v>0</v>
      </c>
      <c r="Q29" s="37">
        <f t="shared" si="73"/>
        <v>0</v>
      </c>
      <c r="R29" s="37">
        <f t="shared" si="74"/>
        <v>0</v>
      </c>
      <c r="S29" s="37">
        <f>SUM(P29:R29)</f>
        <v>0</v>
      </c>
      <c r="T29" s="37">
        <f>IF(O29&gt;0,DP!$C$17*$T$7,0*1)</f>
        <v>0</v>
      </c>
      <c r="U29" s="37">
        <f t="shared" si="57"/>
        <v>0</v>
      </c>
      <c r="V29" s="37">
        <f t="shared" si="58"/>
        <v>0</v>
      </c>
      <c r="W29" s="37">
        <f t="shared" si="59"/>
        <v>0</v>
      </c>
      <c r="X29" s="37">
        <f t="shared" si="59"/>
        <v>0</v>
      </c>
      <c r="Y29" s="37">
        <f t="shared" si="76"/>
        <v>0</v>
      </c>
      <c r="Z29" s="37">
        <f t="shared" si="77"/>
        <v>0</v>
      </c>
      <c r="AA29" s="37">
        <f t="shared" si="78"/>
        <v>0</v>
      </c>
      <c r="AB29" s="37">
        <f t="shared" si="79"/>
        <v>0</v>
      </c>
      <c r="AC29" s="38">
        <f t="shared" si="80"/>
        <v>0</v>
      </c>
      <c r="AF29" s="35"/>
      <c r="AG29" s="36"/>
      <c r="AH29" s="463">
        <f t="shared" si="81"/>
        <v>0</v>
      </c>
      <c r="AI29" s="463">
        <f t="shared" si="82"/>
        <v>0</v>
      </c>
      <c r="AJ29" s="463">
        <f t="shared" si="83"/>
        <v>0</v>
      </c>
      <c r="AK29" s="463">
        <f t="shared" si="84"/>
        <v>0</v>
      </c>
      <c r="AL29" s="463">
        <f t="shared" si="85"/>
        <v>0</v>
      </c>
      <c r="AM29" s="463">
        <f t="shared" si="86"/>
        <v>0</v>
      </c>
      <c r="AN29" s="463">
        <f t="shared" si="87"/>
        <v>0</v>
      </c>
      <c r="AO29" s="463">
        <f t="shared" si="88"/>
        <v>0</v>
      </c>
      <c r="AP29" s="464">
        <f t="shared" si="89"/>
        <v>0</v>
      </c>
    </row>
    <row r="30" spans="2:42" ht="15.5" x14ac:dyDescent="0.35">
      <c r="B30" s="35"/>
      <c r="C30" s="36"/>
      <c r="D30" s="37">
        <f t="shared" si="65"/>
        <v>0</v>
      </c>
      <c r="E30" s="37">
        <f t="shared" si="66"/>
        <v>0</v>
      </c>
      <c r="F30" s="37">
        <f t="shared" si="67"/>
        <v>0</v>
      </c>
      <c r="G30" s="37">
        <f t="shared" si="68"/>
        <v>0</v>
      </c>
      <c r="H30" s="37">
        <f t="shared" si="69"/>
        <v>0</v>
      </c>
      <c r="I30" s="37">
        <f t="shared" si="70"/>
        <v>0</v>
      </c>
      <c r="J30" s="37">
        <f t="shared" si="71"/>
        <v>0</v>
      </c>
      <c r="K30" s="38">
        <f t="shared" si="72"/>
        <v>0</v>
      </c>
      <c r="L30" s="39"/>
      <c r="M30" s="39"/>
      <c r="N30" s="35"/>
      <c r="O30" s="36"/>
      <c r="P30" s="37">
        <f t="shared" si="53"/>
        <v>0</v>
      </c>
      <c r="Q30" s="37">
        <f t="shared" si="73"/>
        <v>0</v>
      </c>
      <c r="R30" s="37">
        <f t="shared" si="74"/>
        <v>0</v>
      </c>
      <c r="S30" s="37">
        <f t="shared" si="75"/>
        <v>0</v>
      </c>
      <c r="T30" s="37">
        <f>IF(O30&gt;0,DP!$C$17*$T$7,0*1)</f>
        <v>0</v>
      </c>
      <c r="U30" s="37">
        <f t="shared" si="57"/>
        <v>0</v>
      </c>
      <c r="V30" s="37">
        <f t="shared" si="58"/>
        <v>0</v>
      </c>
      <c r="W30" s="37">
        <f t="shared" si="59"/>
        <v>0</v>
      </c>
      <c r="X30" s="37">
        <f t="shared" si="59"/>
        <v>0</v>
      </c>
      <c r="Y30" s="37">
        <f t="shared" si="76"/>
        <v>0</v>
      </c>
      <c r="Z30" s="37">
        <f t="shared" si="77"/>
        <v>0</v>
      </c>
      <c r="AA30" s="37">
        <f t="shared" si="78"/>
        <v>0</v>
      </c>
      <c r="AB30" s="37">
        <f t="shared" si="79"/>
        <v>0</v>
      </c>
      <c r="AC30" s="38">
        <f t="shared" si="80"/>
        <v>0</v>
      </c>
      <c r="AF30" s="35"/>
      <c r="AG30" s="36"/>
      <c r="AH30" s="463">
        <f t="shared" si="81"/>
        <v>0</v>
      </c>
      <c r="AI30" s="463">
        <f t="shared" si="82"/>
        <v>0</v>
      </c>
      <c r="AJ30" s="463">
        <f t="shared" si="83"/>
        <v>0</v>
      </c>
      <c r="AK30" s="463">
        <f t="shared" si="84"/>
        <v>0</v>
      </c>
      <c r="AL30" s="463">
        <f t="shared" si="85"/>
        <v>0</v>
      </c>
      <c r="AM30" s="463">
        <f t="shared" si="86"/>
        <v>0</v>
      </c>
      <c r="AN30" s="463">
        <f t="shared" si="87"/>
        <v>0</v>
      </c>
      <c r="AO30" s="463">
        <f t="shared" si="88"/>
        <v>0</v>
      </c>
      <c r="AP30" s="464">
        <f t="shared" si="89"/>
        <v>0</v>
      </c>
    </row>
    <row r="31" spans="2:42" ht="15.5" x14ac:dyDescent="0.35">
      <c r="B31" s="35"/>
      <c r="C31" s="36"/>
      <c r="D31" s="37">
        <f t="shared" si="65"/>
        <v>0</v>
      </c>
      <c r="E31" s="37">
        <f t="shared" si="66"/>
        <v>0</v>
      </c>
      <c r="F31" s="37">
        <f t="shared" si="67"/>
        <v>0</v>
      </c>
      <c r="G31" s="37">
        <f t="shared" si="68"/>
        <v>0</v>
      </c>
      <c r="H31" s="37">
        <f t="shared" si="69"/>
        <v>0</v>
      </c>
      <c r="I31" s="37">
        <f t="shared" si="70"/>
        <v>0</v>
      </c>
      <c r="J31" s="37">
        <f t="shared" si="71"/>
        <v>0</v>
      </c>
      <c r="K31" s="38">
        <f t="shared" si="72"/>
        <v>0</v>
      </c>
      <c r="L31" s="39"/>
      <c r="M31" s="39"/>
      <c r="N31" s="35"/>
      <c r="O31" s="36"/>
      <c r="P31" s="37">
        <f t="shared" si="53"/>
        <v>0</v>
      </c>
      <c r="Q31" s="37">
        <f t="shared" si="73"/>
        <v>0</v>
      </c>
      <c r="R31" s="37">
        <f t="shared" si="74"/>
        <v>0</v>
      </c>
      <c r="S31" s="37">
        <f t="shared" si="75"/>
        <v>0</v>
      </c>
      <c r="T31" s="37">
        <f>IF(O31&gt;0,DP!$C$17*$T$7,0*1)</f>
        <v>0</v>
      </c>
      <c r="U31" s="37">
        <f t="shared" si="57"/>
        <v>0</v>
      </c>
      <c r="V31" s="37">
        <f t="shared" si="58"/>
        <v>0</v>
      </c>
      <c r="W31" s="37">
        <f t="shared" si="59"/>
        <v>0</v>
      </c>
      <c r="X31" s="37">
        <f t="shared" si="59"/>
        <v>0</v>
      </c>
      <c r="Y31" s="37">
        <f t="shared" si="76"/>
        <v>0</v>
      </c>
      <c r="Z31" s="37">
        <f t="shared" si="77"/>
        <v>0</v>
      </c>
      <c r="AA31" s="37">
        <f t="shared" si="78"/>
        <v>0</v>
      </c>
      <c r="AB31" s="37">
        <f t="shared" si="79"/>
        <v>0</v>
      </c>
      <c r="AC31" s="38">
        <f t="shared" si="80"/>
        <v>0</v>
      </c>
      <c r="AF31" s="35"/>
      <c r="AG31" s="36"/>
      <c r="AH31" s="463">
        <f t="shared" si="81"/>
        <v>0</v>
      </c>
      <c r="AI31" s="463">
        <f t="shared" si="82"/>
        <v>0</v>
      </c>
      <c r="AJ31" s="463">
        <f t="shared" si="83"/>
        <v>0</v>
      </c>
      <c r="AK31" s="463">
        <f t="shared" si="84"/>
        <v>0</v>
      </c>
      <c r="AL31" s="463">
        <f t="shared" si="85"/>
        <v>0</v>
      </c>
      <c r="AM31" s="463">
        <f t="shared" si="86"/>
        <v>0</v>
      </c>
      <c r="AN31" s="463">
        <f t="shared" si="87"/>
        <v>0</v>
      </c>
      <c r="AO31" s="463">
        <f t="shared" si="88"/>
        <v>0</v>
      </c>
      <c r="AP31" s="464">
        <f t="shared" si="89"/>
        <v>0</v>
      </c>
    </row>
    <row r="32" spans="2:42" ht="15.5" x14ac:dyDescent="0.35">
      <c r="B32" s="35"/>
      <c r="C32" s="36"/>
      <c r="D32" s="37">
        <f t="shared" si="65"/>
        <v>0</v>
      </c>
      <c r="E32" s="37">
        <f t="shared" si="66"/>
        <v>0</v>
      </c>
      <c r="F32" s="37">
        <f t="shared" si="67"/>
        <v>0</v>
      </c>
      <c r="G32" s="37">
        <f t="shared" si="68"/>
        <v>0</v>
      </c>
      <c r="H32" s="37">
        <f t="shared" si="69"/>
        <v>0</v>
      </c>
      <c r="I32" s="37">
        <f t="shared" si="70"/>
        <v>0</v>
      </c>
      <c r="J32" s="37">
        <f t="shared" si="71"/>
        <v>0</v>
      </c>
      <c r="K32" s="38">
        <f t="shared" si="72"/>
        <v>0</v>
      </c>
      <c r="L32" s="39"/>
      <c r="M32" s="39"/>
      <c r="N32" s="35"/>
      <c r="O32" s="36"/>
      <c r="P32" s="37">
        <f t="shared" si="53"/>
        <v>0</v>
      </c>
      <c r="Q32" s="37">
        <f t="shared" si="73"/>
        <v>0</v>
      </c>
      <c r="R32" s="37">
        <f t="shared" si="74"/>
        <v>0</v>
      </c>
      <c r="S32" s="37">
        <f t="shared" si="75"/>
        <v>0</v>
      </c>
      <c r="T32" s="37">
        <f>IF(O32&gt;0,DP!$C$17*$T$7,0*1)</f>
        <v>0</v>
      </c>
      <c r="U32" s="37">
        <f t="shared" si="57"/>
        <v>0</v>
      </c>
      <c r="V32" s="37">
        <f t="shared" si="58"/>
        <v>0</v>
      </c>
      <c r="W32" s="37">
        <f t="shared" si="59"/>
        <v>0</v>
      </c>
      <c r="X32" s="37">
        <f t="shared" si="59"/>
        <v>0</v>
      </c>
      <c r="Y32" s="37">
        <f t="shared" si="76"/>
        <v>0</v>
      </c>
      <c r="Z32" s="37">
        <f t="shared" si="77"/>
        <v>0</v>
      </c>
      <c r="AA32" s="37">
        <f t="shared" si="78"/>
        <v>0</v>
      </c>
      <c r="AB32" s="37">
        <f t="shared" si="79"/>
        <v>0</v>
      </c>
      <c r="AC32" s="38">
        <f t="shared" si="80"/>
        <v>0</v>
      </c>
      <c r="AF32" s="35"/>
      <c r="AG32" s="36"/>
      <c r="AH32" s="463">
        <f t="shared" si="81"/>
        <v>0</v>
      </c>
      <c r="AI32" s="463">
        <f t="shared" si="82"/>
        <v>0</v>
      </c>
      <c r="AJ32" s="463">
        <f t="shared" si="83"/>
        <v>0</v>
      </c>
      <c r="AK32" s="463">
        <f t="shared" si="84"/>
        <v>0</v>
      </c>
      <c r="AL32" s="463">
        <f t="shared" si="85"/>
        <v>0</v>
      </c>
      <c r="AM32" s="463">
        <f t="shared" si="86"/>
        <v>0</v>
      </c>
      <c r="AN32" s="463">
        <f t="shared" si="87"/>
        <v>0</v>
      </c>
      <c r="AO32" s="463">
        <f t="shared" si="88"/>
        <v>0</v>
      </c>
      <c r="AP32" s="464">
        <f t="shared" si="89"/>
        <v>0</v>
      </c>
    </row>
    <row r="33" spans="2:42" ht="15.5" x14ac:dyDescent="0.35">
      <c r="B33" s="35"/>
      <c r="C33" s="36"/>
      <c r="D33" s="37">
        <f t="shared" ref="D33" si="90">C33*$D$7</f>
        <v>0</v>
      </c>
      <c r="E33" s="37">
        <f t="shared" ref="E33" si="91">C33*$E$7</f>
        <v>0</v>
      </c>
      <c r="F33" s="37">
        <f t="shared" ref="F33" si="92">C33*$F$7</f>
        <v>0</v>
      </c>
      <c r="G33" s="37">
        <f t="shared" ref="G33" si="93">SUM(D33:F33)</f>
        <v>0</v>
      </c>
      <c r="H33" s="37">
        <f t="shared" ref="H33" si="94">C33*$H$7</f>
        <v>0</v>
      </c>
      <c r="I33" s="37">
        <f t="shared" ref="I33" si="95">C33*$I$7</f>
        <v>0</v>
      </c>
      <c r="J33" s="37">
        <f t="shared" ref="J33" si="96">SUM(H33:I33)</f>
        <v>0</v>
      </c>
      <c r="K33" s="38">
        <f t="shared" ref="K33" si="97">C33+G33+J33</f>
        <v>0</v>
      </c>
      <c r="L33" s="39"/>
      <c r="M33" s="39"/>
      <c r="N33" s="35"/>
      <c r="O33" s="36"/>
      <c r="P33" s="37">
        <f t="shared" si="53"/>
        <v>0</v>
      </c>
      <c r="Q33" s="37">
        <f t="shared" si="73"/>
        <v>0</v>
      </c>
      <c r="R33" s="37">
        <f t="shared" si="74"/>
        <v>0</v>
      </c>
      <c r="S33" s="37">
        <f t="shared" si="75"/>
        <v>0</v>
      </c>
      <c r="T33" s="37">
        <f>IF(O33&gt;0,DP!$C$17*$T$7,0*1)</f>
        <v>0</v>
      </c>
      <c r="U33" s="37">
        <f t="shared" si="57"/>
        <v>0</v>
      </c>
      <c r="V33" s="37">
        <f t="shared" si="58"/>
        <v>0</v>
      </c>
      <c r="W33" s="37">
        <f t="shared" si="59"/>
        <v>0</v>
      </c>
      <c r="X33" s="37">
        <f t="shared" si="59"/>
        <v>0</v>
      </c>
      <c r="Y33" s="37">
        <f t="shared" si="76"/>
        <v>0</v>
      </c>
      <c r="Z33" s="37">
        <f t="shared" si="77"/>
        <v>0</v>
      </c>
      <c r="AA33" s="37">
        <f t="shared" si="78"/>
        <v>0</v>
      </c>
      <c r="AB33" s="37">
        <f t="shared" si="79"/>
        <v>0</v>
      </c>
      <c r="AC33" s="38">
        <f t="shared" si="80"/>
        <v>0</v>
      </c>
      <c r="AF33" s="35"/>
      <c r="AG33" s="36"/>
      <c r="AH33" s="463">
        <f t="shared" si="81"/>
        <v>0</v>
      </c>
      <c r="AI33" s="463">
        <f t="shared" si="82"/>
        <v>0</v>
      </c>
      <c r="AJ33" s="463">
        <f t="shared" si="83"/>
        <v>0</v>
      </c>
      <c r="AK33" s="463">
        <f t="shared" si="84"/>
        <v>0</v>
      </c>
      <c r="AL33" s="463">
        <f t="shared" si="85"/>
        <v>0</v>
      </c>
      <c r="AM33" s="463">
        <f t="shared" si="86"/>
        <v>0</v>
      </c>
      <c r="AN33" s="463">
        <f t="shared" si="87"/>
        <v>0</v>
      </c>
      <c r="AO33" s="463">
        <f t="shared" si="88"/>
        <v>0</v>
      </c>
      <c r="AP33" s="464">
        <f t="shared" si="89"/>
        <v>0</v>
      </c>
    </row>
    <row r="34" spans="2:42" ht="18" customHeight="1" x14ac:dyDescent="0.35">
      <c r="B34" s="40" t="s">
        <v>25</v>
      </c>
      <c r="C34" s="41">
        <f t="shared" ref="C34:J34" si="98">SUM(C25:C33)</f>
        <v>3000</v>
      </c>
      <c r="D34" s="41">
        <f t="shared" si="98"/>
        <v>270</v>
      </c>
      <c r="E34" s="41">
        <f t="shared" si="98"/>
        <v>45</v>
      </c>
      <c r="F34" s="41">
        <f t="shared" si="98"/>
        <v>180</v>
      </c>
      <c r="G34" s="41">
        <f t="shared" si="98"/>
        <v>495</v>
      </c>
      <c r="H34" s="41">
        <f t="shared" si="98"/>
        <v>250</v>
      </c>
      <c r="I34" s="41">
        <f t="shared" si="98"/>
        <v>1.2328767123287669</v>
      </c>
      <c r="J34" s="41">
        <f t="shared" si="98"/>
        <v>251.23287671232876</v>
      </c>
      <c r="K34" s="41">
        <f>SUM(K25:K33)</f>
        <v>3746.2328767123286</v>
      </c>
      <c r="L34" s="39"/>
      <c r="M34" s="39"/>
      <c r="N34" s="40" t="s">
        <v>25</v>
      </c>
      <c r="O34" s="41">
        <f>SUM(O25:O33)</f>
        <v>1500</v>
      </c>
      <c r="P34" s="41">
        <f t="shared" ref="P34:AC34" si="99">SUM(P25:P33)</f>
        <v>174.04494830604</v>
      </c>
      <c r="Q34" s="41">
        <f>SUM(Q25:Q33)</f>
        <v>26.766259012079999</v>
      </c>
      <c r="R34" s="41">
        <f t="shared" si="99"/>
        <v>14.503745692169998</v>
      </c>
      <c r="S34" s="41">
        <f t="shared" si="99"/>
        <v>215.31495301029</v>
      </c>
      <c r="T34" s="41">
        <f t="shared" si="99"/>
        <v>30.200000000000003</v>
      </c>
      <c r="U34" s="41">
        <f t="shared" si="99"/>
        <v>173.51476430399998</v>
      </c>
      <c r="V34" s="41">
        <f t="shared" si="99"/>
        <v>254.93132</v>
      </c>
      <c r="W34" s="41">
        <f t="shared" si="99"/>
        <v>148.701438956</v>
      </c>
      <c r="X34" s="41">
        <f t="shared" si="99"/>
        <v>297.40287791200001</v>
      </c>
      <c r="Y34" s="41">
        <f t="shared" si="99"/>
        <v>93.51807115668889</v>
      </c>
      <c r="Z34" s="41">
        <f t="shared" si="99"/>
        <v>4.95</v>
      </c>
      <c r="AA34" s="41">
        <f t="shared" si="99"/>
        <v>31.500000000000004</v>
      </c>
      <c r="AB34" s="41">
        <f t="shared" si="99"/>
        <v>1034.7184723286889</v>
      </c>
      <c r="AC34" s="41">
        <f t="shared" si="99"/>
        <v>2750.0334253389792</v>
      </c>
      <c r="AF34" s="40" t="s">
        <v>25</v>
      </c>
      <c r="AG34" s="41">
        <f>SUM(AG25:AG33)</f>
        <v>3000</v>
      </c>
      <c r="AH34" s="41">
        <f t="shared" ref="AH34:AP34" si="100">SUM(AH25:AH33)</f>
        <v>300</v>
      </c>
      <c r="AI34" s="41">
        <f t="shared" si="100"/>
        <v>51.300000000000004</v>
      </c>
      <c r="AJ34" s="41">
        <f t="shared" si="100"/>
        <v>60</v>
      </c>
      <c r="AK34" s="41">
        <f t="shared" si="100"/>
        <v>90</v>
      </c>
      <c r="AL34" s="41">
        <f t="shared" si="100"/>
        <v>501.3</v>
      </c>
      <c r="AM34" s="41">
        <f t="shared" si="100"/>
        <v>249.9</v>
      </c>
      <c r="AN34" s="41">
        <f t="shared" si="100"/>
        <v>249.9</v>
      </c>
      <c r="AO34" s="41">
        <f t="shared" si="100"/>
        <v>499.8</v>
      </c>
      <c r="AP34" s="41">
        <f t="shared" si="100"/>
        <v>4001.1000000000004</v>
      </c>
    </row>
    <row r="35" spans="2:42" ht="20" customHeight="1" x14ac:dyDescent="0.35">
      <c r="B35" s="13" t="s">
        <v>26</v>
      </c>
      <c r="C35" s="21"/>
      <c r="D35" s="19"/>
      <c r="E35" s="19"/>
      <c r="F35" s="19"/>
      <c r="G35" s="19"/>
      <c r="H35" s="19"/>
      <c r="I35" s="19"/>
      <c r="J35" s="22"/>
      <c r="K35" s="21"/>
      <c r="N35" s="13" t="s">
        <v>26</v>
      </c>
      <c r="O35" s="21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22"/>
      <c r="AC35" s="21"/>
      <c r="AF35" s="13" t="s">
        <v>26</v>
      </c>
      <c r="AG35" s="461"/>
      <c r="AH35" s="460"/>
      <c r="AI35" s="460"/>
      <c r="AJ35" s="460"/>
      <c r="AK35" s="460"/>
      <c r="AL35" s="460"/>
      <c r="AM35" s="460"/>
      <c r="AN35" s="460"/>
      <c r="AO35" s="460"/>
      <c r="AP35" s="462"/>
    </row>
    <row r="36" spans="2:42" ht="15.5" x14ac:dyDescent="0.35">
      <c r="B36" s="718" t="s">
        <v>456</v>
      </c>
      <c r="C36" s="719">
        <v>3000</v>
      </c>
      <c r="D36" s="37">
        <f t="shared" si="50"/>
        <v>270</v>
      </c>
      <c r="E36" s="37">
        <f t="shared" si="51"/>
        <v>45</v>
      </c>
      <c r="F36" s="37">
        <f t="shared" si="52"/>
        <v>180</v>
      </c>
      <c r="G36" s="37">
        <f t="shared" ref="G36" si="101">SUM(D36:F36)</f>
        <v>495</v>
      </c>
      <c r="H36" s="37">
        <f t="shared" ref="H36" si="102">C36*$H$7</f>
        <v>250</v>
      </c>
      <c r="I36" s="37">
        <f t="shared" ref="I36" si="103">C36*$I$7</f>
        <v>1.2328767123287669</v>
      </c>
      <c r="J36" s="42">
        <f>SUM(H36:I36)</f>
        <v>251.23287671232876</v>
      </c>
      <c r="K36" s="42">
        <f t="shared" ref="K36" si="104">C36+G36+J36</f>
        <v>3746.2328767123286</v>
      </c>
      <c r="L36" s="39"/>
      <c r="M36" s="39"/>
      <c r="N36" s="718" t="s">
        <v>456</v>
      </c>
      <c r="O36" s="719">
        <v>3000</v>
      </c>
      <c r="P36" s="37">
        <f t="shared" ref="P36:P44" si="105">($O36+$T36+$V36+$W36)*$P$7</f>
        <v>344.65494860603997</v>
      </c>
      <c r="Q36" s="37">
        <f t="shared" ref="Q36" si="106">$Q$7*X36</f>
        <v>53.004259612079991</v>
      </c>
      <c r="R36" s="37">
        <f t="shared" ref="R36" si="107">($O36+T36+V36+W36)*$R$7</f>
        <v>28.721245717169996</v>
      </c>
      <c r="S36" s="37">
        <f t="shared" ref="S36" si="108">SUM(P36:R36)</f>
        <v>426.38045393528995</v>
      </c>
      <c r="T36" s="37">
        <f>IF(O36&gt;0,DP!$C$17*$T$7,0*1)</f>
        <v>30.200000000000003</v>
      </c>
      <c r="U36" s="37">
        <f t="shared" ref="U36:U44" si="109">($O36+$T36+$V36)*$U$7</f>
        <v>343.60504430399993</v>
      </c>
      <c r="V36" s="37">
        <f t="shared" ref="V36:V44" si="110">($O36+$T36)*V$7</f>
        <v>504.83131999999995</v>
      </c>
      <c r="W36" s="37">
        <f t="shared" ref="W36:X44" si="111">($O36+$T36+$V36)*W$7</f>
        <v>294.46810895599998</v>
      </c>
      <c r="X36" s="37">
        <f t="shared" si="111"/>
        <v>588.93621791199996</v>
      </c>
      <c r="Y36" s="37">
        <f t="shared" ref="Y36" si="112">((O36+T36+V36+W36+X36+U36)*(14/30))/12</f>
        <v>185.19047132335558</v>
      </c>
      <c r="Z36" s="37">
        <f t="shared" ref="Z36" si="113">$Z$7*O36</f>
        <v>9.9</v>
      </c>
      <c r="AA36" s="37">
        <f t="shared" ref="AA36" si="114">$AA$7*O36</f>
        <v>63.000000000000007</v>
      </c>
      <c r="AB36" s="37">
        <f t="shared" ref="AB36" si="115">SUM(T36:AA36)</f>
        <v>2020.1311624953553</v>
      </c>
      <c r="AC36" s="38">
        <f t="shared" ref="AC36" si="116">O36+S36+AB36</f>
        <v>5446.5116164306455</v>
      </c>
      <c r="AF36" s="718" t="s">
        <v>456</v>
      </c>
      <c r="AG36" s="719">
        <v>3000</v>
      </c>
      <c r="AH36" s="463">
        <f>AG36*$AH$7</f>
        <v>300</v>
      </c>
      <c r="AI36" s="463">
        <f>AG36*$AI$7</f>
        <v>51.300000000000004</v>
      </c>
      <c r="AJ36" s="463">
        <f>AG36*$AJ$7</f>
        <v>60</v>
      </c>
      <c r="AK36" s="463">
        <f>AG36*$AK$7</f>
        <v>90</v>
      </c>
      <c r="AL36" s="463">
        <f>SUM(AH36:AK36)</f>
        <v>501.3</v>
      </c>
      <c r="AM36" s="463">
        <f>AG36*$AM$7</f>
        <v>249.9</v>
      </c>
      <c r="AN36" s="463">
        <f>AG36*$AN$7</f>
        <v>249.9</v>
      </c>
      <c r="AO36" s="463">
        <f>SUM(AM36:AN36)</f>
        <v>499.8</v>
      </c>
      <c r="AP36" s="464">
        <f>AG36+AL36+AO36</f>
        <v>4001.1000000000004</v>
      </c>
    </row>
    <row r="37" spans="2:42" ht="15.5" x14ac:dyDescent="0.35">
      <c r="B37" s="718" t="s">
        <v>457</v>
      </c>
      <c r="C37" s="719">
        <v>1500</v>
      </c>
      <c r="D37" s="37">
        <f t="shared" ref="D37:D44" si="117">C37*$D$7</f>
        <v>135</v>
      </c>
      <c r="E37" s="37">
        <f t="shared" ref="E37:E44" si="118">C37*$E$7</f>
        <v>22.5</v>
      </c>
      <c r="F37" s="37">
        <f t="shared" ref="F37:F44" si="119">C37*$F$7</f>
        <v>90</v>
      </c>
      <c r="G37" s="37">
        <f t="shared" ref="G37:G44" si="120">SUM(D37:F37)</f>
        <v>247.5</v>
      </c>
      <c r="H37" s="37">
        <f t="shared" ref="H37:H44" si="121">C37*$H$7</f>
        <v>125</v>
      </c>
      <c r="I37" s="37">
        <f t="shared" ref="I37:I44" si="122">C37*$I$7</f>
        <v>0.61643835616438347</v>
      </c>
      <c r="J37" s="42">
        <f t="shared" ref="J37:J44" si="123">SUM(H37:I37)</f>
        <v>125.61643835616438</v>
      </c>
      <c r="K37" s="42">
        <f t="shared" ref="K37:K44" si="124">C37+G37+J37</f>
        <v>1873.1164383561643</v>
      </c>
      <c r="L37" s="39"/>
      <c r="M37" s="39"/>
      <c r="N37" s="718" t="s">
        <v>457</v>
      </c>
      <c r="O37" s="719">
        <v>1500</v>
      </c>
      <c r="P37" s="37">
        <f t="shared" si="105"/>
        <v>174.04494830604</v>
      </c>
      <c r="Q37" s="37">
        <f t="shared" ref="Q37:Q44" si="125">$Q$7*X37</f>
        <v>26.766259012079999</v>
      </c>
      <c r="R37" s="37">
        <f t="shared" ref="R37:R44" si="126">($O37+T37+V37+W37)*$R$7</f>
        <v>14.503745692169998</v>
      </c>
      <c r="S37" s="37">
        <f t="shared" ref="S37:S44" si="127">SUM(P37:R37)</f>
        <v>215.31495301029</v>
      </c>
      <c r="T37" s="37">
        <f>IF(O37&gt;0,DP!$C$17*$T$7,0*1)</f>
        <v>30.200000000000003</v>
      </c>
      <c r="U37" s="37">
        <f t="shared" si="109"/>
        <v>173.51476430399998</v>
      </c>
      <c r="V37" s="37">
        <f t="shared" si="110"/>
        <v>254.93132</v>
      </c>
      <c r="W37" s="37">
        <f t="shared" si="111"/>
        <v>148.701438956</v>
      </c>
      <c r="X37" s="37">
        <f t="shared" si="111"/>
        <v>297.40287791200001</v>
      </c>
      <c r="Y37" s="37">
        <f t="shared" ref="Y37:Y44" si="128">((O37+T37+V37+W37+X37+U37)*(14/30))/12</f>
        <v>93.51807115668889</v>
      </c>
      <c r="Z37" s="37">
        <f t="shared" ref="Z37:Z44" si="129">$Z$7*O37</f>
        <v>4.95</v>
      </c>
      <c r="AA37" s="37">
        <f t="shared" ref="AA37:AA44" si="130">$AA$7*O37</f>
        <v>31.500000000000004</v>
      </c>
      <c r="AB37" s="37">
        <f t="shared" ref="AB37:AB44" si="131">SUM(T37:AA37)</f>
        <v>1034.7184723286889</v>
      </c>
      <c r="AC37" s="38">
        <f t="shared" ref="AC37:AC44" si="132">O37+S37+AB37</f>
        <v>2750.0334253389792</v>
      </c>
      <c r="AF37" s="718" t="s">
        <v>457</v>
      </c>
      <c r="AG37" s="719">
        <v>1500</v>
      </c>
      <c r="AH37" s="463">
        <f t="shared" ref="AH37:AH44" si="133">AG37*$AH$7</f>
        <v>150</v>
      </c>
      <c r="AI37" s="463">
        <f t="shared" ref="AI37:AI44" si="134">AG37*$AI$7</f>
        <v>25.650000000000002</v>
      </c>
      <c r="AJ37" s="463">
        <f t="shared" ref="AJ37:AJ44" si="135">AG37*$AJ$7</f>
        <v>30</v>
      </c>
      <c r="AK37" s="463">
        <f t="shared" ref="AK37:AK44" si="136">AG37*$AK$7</f>
        <v>45</v>
      </c>
      <c r="AL37" s="463">
        <f t="shared" ref="AL37:AL44" si="137">SUM(AH37:AK37)</f>
        <v>250.65</v>
      </c>
      <c r="AM37" s="463">
        <f t="shared" ref="AM37:AM44" si="138">AG37*$AM$7</f>
        <v>124.95</v>
      </c>
      <c r="AN37" s="463">
        <f t="shared" ref="AN37:AN44" si="139">AG37*$AN$7</f>
        <v>124.95</v>
      </c>
      <c r="AO37" s="463">
        <f t="shared" ref="AO37:AO44" si="140">SUM(AM37:AN37)</f>
        <v>249.9</v>
      </c>
      <c r="AP37" s="464">
        <f t="shared" ref="AP37:AP44" si="141">AG37+AL37+AO37</f>
        <v>2000.5500000000002</v>
      </c>
    </row>
    <row r="38" spans="2:42" ht="15.5" x14ac:dyDescent="0.35">
      <c r="B38" s="35"/>
      <c r="C38" s="36"/>
      <c r="D38" s="37">
        <f t="shared" si="117"/>
        <v>0</v>
      </c>
      <c r="E38" s="37">
        <f t="shared" si="118"/>
        <v>0</v>
      </c>
      <c r="F38" s="37">
        <f t="shared" si="119"/>
        <v>0</v>
      </c>
      <c r="G38" s="37">
        <f t="shared" si="120"/>
        <v>0</v>
      </c>
      <c r="H38" s="37">
        <f t="shared" si="121"/>
        <v>0</v>
      </c>
      <c r="I38" s="37">
        <f t="shared" si="122"/>
        <v>0</v>
      </c>
      <c r="J38" s="42">
        <f t="shared" si="123"/>
        <v>0</v>
      </c>
      <c r="K38" s="42">
        <f t="shared" si="124"/>
        <v>0</v>
      </c>
      <c r="L38" s="39"/>
      <c r="M38" s="39"/>
      <c r="N38" s="718" t="s">
        <v>494</v>
      </c>
      <c r="O38" s="719">
        <v>4500</v>
      </c>
      <c r="P38" s="37">
        <f t="shared" si="105"/>
        <v>515.26494890603999</v>
      </c>
      <c r="Q38" s="37">
        <f t="shared" si="125"/>
        <v>79.242260212079984</v>
      </c>
      <c r="R38" s="37">
        <f t="shared" si="126"/>
        <v>42.938745742169992</v>
      </c>
      <c r="S38" s="37">
        <f t="shared" si="127"/>
        <v>637.44595486028993</v>
      </c>
      <c r="T38" s="37">
        <f>IF(O38&gt;0,DP!$C$17*$T$7,0*1)</f>
        <v>30.200000000000003</v>
      </c>
      <c r="U38" s="37">
        <f t="shared" si="109"/>
        <v>513.695324304</v>
      </c>
      <c r="V38" s="37">
        <f t="shared" si="110"/>
        <v>754.73131999999998</v>
      </c>
      <c r="W38" s="37">
        <f t="shared" si="111"/>
        <v>440.23477895599996</v>
      </c>
      <c r="X38" s="37">
        <f t="shared" si="111"/>
        <v>880.46955791199991</v>
      </c>
      <c r="Y38" s="37">
        <f t="shared" si="128"/>
        <v>276.8628714900222</v>
      </c>
      <c r="Z38" s="37">
        <f t="shared" si="129"/>
        <v>14.85</v>
      </c>
      <c r="AA38" s="37">
        <f t="shared" si="130"/>
        <v>94.5</v>
      </c>
      <c r="AB38" s="37">
        <f t="shared" si="131"/>
        <v>3005.5438526620219</v>
      </c>
      <c r="AC38" s="38">
        <f>O38+S38+AB38</f>
        <v>8142.9898075223118</v>
      </c>
      <c r="AF38" s="35"/>
      <c r="AG38" s="36"/>
      <c r="AH38" s="463">
        <f t="shared" si="133"/>
        <v>0</v>
      </c>
      <c r="AI38" s="463">
        <f t="shared" si="134"/>
        <v>0</v>
      </c>
      <c r="AJ38" s="463">
        <f t="shared" si="135"/>
        <v>0</v>
      </c>
      <c r="AK38" s="463">
        <f t="shared" si="136"/>
        <v>0</v>
      </c>
      <c r="AL38" s="463">
        <f t="shared" si="137"/>
        <v>0</v>
      </c>
      <c r="AM38" s="463">
        <f t="shared" si="138"/>
        <v>0</v>
      </c>
      <c r="AN38" s="463">
        <f t="shared" si="139"/>
        <v>0</v>
      </c>
      <c r="AO38" s="463">
        <f t="shared" si="140"/>
        <v>0</v>
      </c>
      <c r="AP38" s="464">
        <f t="shared" si="141"/>
        <v>0</v>
      </c>
    </row>
    <row r="39" spans="2:42" ht="15.5" x14ac:dyDescent="0.35">
      <c r="B39" s="35"/>
      <c r="C39" s="36"/>
      <c r="D39" s="37">
        <f t="shared" si="117"/>
        <v>0</v>
      </c>
      <c r="E39" s="37">
        <f t="shared" si="118"/>
        <v>0</v>
      </c>
      <c r="F39" s="37">
        <f t="shared" si="119"/>
        <v>0</v>
      </c>
      <c r="G39" s="37">
        <f t="shared" si="120"/>
        <v>0</v>
      </c>
      <c r="H39" s="37">
        <f t="shared" si="121"/>
        <v>0</v>
      </c>
      <c r="I39" s="37">
        <f t="shared" si="122"/>
        <v>0</v>
      </c>
      <c r="J39" s="42">
        <f t="shared" si="123"/>
        <v>0</v>
      </c>
      <c r="K39" s="42">
        <f t="shared" si="124"/>
        <v>0</v>
      </c>
      <c r="L39" s="39"/>
      <c r="M39" s="39"/>
      <c r="N39" s="35"/>
      <c r="O39" s="36"/>
      <c r="P39" s="37">
        <f t="shared" si="105"/>
        <v>0</v>
      </c>
      <c r="Q39" s="37">
        <f t="shared" si="125"/>
        <v>0</v>
      </c>
      <c r="R39" s="37">
        <f t="shared" si="126"/>
        <v>0</v>
      </c>
      <c r="S39" s="37">
        <f t="shared" si="127"/>
        <v>0</v>
      </c>
      <c r="T39" s="37">
        <f>IF(O39&gt;0,DP!$C$17*$T$7,0*1)</f>
        <v>0</v>
      </c>
      <c r="U39" s="37">
        <f t="shared" si="109"/>
        <v>0</v>
      </c>
      <c r="V39" s="37">
        <f t="shared" si="110"/>
        <v>0</v>
      </c>
      <c r="W39" s="37">
        <f t="shared" si="111"/>
        <v>0</v>
      </c>
      <c r="X39" s="37">
        <f t="shared" si="111"/>
        <v>0</v>
      </c>
      <c r="Y39" s="37">
        <f t="shared" si="128"/>
        <v>0</v>
      </c>
      <c r="Z39" s="37">
        <f t="shared" si="129"/>
        <v>0</v>
      </c>
      <c r="AA39" s="37">
        <f t="shared" si="130"/>
        <v>0</v>
      </c>
      <c r="AB39" s="37">
        <f t="shared" si="131"/>
        <v>0</v>
      </c>
      <c r="AC39" s="38">
        <f t="shared" si="132"/>
        <v>0</v>
      </c>
      <c r="AF39" s="35"/>
      <c r="AG39" s="36"/>
      <c r="AH39" s="463">
        <f t="shared" si="133"/>
        <v>0</v>
      </c>
      <c r="AI39" s="463">
        <f t="shared" si="134"/>
        <v>0</v>
      </c>
      <c r="AJ39" s="463">
        <f t="shared" si="135"/>
        <v>0</v>
      </c>
      <c r="AK39" s="463">
        <f t="shared" si="136"/>
        <v>0</v>
      </c>
      <c r="AL39" s="463">
        <f t="shared" si="137"/>
        <v>0</v>
      </c>
      <c r="AM39" s="463">
        <f t="shared" si="138"/>
        <v>0</v>
      </c>
      <c r="AN39" s="463">
        <f t="shared" si="139"/>
        <v>0</v>
      </c>
      <c r="AO39" s="463">
        <f t="shared" si="140"/>
        <v>0</v>
      </c>
      <c r="AP39" s="464">
        <f t="shared" si="141"/>
        <v>0</v>
      </c>
    </row>
    <row r="40" spans="2:42" ht="15.5" x14ac:dyDescent="0.35">
      <c r="B40" s="35"/>
      <c r="C40" s="36"/>
      <c r="D40" s="37">
        <f t="shared" si="117"/>
        <v>0</v>
      </c>
      <c r="E40" s="37">
        <f t="shared" si="118"/>
        <v>0</v>
      </c>
      <c r="F40" s="37">
        <f t="shared" si="119"/>
        <v>0</v>
      </c>
      <c r="G40" s="37">
        <f t="shared" si="120"/>
        <v>0</v>
      </c>
      <c r="H40" s="37">
        <f t="shared" si="121"/>
        <v>0</v>
      </c>
      <c r="I40" s="37">
        <f t="shared" si="122"/>
        <v>0</v>
      </c>
      <c r="J40" s="42">
        <f t="shared" si="123"/>
        <v>0</v>
      </c>
      <c r="K40" s="42">
        <f t="shared" si="124"/>
        <v>0</v>
      </c>
      <c r="L40" s="39"/>
      <c r="M40" s="39"/>
      <c r="N40" s="35"/>
      <c r="O40" s="36"/>
      <c r="P40" s="37">
        <f t="shared" si="105"/>
        <v>0</v>
      </c>
      <c r="Q40" s="37">
        <f t="shared" si="125"/>
        <v>0</v>
      </c>
      <c r="R40" s="37">
        <f t="shared" si="126"/>
        <v>0</v>
      </c>
      <c r="S40" s="37">
        <f t="shared" si="127"/>
        <v>0</v>
      </c>
      <c r="T40" s="37">
        <f>IF(O40&gt;0,DP!$C$17*$T$7,0*1)</f>
        <v>0</v>
      </c>
      <c r="U40" s="37">
        <f t="shared" si="109"/>
        <v>0</v>
      </c>
      <c r="V40" s="37">
        <f t="shared" si="110"/>
        <v>0</v>
      </c>
      <c r="W40" s="37">
        <f t="shared" si="111"/>
        <v>0</v>
      </c>
      <c r="X40" s="37">
        <f t="shared" si="111"/>
        <v>0</v>
      </c>
      <c r="Y40" s="37">
        <f t="shared" si="128"/>
        <v>0</v>
      </c>
      <c r="Z40" s="37">
        <f t="shared" si="129"/>
        <v>0</v>
      </c>
      <c r="AA40" s="37">
        <f t="shared" si="130"/>
        <v>0</v>
      </c>
      <c r="AB40" s="37">
        <f t="shared" si="131"/>
        <v>0</v>
      </c>
      <c r="AC40" s="38">
        <f t="shared" si="132"/>
        <v>0</v>
      </c>
      <c r="AF40" s="35"/>
      <c r="AG40" s="36"/>
      <c r="AH40" s="463">
        <f t="shared" si="133"/>
        <v>0</v>
      </c>
      <c r="AI40" s="463">
        <f t="shared" si="134"/>
        <v>0</v>
      </c>
      <c r="AJ40" s="463">
        <f t="shared" si="135"/>
        <v>0</v>
      </c>
      <c r="AK40" s="463">
        <f t="shared" si="136"/>
        <v>0</v>
      </c>
      <c r="AL40" s="463">
        <f t="shared" si="137"/>
        <v>0</v>
      </c>
      <c r="AM40" s="463">
        <f t="shared" si="138"/>
        <v>0</v>
      </c>
      <c r="AN40" s="463">
        <f t="shared" si="139"/>
        <v>0</v>
      </c>
      <c r="AO40" s="463">
        <f t="shared" si="140"/>
        <v>0</v>
      </c>
      <c r="AP40" s="464">
        <f t="shared" si="141"/>
        <v>0</v>
      </c>
    </row>
    <row r="41" spans="2:42" ht="15.5" x14ac:dyDescent="0.35">
      <c r="B41" s="35"/>
      <c r="C41" s="36"/>
      <c r="D41" s="37">
        <f t="shared" si="117"/>
        <v>0</v>
      </c>
      <c r="E41" s="37">
        <f t="shared" si="118"/>
        <v>0</v>
      </c>
      <c r="F41" s="37">
        <f t="shared" si="119"/>
        <v>0</v>
      </c>
      <c r="G41" s="37">
        <f t="shared" si="120"/>
        <v>0</v>
      </c>
      <c r="H41" s="37">
        <f t="shared" si="121"/>
        <v>0</v>
      </c>
      <c r="I41" s="37">
        <f t="shared" si="122"/>
        <v>0</v>
      </c>
      <c r="J41" s="42">
        <f t="shared" si="123"/>
        <v>0</v>
      </c>
      <c r="K41" s="42">
        <f t="shared" si="124"/>
        <v>0</v>
      </c>
      <c r="L41" s="39"/>
      <c r="M41" s="39"/>
      <c r="N41" s="35"/>
      <c r="O41" s="36"/>
      <c r="P41" s="37">
        <f t="shared" si="105"/>
        <v>0</v>
      </c>
      <c r="Q41" s="37">
        <f t="shared" si="125"/>
        <v>0</v>
      </c>
      <c r="R41" s="37">
        <f t="shared" si="126"/>
        <v>0</v>
      </c>
      <c r="S41" s="37">
        <f t="shared" si="127"/>
        <v>0</v>
      </c>
      <c r="T41" s="37">
        <f>IF(O41&gt;0,DP!$C$17*$T$7,0*1)</f>
        <v>0</v>
      </c>
      <c r="U41" s="37">
        <f t="shared" si="109"/>
        <v>0</v>
      </c>
      <c r="V41" s="37">
        <f t="shared" si="110"/>
        <v>0</v>
      </c>
      <c r="W41" s="37">
        <f t="shared" si="111"/>
        <v>0</v>
      </c>
      <c r="X41" s="37">
        <f t="shared" si="111"/>
        <v>0</v>
      </c>
      <c r="Y41" s="37">
        <f t="shared" si="128"/>
        <v>0</v>
      </c>
      <c r="Z41" s="37">
        <f t="shared" si="129"/>
        <v>0</v>
      </c>
      <c r="AA41" s="37">
        <f t="shared" si="130"/>
        <v>0</v>
      </c>
      <c r="AB41" s="37">
        <f t="shared" si="131"/>
        <v>0</v>
      </c>
      <c r="AC41" s="38">
        <f t="shared" si="132"/>
        <v>0</v>
      </c>
      <c r="AF41" s="35"/>
      <c r="AG41" s="36"/>
      <c r="AH41" s="463">
        <f t="shared" si="133"/>
        <v>0</v>
      </c>
      <c r="AI41" s="463">
        <f t="shared" si="134"/>
        <v>0</v>
      </c>
      <c r="AJ41" s="463">
        <f t="shared" si="135"/>
        <v>0</v>
      </c>
      <c r="AK41" s="463">
        <f t="shared" si="136"/>
        <v>0</v>
      </c>
      <c r="AL41" s="463">
        <f t="shared" si="137"/>
        <v>0</v>
      </c>
      <c r="AM41" s="463">
        <f t="shared" si="138"/>
        <v>0</v>
      </c>
      <c r="AN41" s="463">
        <f t="shared" si="139"/>
        <v>0</v>
      </c>
      <c r="AO41" s="463">
        <f t="shared" si="140"/>
        <v>0</v>
      </c>
      <c r="AP41" s="464">
        <f t="shared" si="141"/>
        <v>0</v>
      </c>
    </row>
    <row r="42" spans="2:42" ht="15.5" x14ac:dyDescent="0.35">
      <c r="B42" s="35"/>
      <c r="C42" s="36"/>
      <c r="D42" s="37">
        <f t="shared" si="117"/>
        <v>0</v>
      </c>
      <c r="E42" s="37">
        <f t="shared" si="118"/>
        <v>0</v>
      </c>
      <c r="F42" s="37">
        <f t="shared" si="119"/>
        <v>0</v>
      </c>
      <c r="G42" s="37">
        <f t="shared" si="120"/>
        <v>0</v>
      </c>
      <c r="H42" s="37">
        <f t="shared" si="121"/>
        <v>0</v>
      </c>
      <c r="I42" s="37">
        <f t="shared" si="122"/>
        <v>0</v>
      </c>
      <c r="J42" s="42">
        <f t="shared" si="123"/>
        <v>0</v>
      </c>
      <c r="K42" s="42">
        <f t="shared" si="124"/>
        <v>0</v>
      </c>
      <c r="L42" s="39"/>
      <c r="M42" s="39"/>
      <c r="N42" s="35"/>
      <c r="O42" s="36"/>
      <c r="P42" s="37">
        <f t="shared" si="105"/>
        <v>0</v>
      </c>
      <c r="Q42" s="37">
        <f t="shared" si="125"/>
        <v>0</v>
      </c>
      <c r="R42" s="37">
        <f t="shared" si="126"/>
        <v>0</v>
      </c>
      <c r="S42" s="37">
        <f t="shared" si="127"/>
        <v>0</v>
      </c>
      <c r="T42" s="37">
        <f>IF(O42&gt;0,DP!$C$17*$T$7,0*1)</f>
        <v>0</v>
      </c>
      <c r="U42" s="37">
        <f t="shared" si="109"/>
        <v>0</v>
      </c>
      <c r="V42" s="37">
        <f t="shared" si="110"/>
        <v>0</v>
      </c>
      <c r="W42" s="37">
        <f t="shared" si="111"/>
        <v>0</v>
      </c>
      <c r="X42" s="37">
        <f t="shared" si="111"/>
        <v>0</v>
      </c>
      <c r="Y42" s="37">
        <f t="shared" si="128"/>
        <v>0</v>
      </c>
      <c r="Z42" s="37">
        <f t="shared" si="129"/>
        <v>0</v>
      </c>
      <c r="AA42" s="37">
        <f t="shared" si="130"/>
        <v>0</v>
      </c>
      <c r="AB42" s="37">
        <f t="shared" si="131"/>
        <v>0</v>
      </c>
      <c r="AC42" s="38">
        <f t="shared" si="132"/>
        <v>0</v>
      </c>
      <c r="AF42" s="35"/>
      <c r="AG42" s="36"/>
      <c r="AH42" s="463">
        <f t="shared" si="133"/>
        <v>0</v>
      </c>
      <c r="AI42" s="463">
        <f t="shared" si="134"/>
        <v>0</v>
      </c>
      <c r="AJ42" s="463">
        <f t="shared" si="135"/>
        <v>0</v>
      </c>
      <c r="AK42" s="463">
        <f t="shared" si="136"/>
        <v>0</v>
      </c>
      <c r="AL42" s="463">
        <f t="shared" si="137"/>
        <v>0</v>
      </c>
      <c r="AM42" s="463">
        <f t="shared" si="138"/>
        <v>0</v>
      </c>
      <c r="AN42" s="463">
        <f t="shared" si="139"/>
        <v>0</v>
      </c>
      <c r="AO42" s="463">
        <f t="shared" si="140"/>
        <v>0</v>
      </c>
      <c r="AP42" s="464">
        <f t="shared" si="141"/>
        <v>0</v>
      </c>
    </row>
    <row r="43" spans="2:42" ht="15.5" x14ac:dyDescent="0.35">
      <c r="B43" s="35"/>
      <c r="C43" s="36"/>
      <c r="D43" s="37">
        <f t="shared" si="117"/>
        <v>0</v>
      </c>
      <c r="E43" s="37">
        <f t="shared" si="118"/>
        <v>0</v>
      </c>
      <c r="F43" s="37">
        <f t="shared" si="119"/>
        <v>0</v>
      </c>
      <c r="G43" s="37">
        <f t="shared" si="120"/>
        <v>0</v>
      </c>
      <c r="H43" s="37">
        <f t="shared" si="121"/>
        <v>0</v>
      </c>
      <c r="I43" s="37">
        <f t="shared" si="122"/>
        <v>0</v>
      </c>
      <c r="J43" s="42">
        <f t="shared" si="123"/>
        <v>0</v>
      </c>
      <c r="K43" s="42">
        <f t="shared" si="124"/>
        <v>0</v>
      </c>
      <c r="L43" s="39"/>
      <c r="M43" s="39"/>
      <c r="N43" s="35"/>
      <c r="O43" s="36"/>
      <c r="P43" s="37">
        <f t="shared" si="105"/>
        <v>0</v>
      </c>
      <c r="Q43" s="37">
        <f t="shared" si="125"/>
        <v>0</v>
      </c>
      <c r="R43" s="37">
        <f t="shared" si="126"/>
        <v>0</v>
      </c>
      <c r="S43" s="37">
        <f t="shared" si="127"/>
        <v>0</v>
      </c>
      <c r="T43" s="37">
        <f>IF(O43&gt;0,DP!$C$17*$T$7,0*1)</f>
        <v>0</v>
      </c>
      <c r="U43" s="37">
        <f t="shared" si="109"/>
        <v>0</v>
      </c>
      <c r="V43" s="37">
        <f t="shared" si="110"/>
        <v>0</v>
      </c>
      <c r="W43" s="37">
        <f t="shared" si="111"/>
        <v>0</v>
      </c>
      <c r="X43" s="37">
        <f t="shared" si="111"/>
        <v>0</v>
      </c>
      <c r="Y43" s="37">
        <f t="shared" si="128"/>
        <v>0</v>
      </c>
      <c r="Z43" s="37">
        <f t="shared" si="129"/>
        <v>0</v>
      </c>
      <c r="AA43" s="37">
        <f t="shared" si="130"/>
        <v>0</v>
      </c>
      <c r="AB43" s="37">
        <f t="shared" si="131"/>
        <v>0</v>
      </c>
      <c r="AC43" s="38">
        <f t="shared" si="132"/>
        <v>0</v>
      </c>
      <c r="AF43" s="35"/>
      <c r="AG43" s="36"/>
      <c r="AH43" s="463">
        <f t="shared" si="133"/>
        <v>0</v>
      </c>
      <c r="AI43" s="463">
        <f t="shared" si="134"/>
        <v>0</v>
      </c>
      <c r="AJ43" s="463">
        <f t="shared" si="135"/>
        <v>0</v>
      </c>
      <c r="AK43" s="463">
        <f t="shared" si="136"/>
        <v>0</v>
      </c>
      <c r="AL43" s="463">
        <f t="shared" si="137"/>
        <v>0</v>
      </c>
      <c r="AM43" s="463">
        <f t="shared" si="138"/>
        <v>0</v>
      </c>
      <c r="AN43" s="463">
        <f t="shared" si="139"/>
        <v>0</v>
      </c>
      <c r="AO43" s="463">
        <f t="shared" si="140"/>
        <v>0</v>
      </c>
      <c r="AP43" s="464">
        <f t="shared" si="141"/>
        <v>0</v>
      </c>
    </row>
    <row r="44" spans="2:42" ht="15.5" x14ac:dyDescent="0.35">
      <c r="B44" s="35"/>
      <c r="C44" s="36"/>
      <c r="D44" s="37">
        <f t="shared" si="117"/>
        <v>0</v>
      </c>
      <c r="E44" s="37">
        <f t="shared" si="118"/>
        <v>0</v>
      </c>
      <c r="F44" s="37">
        <f t="shared" si="119"/>
        <v>0</v>
      </c>
      <c r="G44" s="37">
        <f t="shared" si="120"/>
        <v>0</v>
      </c>
      <c r="H44" s="37">
        <f t="shared" si="121"/>
        <v>0</v>
      </c>
      <c r="I44" s="37">
        <f t="shared" si="122"/>
        <v>0</v>
      </c>
      <c r="J44" s="42">
        <f t="shared" si="123"/>
        <v>0</v>
      </c>
      <c r="K44" s="42">
        <f t="shared" si="124"/>
        <v>0</v>
      </c>
      <c r="L44" s="39"/>
      <c r="M44" s="39"/>
      <c r="N44" s="35"/>
      <c r="O44" s="36"/>
      <c r="P44" s="37">
        <f t="shared" si="105"/>
        <v>0</v>
      </c>
      <c r="Q44" s="37">
        <f t="shared" si="125"/>
        <v>0</v>
      </c>
      <c r="R44" s="37">
        <f t="shared" si="126"/>
        <v>0</v>
      </c>
      <c r="S44" s="37">
        <f t="shared" si="127"/>
        <v>0</v>
      </c>
      <c r="T44" s="37">
        <f>IF(O44&gt;0,DP!$C$17*$T$7,0*1)</f>
        <v>0</v>
      </c>
      <c r="U44" s="37">
        <f t="shared" si="109"/>
        <v>0</v>
      </c>
      <c r="V44" s="37">
        <f t="shared" si="110"/>
        <v>0</v>
      </c>
      <c r="W44" s="37">
        <f t="shared" si="111"/>
        <v>0</v>
      </c>
      <c r="X44" s="37">
        <f t="shared" si="111"/>
        <v>0</v>
      </c>
      <c r="Y44" s="37">
        <f t="shared" si="128"/>
        <v>0</v>
      </c>
      <c r="Z44" s="37">
        <f t="shared" si="129"/>
        <v>0</v>
      </c>
      <c r="AA44" s="37">
        <f t="shared" si="130"/>
        <v>0</v>
      </c>
      <c r="AB44" s="37">
        <f t="shared" si="131"/>
        <v>0</v>
      </c>
      <c r="AC44" s="38">
        <f t="shared" si="132"/>
        <v>0</v>
      </c>
      <c r="AF44" s="35"/>
      <c r="AG44" s="36"/>
      <c r="AH44" s="463">
        <f t="shared" si="133"/>
        <v>0</v>
      </c>
      <c r="AI44" s="463">
        <f t="shared" si="134"/>
        <v>0</v>
      </c>
      <c r="AJ44" s="463">
        <f t="shared" si="135"/>
        <v>0</v>
      </c>
      <c r="AK44" s="463">
        <f t="shared" si="136"/>
        <v>0</v>
      </c>
      <c r="AL44" s="463">
        <f t="shared" si="137"/>
        <v>0</v>
      </c>
      <c r="AM44" s="463">
        <f t="shared" si="138"/>
        <v>0</v>
      </c>
      <c r="AN44" s="463">
        <f t="shared" si="139"/>
        <v>0</v>
      </c>
      <c r="AO44" s="463">
        <f t="shared" si="140"/>
        <v>0</v>
      </c>
      <c r="AP44" s="464">
        <f t="shared" si="141"/>
        <v>0</v>
      </c>
    </row>
    <row r="45" spans="2:42" ht="15.5" thickBot="1" x14ac:dyDescent="0.4">
      <c r="B45" s="23" t="s">
        <v>32</v>
      </c>
      <c r="C45" s="43">
        <f>SUM(C36:C44)</f>
        <v>4500</v>
      </c>
      <c r="D45" s="43">
        <f t="shared" ref="D45:K45" si="142">SUM(D36:D44)</f>
        <v>405</v>
      </c>
      <c r="E45" s="43">
        <f t="shared" si="142"/>
        <v>67.5</v>
      </c>
      <c r="F45" s="43">
        <f t="shared" si="142"/>
        <v>270</v>
      </c>
      <c r="G45" s="43">
        <f>SUM(G36:G44)</f>
        <v>742.5</v>
      </c>
      <c r="H45" s="43">
        <f t="shared" si="142"/>
        <v>375</v>
      </c>
      <c r="I45" s="43">
        <f t="shared" si="142"/>
        <v>1.8493150684931505</v>
      </c>
      <c r="J45" s="43">
        <f t="shared" si="142"/>
        <v>376.84931506849313</v>
      </c>
      <c r="K45" s="43">
        <f t="shared" si="142"/>
        <v>5619.3493150684926</v>
      </c>
      <c r="N45" s="23" t="s">
        <v>32</v>
      </c>
      <c r="O45" s="43">
        <f>SUM(O36:O44)</f>
        <v>9000</v>
      </c>
      <c r="P45" s="43">
        <f>SUM(P36:P44)</f>
        <v>1033.96484581812</v>
      </c>
      <c r="Q45" s="43">
        <f t="shared" ref="Q45:AC45" si="143">SUM(Q36:Q44)</f>
        <v>159.01277883623999</v>
      </c>
      <c r="R45" s="43">
        <f t="shared" si="143"/>
        <v>86.163737151509991</v>
      </c>
      <c r="S45" s="43">
        <f t="shared" si="143"/>
        <v>1279.14136180587</v>
      </c>
      <c r="T45" s="43">
        <f t="shared" si="143"/>
        <v>90.600000000000009</v>
      </c>
      <c r="U45" s="43">
        <f t="shared" si="143"/>
        <v>1030.8151329119999</v>
      </c>
      <c r="V45" s="43">
        <f t="shared" si="143"/>
        <v>1514.4939599999998</v>
      </c>
      <c r="W45" s="43">
        <f t="shared" si="143"/>
        <v>883.404326868</v>
      </c>
      <c r="X45" s="43">
        <f>SUM(X36:X44)</f>
        <v>1766.808653736</v>
      </c>
      <c r="Y45" s="43">
        <f t="shared" si="143"/>
        <v>555.57141397006671</v>
      </c>
      <c r="Z45" s="43">
        <f t="shared" si="143"/>
        <v>29.700000000000003</v>
      </c>
      <c r="AA45" s="43">
        <f t="shared" si="143"/>
        <v>189</v>
      </c>
      <c r="AB45" s="43">
        <f t="shared" si="143"/>
        <v>6060.3934874860661</v>
      </c>
      <c r="AC45" s="43">
        <f t="shared" si="143"/>
        <v>16339.534849291937</v>
      </c>
      <c r="AF45" s="23" t="s">
        <v>32</v>
      </c>
      <c r="AG45" s="41">
        <f>SUM(AG36:AG44)</f>
        <v>4500</v>
      </c>
      <c r="AH45" s="43">
        <f>SUM(AH36:AH44)</f>
        <v>450</v>
      </c>
      <c r="AI45" s="43">
        <f>SUM(AI36:AI44)</f>
        <v>76.95</v>
      </c>
      <c r="AJ45" s="43">
        <f>SUM(AJ36:AJ44)</f>
        <v>90</v>
      </c>
      <c r="AK45" s="43">
        <f>SUM(AK36:AK44)</f>
        <v>135</v>
      </c>
      <c r="AL45" s="43">
        <f t="shared" ref="AL45:AO45" si="144">SUM(AL36:AL44)</f>
        <v>751.95</v>
      </c>
      <c r="AM45" s="43">
        <f t="shared" si="144"/>
        <v>374.85</v>
      </c>
      <c r="AN45" s="43">
        <f t="shared" si="144"/>
        <v>374.85</v>
      </c>
      <c r="AO45" s="43">
        <f t="shared" si="144"/>
        <v>749.7</v>
      </c>
      <c r="AP45" s="43">
        <f>SUM(AP36:AP44)</f>
        <v>6001.6500000000005</v>
      </c>
    </row>
    <row r="46" spans="2:42" ht="15.5" thickBot="1" x14ac:dyDescent="0.4">
      <c r="B46" s="24" t="s">
        <v>27</v>
      </c>
      <c r="C46" s="44">
        <f t="shared" ref="C46:K46" si="145">C23+C34+C45</f>
        <v>45215.517241379312</v>
      </c>
      <c r="D46" s="44">
        <f t="shared" si="145"/>
        <v>4069.3965517241377</v>
      </c>
      <c r="E46" s="44">
        <f t="shared" si="145"/>
        <v>678.23275862068965</v>
      </c>
      <c r="F46" s="44">
        <f t="shared" si="145"/>
        <v>2712.9310344827586</v>
      </c>
      <c r="G46" s="44">
        <f t="shared" si="145"/>
        <v>7460.5603448275861</v>
      </c>
      <c r="H46" s="44">
        <f t="shared" si="145"/>
        <v>3767.9597701149423</v>
      </c>
      <c r="I46" s="44">
        <f t="shared" si="145"/>
        <v>18.581719414265468</v>
      </c>
      <c r="J46" s="44">
        <f t="shared" si="145"/>
        <v>3786.5414895292074</v>
      </c>
      <c r="K46" s="45">
        <f t="shared" si="145"/>
        <v>56462.619075736104</v>
      </c>
      <c r="N46" s="24" t="s">
        <v>27</v>
      </c>
      <c r="O46" s="44">
        <f>O23+O34+O45</f>
        <v>43069</v>
      </c>
      <c r="P46" s="44">
        <f>P23+P34+P45</f>
        <v>4943.3223926923201</v>
      </c>
      <c r="Q46" s="44">
        <f t="shared" ref="Q46:AA46" si="146">Q23+Q34+Q45</f>
        <v>760.23032458464013</v>
      </c>
      <c r="R46" s="44">
        <f t="shared" si="146"/>
        <v>411.94353272436001</v>
      </c>
      <c r="S46" s="44">
        <f t="shared" si="146"/>
        <v>6115.4962500013207</v>
      </c>
      <c r="T46" s="44">
        <f t="shared" si="146"/>
        <v>392.59999999999997</v>
      </c>
      <c r="U46" s="44">
        <f t="shared" si="146"/>
        <v>4928.263808832</v>
      </c>
      <c r="V46" s="44">
        <f t="shared" si="146"/>
        <v>7240.7025599999988</v>
      </c>
      <c r="W46" s="44">
        <f t="shared" si="146"/>
        <v>4223.5018032480002</v>
      </c>
      <c r="X46" s="44">
        <f t="shared" si="146"/>
        <v>8447.0036064960004</v>
      </c>
      <c r="Y46" s="44">
        <f t="shared" si="146"/>
        <v>2656.1527913890668</v>
      </c>
      <c r="Z46" s="44">
        <f>Z23+Z34+Z45</f>
        <v>142.1277</v>
      </c>
      <c r="AA46" s="44">
        <f t="shared" si="146"/>
        <v>904.44900000000007</v>
      </c>
      <c r="AB46" s="44">
        <f t="shared" ref="AB46" si="147">AB23+AB34+AB45</f>
        <v>28934.801269965064</v>
      </c>
      <c r="AC46" s="44">
        <f>AC23+AC34+AC45</f>
        <v>78119.297519966392</v>
      </c>
      <c r="AF46" s="24" t="s">
        <v>27</v>
      </c>
      <c r="AG46" s="44">
        <f>AG23+AG34+AG45</f>
        <v>45215.517241379312</v>
      </c>
      <c r="AH46" s="44">
        <f>AH23+AH34+AH45</f>
        <v>4521.5517241379312</v>
      </c>
      <c r="AI46" s="44">
        <f>AI23+AI34+AI45</f>
        <v>773.18534482758628</v>
      </c>
      <c r="AJ46" s="44">
        <f>AJ23+AJ34+AJ45</f>
        <v>904.31034482758616</v>
      </c>
      <c r="AK46" s="44">
        <f>AK23+AK34+AK45</f>
        <v>1356.4655172413793</v>
      </c>
      <c r="AL46" s="44">
        <f t="shared" ref="AL46:AP46" si="148">AL23+AL34+AL45</f>
        <v>7555.5129310344837</v>
      </c>
      <c r="AM46" s="44">
        <f t="shared" si="148"/>
        <v>3766.4525862068967</v>
      </c>
      <c r="AN46" s="44">
        <f t="shared" si="148"/>
        <v>3766.4525862068967</v>
      </c>
      <c r="AO46" s="44">
        <f t="shared" si="148"/>
        <v>7532.9051724137935</v>
      </c>
      <c r="AP46" s="44">
        <f t="shared" si="148"/>
        <v>60303.935344827587</v>
      </c>
    </row>
    <row r="50" spans="46:48" x14ac:dyDescent="0.35">
      <c r="AT50" s="26" t="s">
        <v>88</v>
      </c>
      <c r="AU50" s="26" t="s">
        <v>42</v>
      </c>
      <c r="AV50" s="26" t="s">
        <v>43</v>
      </c>
    </row>
    <row r="51" spans="46:48" x14ac:dyDescent="0.35">
      <c r="AT51" s="29" t="s">
        <v>44</v>
      </c>
      <c r="AU51" s="30" t="s">
        <v>67</v>
      </c>
      <c r="AV51" s="27" t="s">
        <v>45</v>
      </c>
    </row>
    <row r="52" spans="46:48" x14ac:dyDescent="0.35">
      <c r="AT52" s="29" t="s">
        <v>46</v>
      </c>
      <c r="AU52" s="30" t="s">
        <v>68</v>
      </c>
      <c r="AV52" s="27" t="s">
        <v>47</v>
      </c>
    </row>
    <row r="53" spans="46:48" x14ac:dyDescent="0.35">
      <c r="AT53" s="29" t="s">
        <v>37</v>
      </c>
      <c r="AU53" s="30" t="s">
        <v>67</v>
      </c>
      <c r="AV53" s="27" t="s">
        <v>48</v>
      </c>
    </row>
    <row r="54" spans="46:48" x14ac:dyDescent="0.35">
      <c r="AT54" s="29" t="s">
        <v>38</v>
      </c>
      <c r="AU54" s="30" t="s">
        <v>67</v>
      </c>
      <c r="AV54" s="27" t="s">
        <v>49</v>
      </c>
    </row>
    <row r="55" spans="46:48" x14ac:dyDescent="0.35">
      <c r="AT55" s="29" t="s">
        <v>39</v>
      </c>
      <c r="AU55" s="30" t="s">
        <v>67</v>
      </c>
      <c r="AV55" s="27" t="s">
        <v>50</v>
      </c>
    </row>
    <row r="56" spans="46:48" x14ac:dyDescent="0.35">
      <c r="AT56" s="28" t="s">
        <v>51</v>
      </c>
      <c r="AU56" s="30" t="s">
        <v>67</v>
      </c>
      <c r="AV56" s="27" t="s">
        <v>52</v>
      </c>
    </row>
    <row r="57" spans="46:48" ht="29" x14ac:dyDescent="0.35">
      <c r="AT57" s="29" t="s">
        <v>53</v>
      </c>
      <c r="AU57" s="30" t="s">
        <v>67</v>
      </c>
      <c r="AV57" s="27" t="s">
        <v>54</v>
      </c>
    </row>
    <row r="58" spans="46:48" x14ac:dyDescent="0.35">
      <c r="AT58" s="28" t="s">
        <v>55</v>
      </c>
      <c r="AU58" s="30" t="s">
        <v>68</v>
      </c>
      <c r="AV58" s="27" t="s">
        <v>56</v>
      </c>
    </row>
    <row r="59" spans="46:48" x14ac:dyDescent="0.35">
      <c r="AT59" s="29" t="s">
        <v>34</v>
      </c>
      <c r="AU59" s="30" t="s">
        <v>67</v>
      </c>
      <c r="AV59" s="27" t="s">
        <v>57</v>
      </c>
    </row>
    <row r="60" spans="46:48" x14ac:dyDescent="0.35">
      <c r="AT60" s="29" t="s">
        <v>36</v>
      </c>
      <c r="AU60" s="30" t="s">
        <v>67</v>
      </c>
      <c r="AV60" s="27" t="s">
        <v>58</v>
      </c>
    </row>
    <row r="61" spans="46:48" x14ac:dyDescent="0.35">
      <c r="AT61" s="28" t="s">
        <v>59</v>
      </c>
      <c r="AU61" s="30" t="s">
        <v>67</v>
      </c>
      <c r="AV61" s="27" t="s">
        <v>60</v>
      </c>
    </row>
    <row r="62" spans="46:48" x14ac:dyDescent="0.35">
      <c r="AT62" s="28" t="s">
        <v>61</v>
      </c>
      <c r="AU62" s="30" t="s">
        <v>67</v>
      </c>
      <c r="AV62" s="27" t="s">
        <v>62</v>
      </c>
    </row>
    <row r="63" spans="46:48" x14ac:dyDescent="0.35">
      <c r="AT63" s="28" t="s">
        <v>63</v>
      </c>
      <c r="AU63" s="30" t="s">
        <v>67</v>
      </c>
      <c r="AV63" s="27" t="s">
        <v>64</v>
      </c>
    </row>
    <row r="64" spans="46:48" ht="29" x14ac:dyDescent="0.35">
      <c r="AT64" s="28" t="s">
        <v>65</v>
      </c>
      <c r="AU64" s="30" t="s">
        <v>68</v>
      </c>
      <c r="AV64" s="27" t="s">
        <v>66</v>
      </c>
    </row>
  </sheetData>
  <mergeCells count="21">
    <mergeCell ref="B5:B7"/>
    <mergeCell ref="C5:C7"/>
    <mergeCell ref="H5:J5"/>
    <mergeCell ref="K5:K7"/>
    <mergeCell ref="G6:G7"/>
    <mergeCell ref="J6:J7"/>
    <mergeCell ref="D5:G5"/>
    <mergeCell ref="N5:N7"/>
    <mergeCell ref="O5:O7"/>
    <mergeCell ref="AC5:AC7"/>
    <mergeCell ref="S6:S7"/>
    <mergeCell ref="AB6:AB7"/>
    <mergeCell ref="P5:R5"/>
    <mergeCell ref="T5:AB5"/>
    <mergeCell ref="AF5:AF7"/>
    <mergeCell ref="AG5:AG7"/>
    <mergeCell ref="AH5:AL5"/>
    <mergeCell ref="AM5:AO5"/>
    <mergeCell ref="AP5:AP7"/>
    <mergeCell ref="AL6:AL7"/>
    <mergeCell ref="AO6:AO7"/>
  </mergeCells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75077-E1B1-4C2A-96B0-24BCA18A7047}">
  <sheetPr codeName="Hoja7">
    <tabColor theme="7" tint="0.79998168889431442"/>
  </sheetPr>
  <dimension ref="B2:F55"/>
  <sheetViews>
    <sheetView showGridLines="0" zoomScale="127" workbookViewId="0">
      <selection activeCell="D16" sqref="D16"/>
    </sheetView>
  </sheetViews>
  <sheetFormatPr baseColWidth="10" defaultColWidth="10.90625" defaultRowHeight="14.5" x14ac:dyDescent="0.35"/>
  <cols>
    <col min="1" max="1" width="2.6328125" customWidth="1"/>
    <col min="2" max="2" width="40.08984375" customWidth="1"/>
    <col min="3" max="3" width="1.26953125" customWidth="1"/>
    <col min="4" max="4" width="13.08984375" style="39" customWidth="1"/>
    <col min="5" max="5" width="2.08984375" style="39" customWidth="1"/>
    <col min="6" max="6" width="15.08984375" style="39" customWidth="1"/>
    <col min="7" max="7" width="10.90625" customWidth="1"/>
  </cols>
  <sheetData>
    <row r="2" spans="2:6" ht="14.5" customHeight="1" x14ac:dyDescent="0.35">
      <c r="B2" s="967" t="s">
        <v>82</v>
      </c>
      <c r="C2" s="967"/>
      <c r="D2" s="967"/>
      <c r="E2" s="967"/>
      <c r="F2" s="967"/>
    </row>
    <row r="3" spans="2:6" ht="14.5" customHeight="1" x14ac:dyDescent="0.35">
      <c r="B3" s="967"/>
      <c r="C3" s="967"/>
      <c r="D3" s="967"/>
      <c r="E3" s="967"/>
      <c r="F3" s="967"/>
    </row>
    <row r="5" spans="2:6" ht="15" customHeight="1" x14ac:dyDescent="0.35">
      <c r="B5" s="909" t="s">
        <v>78</v>
      </c>
      <c r="D5" s="965" t="s">
        <v>84</v>
      </c>
      <c r="F5" s="965" t="s">
        <v>86</v>
      </c>
    </row>
    <row r="6" spans="2:6" ht="29" customHeight="1" x14ac:dyDescent="0.35">
      <c r="B6" s="909"/>
      <c r="D6" s="966"/>
      <c r="E6" s="173"/>
      <c r="F6" s="966"/>
    </row>
    <row r="7" spans="2:6" ht="15.5" x14ac:dyDescent="0.35">
      <c r="B7" s="7" t="s">
        <v>83</v>
      </c>
      <c r="D7" s="171"/>
      <c r="E7" s="173"/>
      <c r="F7" s="171"/>
    </row>
    <row r="8" spans="2:6" ht="15.5" x14ac:dyDescent="0.35">
      <c r="B8" s="737" t="s">
        <v>131</v>
      </c>
      <c r="C8" s="738"/>
      <c r="D8" s="717">
        <v>1000</v>
      </c>
      <c r="E8" s="173"/>
      <c r="F8" s="93">
        <f>D8*12</f>
        <v>12000</v>
      </c>
    </row>
    <row r="9" spans="2:6" ht="15.5" x14ac:dyDescent="0.35">
      <c r="B9" s="737" t="s">
        <v>137</v>
      </c>
      <c r="C9" s="738"/>
      <c r="D9" s="717">
        <v>3000</v>
      </c>
      <c r="E9" s="173"/>
      <c r="F9" s="93">
        <f t="shared" ref="F9:F13" si="0">D9*12</f>
        <v>36000</v>
      </c>
    </row>
    <row r="10" spans="2:6" ht="15.5" x14ac:dyDescent="0.35">
      <c r="B10" s="737" t="s">
        <v>141</v>
      </c>
      <c r="C10" s="738"/>
      <c r="D10" s="717">
        <v>3000</v>
      </c>
      <c r="E10" s="173"/>
      <c r="F10" s="93">
        <f t="shared" si="0"/>
        <v>36000</v>
      </c>
    </row>
    <row r="11" spans="2:6" ht="15.5" x14ac:dyDescent="0.35">
      <c r="B11" s="737" t="s">
        <v>142</v>
      </c>
      <c r="C11" s="738"/>
      <c r="D11" s="717">
        <v>1000</v>
      </c>
      <c r="E11" s="173"/>
      <c r="F11" s="93">
        <f t="shared" si="0"/>
        <v>12000</v>
      </c>
    </row>
    <row r="12" spans="2:6" ht="15.5" x14ac:dyDescent="0.35">
      <c r="B12" s="66"/>
      <c r="D12" s="172"/>
      <c r="E12" s="173"/>
      <c r="F12" s="93">
        <f t="shared" si="0"/>
        <v>0</v>
      </c>
    </row>
    <row r="13" spans="2:6" ht="15.5" x14ac:dyDescent="0.35">
      <c r="B13" s="31"/>
      <c r="D13" s="172"/>
      <c r="E13" s="173"/>
      <c r="F13" s="93">
        <f t="shared" si="0"/>
        <v>0</v>
      </c>
    </row>
    <row r="14" spans="2:6" ht="15.5" x14ac:dyDescent="0.35">
      <c r="B14" s="40" t="s">
        <v>145</v>
      </c>
      <c r="D14" s="174">
        <f>SUM(D8:D13)</f>
        <v>8000</v>
      </c>
      <c r="E14" s="175"/>
      <c r="F14" s="174">
        <f>SUM(F8:F13)</f>
        <v>96000</v>
      </c>
    </row>
    <row r="15" spans="2:6" ht="15.5" x14ac:dyDescent="0.35">
      <c r="B15" s="7" t="s">
        <v>79</v>
      </c>
      <c r="D15" s="171"/>
      <c r="E15" s="173"/>
      <c r="F15" s="171"/>
    </row>
    <row r="16" spans="2:6" ht="15.5" x14ac:dyDescent="0.35">
      <c r="B16" s="626" t="str">
        <f>IF(DP!$C$16=PS!$B$3,PS!B25,IF(DP!$C$16=PS!$N$3,PS!N25,IF(DP!$C$16=PS!$AF$3,PS!AF25)))</f>
        <v>Asistente comex Perù</v>
      </c>
      <c r="C16" s="34"/>
      <c r="D16" s="94">
        <f>IF(DP!$C$16=PS!$B$3,PS!K25,IF(DP!$C$16=PS!$N$3,PS!AC25,IF(DP!$C$16=PS!$AF$3,PS!AP25)))</f>
        <v>2750.0334253389792</v>
      </c>
      <c r="E16" s="173"/>
      <c r="F16" s="93">
        <f t="shared" ref="F16:F24" si="1">D16*12</f>
        <v>33000.401104067751</v>
      </c>
    </row>
    <row r="17" spans="2:6" ht="15.5" x14ac:dyDescent="0.35">
      <c r="B17" s="626">
        <f>IF(DP!$C$16=PS!$B$3,PS!B26,IF(DP!$C$16=PS!$N$3,PS!N26,IF(DP!$C$16=PS!$AF$3,PS!AF26)))</f>
        <v>0</v>
      </c>
      <c r="C17" s="34"/>
      <c r="D17" s="94">
        <f>IF(DP!$C$16=PS!$B$3,PS!K26,IF(DP!$C$16=PS!$N$3,PS!AC26,IF(DP!$C$16=PS!$AF$3,PS!AP26)))</f>
        <v>0</v>
      </c>
      <c r="E17" s="173"/>
      <c r="F17" s="93">
        <f t="shared" si="1"/>
        <v>0</v>
      </c>
    </row>
    <row r="18" spans="2:6" ht="15.5" x14ac:dyDescent="0.35">
      <c r="B18" s="626">
        <f>IF(DP!$C$16=PS!$B$3,PS!B27,IF(DP!$C$16=PS!$N$3,PS!N27,IF(DP!$C$16=PS!$AF$3,PS!AF27)))</f>
        <v>0</v>
      </c>
      <c r="C18" s="34"/>
      <c r="D18" s="94">
        <f>IF(DP!$C$16=PS!$B$3,PS!K27,IF(DP!$C$16=PS!$N$3,PS!AC27,IF(DP!$C$16=PS!$AF$3,PS!AP27)))</f>
        <v>0</v>
      </c>
      <c r="E18" s="173"/>
      <c r="F18" s="93">
        <f t="shared" si="1"/>
        <v>0</v>
      </c>
    </row>
    <row r="19" spans="2:6" ht="15.5" x14ac:dyDescent="0.35">
      <c r="B19" s="626">
        <f>IF(DP!$C$16=PS!$B$3,PS!B28,IF(DP!$C$16=PS!$N$3,PS!N28,IF(DP!$C$16=PS!$AF$3,PS!AF28)))</f>
        <v>0</v>
      </c>
      <c r="C19" s="34"/>
      <c r="D19" s="94">
        <f>IF(DP!$C$16=PS!$B$3,PS!K28,IF(DP!$C$16=PS!$N$3,PS!AC28,IF(DP!$C$16=PS!$AF$3,PS!AP28)))</f>
        <v>0</v>
      </c>
      <c r="E19" s="173"/>
      <c r="F19" s="93">
        <f t="shared" si="1"/>
        <v>0</v>
      </c>
    </row>
    <row r="20" spans="2:6" ht="15.5" x14ac:dyDescent="0.35">
      <c r="B20" s="626">
        <f>IF(DP!$C$16=PS!$B$3,PS!B29,IF(DP!$C$16=PS!$N$3,PS!N29,IF(DP!$C$16=PS!$AF$3,PS!AF29)))</f>
        <v>0</v>
      </c>
      <c r="C20" s="34"/>
      <c r="D20" s="94">
        <f>IF(DP!$C$16=PS!$B$3,PS!K29,IF(DP!$C$16=PS!$N$3,PS!AC29,IF(DP!$C$16=PS!$AF$3,PS!AP29)))</f>
        <v>0</v>
      </c>
      <c r="E20" s="173"/>
      <c r="F20" s="93">
        <f t="shared" si="1"/>
        <v>0</v>
      </c>
    </row>
    <row r="21" spans="2:6" ht="15.5" x14ac:dyDescent="0.35">
      <c r="B21" s="626">
        <f>IF(DP!$C$16=PS!$B$3,PS!B30,IF(DP!$C$16=PS!$N$3,PS!N30,IF(DP!$C$16=PS!$AF$3,PS!AF30)))</f>
        <v>0</v>
      </c>
      <c r="C21" s="34"/>
      <c r="D21" s="94">
        <f>IF(DP!$C$16=PS!$B$3,PS!K30,IF(DP!$C$16=PS!$N$3,PS!AC30,IF(DP!$C$16=PS!$AF$3,PS!AP30)))</f>
        <v>0</v>
      </c>
      <c r="E21" s="173"/>
      <c r="F21" s="93">
        <f t="shared" si="1"/>
        <v>0</v>
      </c>
    </row>
    <row r="22" spans="2:6" ht="15.5" x14ac:dyDescent="0.35">
      <c r="B22" s="626">
        <f>IF(DP!$C$16=PS!$B$3,PS!B31,IF(DP!$C$16=PS!$N$3,PS!N31,IF(DP!$C$16=PS!$AF$3,PS!AF31)))</f>
        <v>0</v>
      </c>
      <c r="C22" s="34"/>
      <c r="D22" s="94">
        <f>IF(DP!$C$16=PS!$B$3,PS!K31,IF(DP!$C$16=PS!$N$3,PS!AC31,IF(DP!$C$16=PS!$AF$3,PS!AP31)))</f>
        <v>0</v>
      </c>
      <c r="E22" s="173"/>
      <c r="F22" s="93">
        <f t="shared" si="1"/>
        <v>0</v>
      </c>
    </row>
    <row r="23" spans="2:6" ht="15.5" x14ac:dyDescent="0.35">
      <c r="B23" s="626">
        <f>IF(DP!$C$16=PS!$B$3,PS!B32,IF(DP!$C$16=PS!$N$3,PS!N32,IF(DP!$C$16=PS!$AF$3,PS!AF32)))</f>
        <v>0</v>
      </c>
      <c r="C23" s="34"/>
      <c r="D23" s="94">
        <f>IF(DP!$C$16=PS!$B$3,PS!K32,IF(DP!$C$16=PS!$N$3,PS!AC32,IF(DP!$C$16=PS!$AF$3,PS!AP32)))</f>
        <v>0</v>
      </c>
      <c r="E23" s="173"/>
      <c r="F23" s="93">
        <f t="shared" si="1"/>
        <v>0</v>
      </c>
    </row>
    <row r="24" spans="2:6" ht="15.5" x14ac:dyDescent="0.35">
      <c r="B24" s="626">
        <f>IF(DP!$C$16=PS!$B$3,PS!B33,IF(DP!$C$16=PS!$N$3,PS!N33,IF(DP!$C$16=PS!$AF$3,PS!AF33)))</f>
        <v>0</v>
      </c>
      <c r="C24" s="34"/>
      <c r="D24" s="94">
        <f>IF(DP!$C$16=PS!$B$3,PS!K33,IF(DP!$C$16=PS!$N$3,PS!AC33,IF(DP!$C$16=PS!$AF$3,PS!AP33)))</f>
        <v>0</v>
      </c>
      <c r="E24" s="173"/>
      <c r="F24" s="93">
        <f t="shared" si="1"/>
        <v>0</v>
      </c>
    </row>
    <row r="25" spans="2:6" ht="15.5" x14ac:dyDescent="0.35">
      <c r="B25" s="40" t="s">
        <v>146</v>
      </c>
      <c r="D25" s="174">
        <f>SUM(D16:D24)</f>
        <v>2750.0334253389792</v>
      </c>
      <c r="E25" s="175"/>
      <c r="F25" s="174">
        <f>SUM(F16:F24)</f>
        <v>33000.401104067751</v>
      </c>
    </row>
    <row r="26" spans="2:6" ht="15.5" x14ac:dyDescent="0.35">
      <c r="B26" s="9" t="s">
        <v>85</v>
      </c>
      <c r="D26" s="171"/>
      <c r="E26" s="173"/>
      <c r="F26" s="171"/>
    </row>
    <row r="27" spans="2:6" ht="15.5" x14ac:dyDescent="0.35">
      <c r="B27" s="737" t="s">
        <v>133</v>
      </c>
      <c r="C27" s="738"/>
      <c r="D27" s="717"/>
      <c r="E27" s="173"/>
      <c r="F27" s="93">
        <f t="shared" ref="F27:F34" si="2">D27*12</f>
        <v>0</v>
      </c>
    </row>
    <row r="28" spans="2:6" ht="15.5" x14ac:dyDescent="0.35">
      <c r="B28" s="737" t="s">
        <v>135</v>
      </c>
      <c r="C28" s="738"/>
      <c r="D28" s="717">
        <f>20000/12</f>
        <v>1666.6666666666667</v>
      </c>
      <c r="E28" s="173"/>
      <c r="F28" s="93">
        <f t="shared" si="2"/>
        <v>20000</v>
      </c>
    </row>
    <row r="29" spans="2:6" ht="15.5" x14ac:dyDescent="0.35">
      <c r="B29" s="737" t="s">
        <v>139</v>
      </c>
      <c r="C29" s="738"/>
      <c r="D29" s="717"/>
      <c r="E29" s="173"/>
      <c r="F29" s="93">
        <f t="shared" si="2"/>
        <v>0</v>
      </c>
    </row>
    <row r="30" spans="2:6" ht="15.5" x14ac:dyDescent="0.35">
      <c r="B30" s="2"/>
      <c r="D30" s="172"/>
      <c r="E30" s="173"/>
      <c r="F30" s="93">
        <f t="shared" si="2"/>
        <v>0</v>
      </c>
    </row>
    <row r="31" spans="2:6" ht="15.5" x14ac:dyDescent="0.35">
      <c r="B31" s="2"/>
      <c r="D31" s="172"/>
      <c r="E31" s="173"/>
      <c r="F31" s="93">
        <f t="shared" si="2"/>
        <v>0</v>
      </c>
    </row>
    <row r="32" spans="2:6" ht="15.5" x14ac:dyDescent="0.35">
      <c r="B32" s="2"/>
      <c r="D32" s="172"/>
      <c r="E32" s="173"/>
      <c r="F32" s="93">
        <f t="shared" si="2"/>
        <v>0</v>
      </c>
    </row>
    <row r="33" spans="2:6" ht="15.5" x14ac:dyDescent="0.35">
      <c r="B33" s="2"/>
      <c r="D33" s="172"/>
      <c r="E33" s="173"/>
      <c r="F33" s="93">
        <f t="shared" si="2"/>
        <v>0</v>
      </c>
    </row>
    <row r="34" spans="2:6" ht="15.5" x14ac:dyDescent="0.35">
      <c r="B34" s="2"/>
      <c r="D34" s="172"/>
      <c r="E34" s="173"/>
      <c r="F34" s="93">
        <f t="shared" si="2"/>
        <v>0</v>
      </c>
    </row>
    <row r="35" spans="2:6" ht="15.5" x14ac:dyDescent="0.35">
      <c r="B35" s="40" t="s">
        <v>147</v>
      </c>
      <c r="D35" s="174">
        <f>SUM(D27:D34)</f>
        <v>1666.6666666666667</v>
      </c>
      <c r="E35" s="175"/>
      <c r="F35" s="174">
        <f>SUM(F27:F34)</f>
        <v>20000</v>
      </c>
    </row>
    <row r="36" spans="2:6" ht="15.5" x14ac:dyDescent="0.35">
      <c r="B36" s="7" t="s">
        <v>497</v>
      </c>
      <c r="D36" s="171"/>
      <c r="E36" s="173"/>
      <c r="F36" s="171"/>
    </row>
    <row r="37" spans="2:6" ht="15.5" x14ac:dyDescent="0.35">
      <c r="B37" s="740" t="s">
        <v>134</v>
      </c>
      <c r="C37" s="738"/>
      <c r="D37" s="717">
        <v>2000</v>
      </c>
      <c r="E37" s="173"/>
      <c r="F37" s="93">
        <f t="shared" ref="F37:F44" si="3">D37*12</f>
        <v>24000</v>
      </c>
    </row>
    <row r="38" spans="2:6" ht="15.5" x14ac:dyDescent="0.35">
      <c r="B38" s="737" t="s">
        <v>485</v>
      </c>
      <c r="C38" s="738"/>
      <c r="D38" s="717">
        <f>150*20</f>
        <v>3000</v>
      </c>
      <c r="E38" s="173"/>
      <c r="F38" s="93">
        <f t="shared" si="3"/>
        <v>36000</v>
      </c>
    </row>
    <row r="39" spans="2:6" ht="15.5" x14ac:dyDescent="0.35">
      <c r="B39" s="737" t="s">
        <v>138</v>
      </c>
      <c r="C39" s="738"/>
      <c r="D39" s="717">
        <f>200*20</f>
        <v>4000</v>
      </c>
      <c r="E39" s="173"/>
      <c r="F39" s="93">
        <f t="shared" si="3"/>
        <v>48000</v>
      </c>
    </row>
    <row r="40" spans="2:6" ht="15.5" x14ac:dyDescent="0.35">
      <c r="B40" s="64"/>
      <c r="D40" s="172"/>
      <c r="E40" s="173"/>
      <c r="F40" s="93">
        <f t="shared" si="3"/>
        <v>0</v>
      </c>
    </row>
    <row r="41" spans="2:6" ht="15.5" x14ac:dyDescent="0.35">
      <c r="B41" s="64"/>
      <c r="D41" s="172"/>
      <c r="E41" s="173"/>
      <c r="F41" s="93">
        <f t="shared" si="3"/>
        <v>0</v>
      </c>
    </row>
    <row r="42" spans="2:6" ht="15.5" x14ac:dyDescent="0.35">
      <c r="B42" s="31"/>
      <c r="D42" s="172"/>
      <c r="E42" s="173"/>
      <c r="F42" s="93">
        <f t="shared" si="3"/>
        <v>0</v>
      </c>
    </row>
    <row r="43" spans="2:6" ht="15.5" x14ac:dyDescent="0.35">
      <c r="B43" s="31"/>
      <c r="D43" s="172"/>
      <c r="E43" s="173"/>
      <c r="F43" s="93">
        <f t="shared" si="3"/>
        <v>0</v>
      </c>
    </row>
    <row r="44" spans="2:6" ht="15.5" x14ac:dyDescent="0.35">
      <c r="B44" s="31"/>
      <c r="D44" s="172"/>
      <c r="E44" s="173"/>
      <c r="F44" s="93">
        <f t="shared" si="3"/>
        <v>0</v>
      </c>
    </row>
    <row r="45" spans="2:6" ht="15.5" x14ac:dyDescent="0.35">
      <c r="B45" s="40" t="s">
        <v>148</v>
      </c>
      <c r="C45" s="34"/>
      <c r="D45" s="174">
        <f>SUM(D37:D44)</f>
        <v>9000</v>
      </c>
      <c r="E45" s="175"/>
      <c r="F45" s="174">
        <f>SUM(F37:F44)</f>
        <v>108000</v>
      </c>
    </row>
    <row r="46" spans="2:6" ht="15.5" x14ac:dyDescent="0.35">
      <c r="B46" s="33" t="s">
        <v>80</v>
      </c>
      <c r="D46" s="171"/>
      <c r="E46" s="173"/>
      <c r="F46" s="171"/>
    </row>
    <row r="47" spans="2:6" ht="15.5" x14ac:dyDescent="0.35">
      <c r="B47" s="737" t="s">
        <v>486</v>
      </c>
      <c r="C47" s="738"/>
      <c r="D47" s="717">
        <v>1000</v>
      </c>
      <c r="E47" s="173"/>
      <c r="F47" s="93">
        <f t="shared" ref="F47:F54" si="4">D47*12</f>
        <v>12000</v>
      </c>
    </row>
    <row r="48" spans="2:6" ht="15.5" x14ac:dyDescent="0.35">
      <c r="B48" s="737" t="s">
        <v>487</v>
      </c>
      <c r="C48" s="738"/>
      <c r="D48" s="717">
        <v>1000</v>
      </c>
      <c r="E48" s="173"/>
      <c r="F48" s="93">
        <f t="shared" si="4"/>
        <v>12000</v>
      </c>
    </row>
    <row r="49" spans="2:6" ht="15.5" x14ac:dyDescent="0.35">
      <c r="B49" s="737" t="s">
        <v>132</v>
      </c>
      <c r="C49" s="738"/>
      <c r="D49" s="717">
        <v>3000</v>
      </c>
      <c r="E49" s="173"/>
      <c r="F49" s="93">
        <f t="shared" si="4"/>
        <v>36000</v>
      </c>
    </row>
    <row r="50" spans="2:6" ht="15.5" x14ac:dyDescent="0.35">
      <c r="B50" s="739" t="s">
        <v>136</v>
      </c>
      <c r="C50" s="738"/>
      <c r="D50" s="717">
        <v>1000</v>
      </c>
      <c r="E50" s="173"/>
      <c r="F50" s="93">
        <f t="shared" si="4"/>
        <v>12000</v>
      </c>
    </row>
    <row r="51" spans="2:6" ht="15.5" x14ac:dyDescent="0.35">
      <c r="B51" s="737" t="s">
        <v>140</v>
      </c>
      <c r="C51" s="738"/>
      <c r="D51" s="717"/>
      <c r="E51" s="173"/>
      <c r="F51" s="93">
        <f t="shared" si="4"/>
        <v>0</v>
      </c>
    </row>
    <row r="52" spans="2:6" ht="15.5" x14ac:dyDescent="0.35">
      <c r="B52" s="737" t="s">
        <v>144</v>
      </c>
      <c r="C52" s="738"/>
      <c r="D52" s="717">
        <v>1000</v>
      </c>
      <c r="E52" s="173"/>
      <c r="F52" s="93">
        <f t="shared" si="4"/>
        <v>12000</v>
      </c>
    </row>
    <row r="53" spans="2:6" ht="15.5" x14ac:dyDescent="0.35">
      <c r="B53" s="737" t="s">
        <v>143</v>
      </c>
      <c r="C53" s="738"/>
      <c r="D53" s="717">
        <v>1000</v>
      </c>
      <c r="E53" s="173"/>
      <c r="F53" s="93">
        <f t="shared" si="4"/>
        <v>12000</v>
      </c>
    </row>
    <row r="54" spans="2:6" ht="15.5" x14ac:dyDescent="0.35">
      <c r="B54" s="723"/>
      <c r="C54" s="738"/>
      <c r="D54" s="717"/>
      <c r="E54" s="173"/>
      <c r="F54" s="93">
        <f t="shared" si="4"/>
        <v>0</v>
      </c>
    </row>
    <row r="55" spans="2:6" ht="15.5" x14ac:dyDescent="0.35">
      <c r="B55" s="40" t="s">
        <v>149</v>
      </c>
      <c r="D55" s="174">
        <f>SUM(D47:D54)</f>
        <v>8000</v>
      </c>
      <c r="E55" s="175"/>
      <c r="F55" s="174">
        <f>SUM(F47:F54)</f>
        <v>96000</v>
      </c>
    </row>
  </sheetData>
  <mergeCells count="4">
    <mergeCell ref="B5:B6"/>
    <mergeCell ref="F5:F6"/>
    <mergeCell ref="D5:D6"/>
    <mergeCell ref="B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E34BD-FF38-4A6D-866D-0F6AF96D0C4F}">
  <sheetPr codeName="Hoja8">
    <tabColor theme="7" tint="0.79998168889431442"/>
  </sheetPr>
  <dimension ref="B1:F53"/>
  <sheetViews>
    <sheetView showGridLines="0" topLeftCell="A16" zoomScale="85" workbookViewId="0">
      <selection activeCell="H34" sqref="H34"/>
    </sheetView>
  </sheetViews>
  <sheetFormatPr baseColWidth="10" defaultRowHeight="14.5" x14ac:dyDescent="0.35"/>
  <cols>
    <col min="1" max="1" width="2.6328125" customWidth="1"/>
    <col min="2" max="2" width="45.36328125" customWidth="1"/>
    <col min="3" max="3" width="1.26953125" customWidth="1"/>
    <col min="4" max="4" width="13.08984375" style="39" customWidth="1"/>
    <col min="5" max="5" width="2.08984375" style="39" customWidth="1"/>
    <col min="6" max="6" width="15.08984375" style="39" customWidth="1"/>
  </cols>
  <sheetData>
    <row r="1" spans="2:6" ht="15" thickBot="1" x14ac:dyDescent="0.4"/>
    <row r="2" spans="2:6" ht="14.5" customHeight="1" x14ac:dyDescent="0.35">
      <c r="B2" s="968" t="s">
        <v>87</v>
      </c>
      <c r="C2" s="969"/>
      <c r="D2" s="969"/>
      <c r="E2" s="969"/>
      <c r="F2" s="970"/>
    </row>
    <row r="3" spans="2:6" ht="14.5" customHeight="1" thickBot="1" x14ac:dyDescent="0.4">
      <c r="B3" s="971"/>
      <c r="C3" s="972"/>
      <c r="D3" s="972"/>
      <c r="E3" s="972"/>
      <c r="F3" s="973"/>
    </row>
    <row r="5" spans="2:6" ht="15" customHeight="1" x14ac:dyDescent="0.35">
      <c r="B5" s="909" t="s">
        <v>78</v>
      </c>
      <c r="D5" s="965" t="s">
        <v>84</v>
      </c>
      <c r="F5" s="965" t="s">
        <v>86</v>
      </c>
    </row>
    <row r="6" spans="2:6" ht="15.5" x14ac:dyDescent="0.35">
      <c r="B6" s="909"/>
      <c r="D6" s="966"/>
      <c r="E6" s="173"/>
      <c r="F6" s="966"/>
    </row>
    <row r="7" spans="2:6" ht="15.5" x14ac:dyDescent="0.35">
      <c r="B7" s="7" t="s">
        <v>83</v>
      </c>
      <c r="D7" s="171"/>
      <c r="E7" s="173"/>
      <c r="F7" s="171"/>
    </row>
    <row r="8" spans="2:6" ht="15.5" x14ac:dyDescent="0.35">
      <c r="B8" s="723" t="s">
        <v>150</v>
      </c>
      <c r="C8" s="738"/>
      <c r="D8" s="717">
        <v>500</v>
      </c>
      <c r="E8" s="173"/>
      <c r="F8" s="93">
        <f>D8*12</f>
        <v>6000</v>
      </c>
    </row>
    <row r="9" spans="2:6" ht="15.5" x14ac:dyDescent="0.35">
      <c r="B9" s="723" t="s">
        <v>151</v>
      </c>
      <c r="C9" s="738"/>
      <c r="D9" s="717">
        <v>500</v>
      </c>
      <c r="E9" s="173"/>
      <c r="F9" s="93">
        <f t="shared" ref="F9:F16" si="0">D9*12</f>
        <v>6000</v>
      </c>
    </row>
    <row r="10" spans="2:6" ht="15.5" x14ac:dyDescent="0.35">
      <c r="B10" s="723" t="s">
        <v>152</v>
      </c>
      <c r="C10" s="738"/>
      <c r="D10" s="717">
        <v>500</v>
      </c>
      <c r="E10" s="173"/>
      <c r="F10" s="93">
        <f t="shared" si="0"/>
        <v>6000</v>
      </c>
    </row>
    <row r="11" spans="2:6" ht="15.5" x14ac:dyDescent="0.35">
      <c r="B11" s="723"/>
      <c r="C11" s="738"/>
      <c r="D11" s="717"/>
      <c r="E11" s="173"/>
      <c r="F11" s="93">
        <f t="shared" si="0"/>
        <v>0</v>
      </c>
    </row>
    <row r="12" spans="2:6" ht="15.5" x14ac:dyDescent="0.35">
      <c r="B12" s="723" t="s">
        <v>153</v>
      </c>
      <c r="C12" s="738"/>
      <c r="D12" s="717">
        <v>2000</v>
      </c>
      <c r="E12" s="173"/>
      <c r="F12" s="93">
        <f t="shared" si="0"/>
        <v>24000</v>
      </c>
    </row>
    <row r="13" spans="2:6" ht="15.5" x14ac:dyDescent="0.35">
      <c r="B13" s="723"/>
      <c r="C13" s="738"/>
      <c r="D13" s="717"/>
      <c r="E13" s="173"/>
      <c r="F13" s="93">
        <f t="shared" si="0"/>
        <v>0</v>
      </c>
    </row>
    <row r="14" spans="2:6" ht="15.5" x14ac:dyDescent="0.35">
      <c r="B14" s="723"/>
      <c r="C14" s="738"/>
      <c r="D14" s="717"/>
      <c r="E14" s="173"/>
      <c r="F14" s="93">
        <f t="shared" si="0"/>
        <v>0</v>
      </c>
    </row>
    <row r="15" spans="2:6" ht="15.5" x14ac:dyDescent="0.35">
      <c r="B15" s="66"/>
      <c r="D15" s="172"/>
      <c r="E15" s="173"/>
      <c r="F15" s="93">
        <f t="shared" si="0"/>
        <v>0</v>
      </c>
    </row>
    <row r="16" spans="2:6" ht="15.5" x14ac:dyDescent="0.35">
      <c r="B16" s="31"/>
      <c r="D16" s="172"/>
      <c r="E16" s="173"/>
      <c r="F16" s="93">
        <f t="shared" si="0"/>
        <v>0</v>
      </c>
    </row>
    <row r="17" spans="2:6" ht="15.5" x14ac:dyDescent="0.35">
      <c r="B17" s="40" t="s">
        <v>145</v>
      </c>
      <c r="D17" s="174">
        <f>SUM(D8:D16)</f>
        <v>3500</v>
      </c>
      <c r="E17" s="175"/>
      <c r="F17" s="174">
        <f>SUM(F8:F16)</f>
        <v>42000</v>
      </c>
    </row>
    <row r="18" spans="2:6" ht="15.5" x14ac:dyDescent="0.35">
      <c r="B18" s="7" t="s">
        <v>79</v>
      </c>
      <c r="D18" s="171"/>
      <c r="E18" s="173"/>
      <c r="F18" s="171"/>
    </row>
    <row r="19" spans="2:6" ht="15.5" x14ac:dyDescent="0.35">
      <c r="B19" s="626" t="str">
        <f>IF(DP!$C$16=PS!$B$3,PS!B36,IF(DP!$C$16=PS!$N$3,PS!N36,IF(DP!$C$16=PS!$AF$3,PS!AF36)))</f>
        <v>Administrador/contador</v>
      </c>
      <c r="D19" s="94">
        <f>IF(DP!$C$16=PS!$B$3,PS!K36,IF(DP!$C$16=PS!$N$3,PS!AC36,IF(DP!$C$16=PS!$AF$3,PS!AP36)))</f>
        <v>5446.5116164306455</v>
      </c>
      <c r="E19" s="173"/>
      <c r="F19" s="93">
        <f t="shared" ref="F19:F27" si="1">D19*12</f>
        <v>65358.139397167746</v>
      </c>
    </row>
    <row r="20" spans="2:6" ht="15.5" x14ac:dyDescent="0.35">
      <c r="B20" s="626" t="str">
        <f>IF(DP!$C$16=PS!$B$3,PS!B37,IF(DP!$C$16=PS!$N$3,PS!N37,IF(DP!$C$16=PS!$AF$3,PS!AF37)))</f>
        <v>Auxiliar contable</v>
      </c>
      <c r="D20" s="94">
        <f>IF(DP!$C$16=PS!$B$3,PS!K37,IF(DP!$C$16=PS!$N$3,PS!AC37,IF(DP!$C$16=PS!$AF$3,PS!AP37)))</f>
        <v>2750.0334253389792</v>
      </c>
      <c r="E20" s="173"/>
      <c r="F20" s="93">
        <f t="shared" si="1"/>
        <v>33000.401104067751</v>
      </c>
    </row>
    <row r="21" spans="2:6" ht="15.5" x14ac:dyDescent="0.35">
      <c r="B21" s="626" t="str">
        <f>IF(DP!$C$16=PS!$B$3,PS!B38,IF(DP!$C$16=PS!$N$3,PS!N38,IF(DP!$C$16=PS!$AF$3,PS!AF38)))</f>
        <v>Gerente de Operaciones</v>
      </c>
      <c r="D21" s="94">
        <f>IF(DP!$C$16=PS!$B$3,PS!K38,IF(DP!$C$16=PS!$N$3,PS!AC38,IF(DP!$C$16=PS!$AF$3,PS!AP38)))</f>
        <v>8142.9898075223118</v>
      </c>
      <c r="E21" s="173"/>
      <c r="F21" s="93">
        <f t="shared" si="1"/>
        <v>97715.877690267749</v>
      </c>
    </row>
    <row r="22" spans="2:6" ht="15.5" x14ac:dyDescent="0.35">
      <c r="B22" s="626">
        <f>IF(DP!$C$16=PS!$B$3,PS!B39,IF(DP!$C$16=PS!$N$3,PS!N39,IF(DP!$C$16=PS!$AF$3,PS!AF39)))</f>
        <v>0</v>
      </c>
      <c r="D22" s="94">
        <f>IF(DP!$C$16=PS!$B$3,PS!K39,IF(DP!$C$16=PS!$N$3,PS!AC39,IF(DP!$C$16=PS!$AF$3,PS!AP39)))</f>
        <v>0</v>
      </c>
      <c r="E22" s="173"/>
      <c r="F22" s="93">
        <f t="shared" si="1"/>
        <v>0</v>
      </c>
    </row>
    <row r="23" spans="2:6" ht="15.5" x14ac:dyDescent="0.35">
      <c r="B23" s="626">
        <f>IF(DP!$C$16=PS!$B$3,PS!B40,IF(DP!$C$16=PS!$N$3,PS!N40,IF(DP!$C$16=PS!$AF$3,PS!AF40)))</f>
        <v>0</v>
      </c>
      <c r="D23" s="94">
        <f>IF(DP!$C$16=PS!$B$3,PS!K40,IF(DP!$C$16=PS!$N$3,PS!AC40,IF(DP!$C$16=PS!$AF$3,PS!AP40)))</f>
        <v>0</v>
      </c>
      <c r="E23" s="173"/>
      <c r="F23" s="93">
        <f t="shared" si="1"/>
        <v>0</v>
      </c>
    </row>
    <row r="24" spans="2:6" ht="15.5" x14ac:dyDescent="0.35">
      <c r="B24" s="626">
        <f>IF(DP!$C$16=PS!$B$3,PS!B41,IF(DP!$C$16=PS!$N$3,PS!N41,IF(DP!$C$16=PS!$AF$3,PS!AF41)))</f>
        <v>0</v>
      </c>
      <c r="D24" s="94">
        <f>IF(DP!$C$16=PS!$B$3,PS!K41,IF(DP!$C$16=PS!$N$3,PS!AC41,IF(DP!$C$16=PS!$AF$3,PS!AP41)))</f>
        <v>0</v>
      </c>
      <c r="E24" s="173"/>
      <c r="F24" s="93">
        <f t="shared" si="1"/>
        <v>0</v>
      </c>
    </row>
    <row r="25" spans="2:6" ht="15.5" x14ac:dyDescent="0.35">
      <c r="B25" s="626">
        <f>IF(DP!$C$16=PS!$B$3,PS!B42,IF(DP!$C$16=PS!$N$3,PS!N42,IF(DP!$C$16=PS!$AF$3,PS!AF42)))</f>
        <v>0</v>
      </c>
      <c r="D25" s="94">
        <f>IF(DP!$C$16=PS!$B$3,PS!K42,IF(DP!$C$16=PS!$N$3,PS!AC42,IF(DP!$C$16=PS!$AF$3,PS!AP42)))</f>
        <v>0</v>
      </c>
      <c r="E25" s="173"/>
      <c r="F25" s="93">
        <f t="shared" si="1"/>
        <v>0</v>
      </c>
    </row>
    <row r="26" spans="2:6" ht="15.5" x14ac:dyDescent="0.35">
      <c r="B26" s="626">
        <f>IF(DP!$C$16=PS!$B$3,PS!B43,IF(DP!$C$16=PS!$N$3,PS!N43,IF(DP!$C$16=PS!$AF$3,PS!AF43)))</f>
        <v>0</v>
      </c>
      <c r="D26" s="94">
        <f>IF(DP!$C$16=PS!$B$3,PS!K43,IF(DP!$C$16=PS!$N$3,PS!AC43,IF(DP!$C$16=PS!$AF$3,PS!AP43)))</f>
        <v>0</v>
      </c>
      <c r="E26" s="173"/>
      <c r="F26" s="93">
        <f t="shared" si="1"/>
        <v>0</v>
      </c>
    </row>
    <row r="27" spans="2:6" ht="15.5" x14ac:dyDescent="0.35">
      <c r="B27" s="626">
        <f>IF(DP!$C$16=PS!$B$3,PS!B44,IF(DP!$C$16=PS!$N$3,PS!N44,IF(DP!$C$16=PS!$AF$3,PS!AF44)))</f>
        <v>0</v>
      </c>
      <c r="D27" s="94">
        <f>IF(DP!$C$16=PS!$B$3,PS!K44,IF(DP!$C$16=PS!$N$3,PS!AC44,IF(DP!$C$16=PS!$AF$3,PS!AP44)))</f>
        <v>0</v>
      </c>
      <c r="E27" s="173"/>
      <c r="F27" s="93">
        <f t="shared" si="1"/>
        <v>0</v>
      </c>
    </row>
    <row r="28" spans="2:6" ht="15.5" x14ac:dyDescent="0.35">
      <c r="B28" s="40" t="s">
        <v>146</v>
      </c>
      <c r="D28" s="174">
        <f>SUM(D19:D27)</f>
        <v>16339.534849291937</v>
      </c>
      <c r="E28" s="175"/>
      <c r="F28" s="174">
        <f>SUM(F19:F27)</f>
        <v>196074.41819150324</v>
      </c>
    </row>
    <row r="29" spans="2:6" ht="15.5" x14ac:dyDescent="0.35">
      <c r="B29" s="33" t="s">
        <v>80</v>
      </c>
      <c r="D29" s="171"/>
      <c r="E29" s="173"/>
      <c r="F29" s="171"/>
    </row>
    <row r="30" spans="2:6" ht="15.5" x14ac:dyDescent="0.35">
      <c r="B30" s="66" t="s">
        <v>567</v>
      </c>
      <c r="D30" s="172">
        <v>22000</v>
      </c>
      <c r="E30" s="173"/>
      <c r="F30" s="93">
        <f t="shared" ref="F30:F52" si="2">D30*12</f>
        <v>264000</v>
      </c>
    </row>
    <row r="31" spans="2:6" ht="15.5" x14ac:dyDescent="0.35">
      <c r="B31" s="66"/>
      <c r="D31" s="172"/>
      <c r="E31" s="173"/>
      <c r="F31" s="93">
        <f t="shared" si="2"/>
        <v>0</v>
      </c>
    </row>
    <row r="32" spans="2:6" ht="15.5" x14ac:dyDescent="0.35">
      <c r="B32" s="66"/>
      <c r="D32" s="172"/>
      <c r="E32" s="173"/>
      <c r="F32" s="93">
        <f t="shared" si="2"/>
        <v>0</v>
      </c>
    </row>
    <row r="33" spans="2:6" ht="15.5" x14ac:dyDescent="0.35">
      <c r="B33" s="66"/>
      <c r="D33" s="172"/>
      <c r="E33" s="173"/>
      <c r="F33" s="93">
        <f t="shared" si="2"/>
        <v>0</v>
      </c>
    </row>
    <row r="34" spans="2:6" ht="15.5" x14ac:dyDescent="0.35">
      <c r="B34" s="66"/>
      <c r="D34" s="172"/>
      <c r="E34" s="173"/>
      <c r="F34" s="93">
        <f t="shared" si="2"/>
        <v>0</v>
      </c>
    </row>
    <row r="35" spans="2:6" ht="15.5" x14ac:dyDescent="0.35">
      <c r="B35" s="66"/>
      <c r="D35" s="172"/>
      <c r="E35" s="173"/>
      <c r="F35" s="93">
        <f t="shared" si="2"/>
        <v>0</v>
      </c>
    </row>
    <row r="36" spans="2:6" ht="15.5" x14ac:dyDescent="0.35">
      <c r="B36" s="66"/>
      <c r="D36" s="172"/>
      <c r="E36" s="173"/>
      <c r="F36" s="93">
        <f t="shared" si="2"/>
        <v>0</v>
      </c>
    </row>
    <row r="37" spans="2:6" ht="15.5" x14ac:dyDescent="0.35">
      <c r="B37" s="66"/>
      <c r="D37" s="172"/>
      <c r="E37" s="173"/>
      <c r="F37" s="93">
        <f t="shared" si="2"/>
        <v>0</v>
      </c>
    </row>
    <row r="38" spans="2:6" ht="15.5" x14ac:dyDescent="0.35">
      <c r="B38" s="66"/>
      <c r="D38" s="172"/>
      <c r="E38" s="173"/>
      <c r="F38" s="93">
        <f t="shared" si="2"/>
        <v>0</v>
      </c>
    </row>
    <row r="39" spans="2:6" ht="15.5" x14ac:dyDescent="0.35">
      <c r="B39" s="66"/>
      <c r="D39" s="172"/>
      <c r="E39" s="173"/>
      <c r="F39" s="93">
        <f t="shared" si="2"/>
        <v>0</v>
      </c>
    </row>
    <row r="40" spans="2:6" ht="15.5" x14ac:dyDescent="0.35">
      <c r="B40" s="66"/>
      <c r="D40" s="172"/>
      <c r="E40" s="173"/>
      <c r="F40" s="93">
        <f t="shared" si="2"/>
        <v>0</v>
      </c>
    </row>
    <row r="41" spans="2:6" ht="15.5" x14ac:dyDescent="0.35">
      <c r="B41" s="66"/>
      <c r="D41" s="172"/>
      <c r="E41" s="173"/>
      <c r="F41" s="93">
        <f t="shared" si="2"/>
        <v>0</v>
      </c>
    </row>
    <row r="42" spans="2:6" ht="15.5" x14ac:dyDescent="0.35">
      <c r="B42" s="66"/>
      <c r="D42" s="172"/>
      <c r="E42" s="173"/>
      <c r="F42" s="93">
        <f t="shared" si="2"/>
        <v>0</v>
      </c>
    </row>
    <row r="43" spans="2:6" ht="15.5" x14ac:dyDescent="0.35">
      <c r="B43" s="66"/>
      <c r="D43" s="172"/>
      <c r="E43" s="173"/>
      <c r="F43" s="93">
        <f t="shared" si="2"/>
        <v>0</v>
      </c>
    </row>
    <row r="44" spans="2:6" ht="15.5" x14ac:dyDescent="0.35">
      <c r="B44" s="66"/>
      <c r="D44" s="172"/>
      <c r="E44" s="173"/>
      <c r="F44" s="93">
        <f t="shared" si="2"/>
        <v>0</v>
      </c>
    </row>
    <row r="45" spans="2:6" ht="15.5" x14ac:dyDescent="0.35">
      <c r="B45" s="66"/>
      <c r="D45" s="172"/>
      <c r="E45" s="173"/>
      <c r="F45" s="93">
        <f t="shared" si="2"/>
        <v>0</v>
      </c>
    </row>
    <row r="46" spans="2:6" ht="15.5" x14ac:dyDescent="0.35">
      <c r="B46" s="64"/>
      <c r="D46" s="717"/>
      <c r="E46" s="173"/>
      <c r="F46" s="93">
        <f t="shared" si="2"/>
        <v>0</v>
      </c>
    </row>
    <row r="47" spans="2:6" ht="15.5" x14ac:dyDescent="0.35">
      <c r="B47" s="64"/>
      <c r="D47" s="172"/>
      <c r="E47" s="173"/>
      <c r="F47" s="93">
        <f t="shared" si="2"/>
        <v>0</v>
      </c>
    </row>
    <row r="48" spans="2:6" ht="15.5" x14ac:dyDescent="0.35">
      <c r="B48" s="65"/>
      <c r="D48" s="172"/>
      <c r="E48" s="173"/>
      <c r="F48" s="93">
        <f t="shared" si="2"/>
        <v>0</v>
      </c>
    </row>
    <row r="49" spans="2:6" ht="15.5" x14ac:dyDescent="0.35">
      <c r="B49" s="64"/>
      <c r="D49" s="172"/>
      <c r="E49" s="173"/>
      <c r="F49" s="93">
        <f t="shared" si="2"/>
        <v>0</v>
      </c>
    </row>
    <row r="50" spans="2:6" ht="15.5" x14ac:dyDescent="0.35">
      <c r="B50" s="64"/>
      <c r="D50" s="172"/>
      <c r="E50" s="173"/>
      <c r="F50" s="93">
        <f t="shared" si="2"/>
        <v>0</v>
      </c>
    </row>
    <row r="51" spans="2:6" ht="15.5" x14ac:dyDescent="0.35">
      <c r="B51" s="64"/>
      <c r="D51" s="172"/>
      <c r="E51" s="173"/>
      <c r="F51" s="93">
        <f t="shared" si="2"/>
        <v>0</v>
      </c>
    </row>
    <row r="52" spans="2:6" ht="15.5" x14ac:dyDescent="0.35">
      <c r="B52" s="66"/>
      <c r="D52" s="172"/>
      <c r="E52" s="173"/>
      <c r="F52" s="93">
        <f t="shared" si="2"/>
        <v>0</v>
      </c>
    </row>
    <row r="53" spans="2:6" ht="15.5" x14ac:dyDescent="0.35">
      <c r="B53" s="40" t="s">
        <v>149</v>
      </c>
      <c r="D53" s="174">
        <f>SUM(D30:D52)</f>
        <v>22000</v>
      </c>
      <c r="E53" s="175"/>
      <c r="F53" s="174">
        <f>SUM(F30:F52)</f>
        <v>264000</v>
      </c>
    </row>
  </sheetData>
  <mergeCells count="4">
    <mergeCell ref="B5:B6"/>
    <mergeCell ref="D5:D6"/>
    <mergeCell ref="F5:F6"/>
    <mergeCell ref="B2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387F-7F7D-4388-BF84-5F46FD40C60E}">
  <sheetPr codeName="Hoja9">
    <tabColor theme="8" tint="0.79998168889431442"/>
  </sheetPr>
  <dimension ref="B1:G37"/>
  <sheetViews>
    <sheetView showGridLines="0" zoomScale="78" zoomScaleNormal="66" workbookViewId="0">
      <selection activeCell="I33" sqref="I33"/>
    </sheetView>
  </sheetViews>
  <sheetFormatPr baseColWidth="10" defaultRowHeight="14.5" x14ac:dyDescent="0.35"/>
  <cols>
    <col min="1" max="1" width="2.6328125" customWidth="1"/>
    <col min="2" max="2" width="32.08984375" customWidth="1"/>
    <col min="3" max="3" width="27.36328125" customWidth="1"/>
    <col min="5" max="5" width="12.36328125" customWidth="1"/>
    <col min="6" max="6" width="13.36328125" customWidth="1"/>
    <col min="7" max="7" width="15.54296875" customWidth="1"/>
  </cols>
  <sheetData>
    <row r="1" spans="2:7" ht="15" thickBot="1" x14ac:dyDescent="0.4"/>
    <row r="2" spans="2:7" ht="25.5" customHeight="1" x14ac:dyDescent="0.35">
      <c r="B2" s="980" t="s">
        <v>452</v>
      </c>
      <c r="C2" s="981"/>
    </row>
    <row r="3" spans="2:7" ht="36" customHeight="1" thickBot="1" x14ac:dyDescent="0.4">
      <c r="B3" s="982"/>
      <c r="C3" s="983"/>
    </row>
    <row r="5" spans="2:7" ht="15" thickBot="1" x14ac:dyDescent="0.4"/>
    <row r="6" spans="2:7" ht="16" thickBot="1" x14ac:dyDescent="0.4">
      <c r="B6" s="79" t="s">
        <v>205</v>
      </c>
      <c r="C6" s="646">
        <v>0</v>
      </c>
    </row>
    <row r="7" spans="2:7" ht="30.5" thickBot="1" x14ac:dyDescent="0.4">
      <c r="B7" s="974" t="s">
        <v>78</v>
      </c>
      <c r="C7" s="976" t="str">
        <f>IV0!B2</f>
        <v>ACTIVOS FIJOS</v>
      </c>
      <c r="D7" s="78" t="s">
        <v>303</v>
      </c>
      <c r="E7" s="79" t="s">
        <v>278</v>
      </c>
      <c r="F7" s="78" t="s">
        <v>303</v>
      </c>
      <c r="G7" s="79" t="s">
        <v>278</v>
      </c>
    </row>
    <row r="8" spans="2:7" ht="17" customHeight="1" thickBot="1" x14ac:dyDescent="0.4">
      <c r="B8" s="975"/>
      <c r="C8" s="977"/>
      <c r="D8" s="84" t="s">
        <v>202</v>
      </c>
      <c r="E8" s="83" t="s">
        <v>202</v>
      </c>
      <c r="F8" s="345" t="s">
        <v>203</v>
      </c>
      <c r="G8" s="340" t="s">
        <v>203</v>
      </c>
    </row>
    <row r="9" spans="2:7" ht="15.5" x14ac:dyDescent="0.35">
      <c r="B9" s="82" t="str">
        <f>IV0!B6</f>
        <v>TERRENOS</v>
      </c>
      <c r="C9" s="341">
        <f>IV0!E9</f>
        <v>0</v>
      </c>
      <c r="D9" s="608">
        <f>DP!AN61</f>
        <v>0.5</v>
      </c>
      <c r="E9" s="92">
        <f>1-D9</f>
        <v>0.5</v>
      </c>
      <c r="F9" s="346">
        <f>$C9*D9</f>
        <v>0</v>
      </c>
      <c r="G9" s="347">
        <f>$C9*E9</f>
        <v>0</v>
      </c>
    </row>
    <row r="10" spans="2:7" ht="15.5" x14ac:dyDescent="0.35">
      <c r="B10" s="80" t="str">
        <f>IV0!B10</f>
        <v>EDIFICIOS Y OBRAS CIVILES</v>
      </c>
      <c r="C10" s="342">
        <f>IV0!E16</f>
        <v>108000</v>
      </c>
      <c r="D10" s="608">
        <f>DP!AN62</f>
        <v>0.5</v>
      </c>
      <c r="E10" s="92">
        <f t="shared" ref="E10:E19" si="0">1-D10</f>
        <v>0.5</v>
      </c>
      <c r="F10" s="346">
        <f t="shared" ref="F10:F17" si="1">$C10*D10</f>
        <v>54000</v>
      </c>
      <c r="G10" s="347">
        <f t="shared" ref="G10:G18" si="2">$C10*E10</f>
        <v>54000</v>
      </c>
    </row>
    <row r="11" spans="2:7" ht="15.5" x14ac:dyDescent="0.35">
      <c r="B11" s="80" t="str">
        <f>IV0!B17</f>
        <v xml:space="preserve">EQUIPO Y MAQUINARIA </v>
      </c>
      <c r="C11" s="342">
        <f>IV0!E30</f>
        <v>72000</v>
      </c>
      <c r="D11" s="608">
        <f>DP!AN63</f>
        <v>0.5</v>
      </c>
      <c r="E11" s="92">
        <f t="shared" si="0"/>
        <v>0.5</v>
      </c>
      <c r="F11" s="346">
        <f t="shared" si="1"/>
        <v>36000</v>
      </c>
      <c r="G11" s="347">
        <f t="shared" si="2"/>
        <v>36000</v>
      </c>
    </row>
    <row r="12" spans="2:7" ht="15.5" x14ac:dyDescent="0.35">
      <c r="B12" s="80" t="str">
        <f>IV0!B31</f>
        <v>MUEBLES Y ENSERES</v>
      </c>
      <c r="C12" s="342">
        <f>IV0!E42</f>
        <v>1840</v>
      </c>
      <c r="D12" s="608">
        <f>DP!AN64</f>
        <v>0.5</v>
      </c>
      <c r="E12" s="92">
        <f t="shared" si="0"/>
        <v>0.5</v>
      </c>
      <c r="F12" s="346">
        <f t="shared" si="1"/>
        <v>920</v>
      </c>
      <c r="G12" s="347">
        <f>$C12*E12</f>
        <v>920</v>
      </c>
    </row>
    <row r="13" spans="2:7" ht="15.5" x14ac:dyDescent="0.35">
      <c r="B13" s="80" t="str">
        <f>IV0!B43</f>
        <v>EQUIPOS DE COMPUTACIÓN</v>
      </c>
      <c r="C13" s="342">
        <f>IV0!E53</f>
        <v>7000</v>
      </c>
      <c r="D13" s="608">
        <f>DP!AN65</f>
        <v>0.5</v>
      </c>
      <c r="E13" s="92">
        <f t="shared" si="0"/>
        <v>0.5</v>
      </c>
      <c r="F13" s="346">
        <f t="shared" si="1"/>
        <v>3500</v>
      </c>
      <c r="G13" s="347">
        <f t="shared" si="2"/>
        <v>3500</v>
      </c>
    </row>
    <row r="14" spans="2:7" ht="15.5" x14ac:dyDescent="0.35">
      <c r="B14" s="80" t="str">
        <f>IV0!B54</f>
        <v>VEHICULOS</v>
      </c>
      <c r="C14" s="342">
        <f>IV0!E64</f>
        <v>37500</v>
      </c>
      <c r="D14" s="608">
        <f>DP!AN66</f>
        <v>0.5</v>
      </c>
      <c r="E14" s="92">
        <f t="shared" si="0"/>
        <v>0.5</v>
      </c>
      <c r="F14" s="346">
        <f t="shared" si="1"/>
        <v>18750</v>
      </c>
      <c r="G14" s="347">
        <f t="shared" si="2"/>
        <v>18750</v>
      </c>
    </row>
    <row r="15" spans="2:7" ht="15.5" x14ac:dyDescent="0.35">
      <c r="B15" s="80" t="str">
        <f>IV0!B65</f>
        <v>PLANTACIÓN AGRÍCOLA</v>
      </c>
      <c r="C15" s="343">
        <f>IV0!E72</f>
        <v>0</v>
      </c>
      <c r="D15" s="608">
        <f>DP!AN67</f>
        <v>0.5</v>
      </c>
      <c r="E15" s="92">
        <f t="shared" si="0"/>
        <v>0.5</v>
      </c>
      <c r="F15" s="346">
        <f t="shared" si="1"/>
        <v>0</v>
      </c>
      <c r="G15" s="347">
        <f t="shared" si="2"/>
        <v>0</v>
      </c>
    </row>
    <row r="16" spans="2:7" ht="15.5" x14ac:dyDescent="0.35">
      <c r="B16" s="80" t="str">
        <f>IV0!B73</f>
        <v>ANIMALES REPRODUCTORES</v>
      </c>
      <c r="C16" s="343">
        <f>IV0!E80</f>
        <v>0</v>
      </c>
      <c r="D16" s="608">
        <f>DP!AN68</f>
        <v>0.5</v>
      </c>
      <c r="E16" s="92">
        <f t="shared" si="0"/>
        <v>0.5</v>
      </c>
      <c r="F16" s="346">
        <f t="shared" si="1"/>
        <v>0</v>
      </c>
      <c r="G16" s="347">
        <f t="shared" si="2"/>
        <v>0</v>
      </c>
    </row>
    <row r="17" spans="2:7" ht="15.5" x14ac:dyDescent="0.35">
      <c r="B17" s="80" t="str">
        <f>IV0!B81</f>
        <v>OTROS ACTIVOS</v>
      </c>
      <c r="C17" s="343">
        <f>IV0!E88</f>
        <v>0</v>
      </c>
      <c r="D17" s="608">
        <f>DP!AN69</f>
        <v>0.5</v>
      </c>
      <c r="E17" s="92">
        <f t="shared" si="0"/>
        <v>0.5</v>
      </c>
      <c r="F17" s="346">
        <f t="shared" si="1"/>
        <v>0</v>
      </c>
      <c r="G17" s="347">
        <f t="shared" si="2"/>
        <v>0</v>
      </c>
    </row>
    <row r="18" spans="2:7" ht="15.5" x14ac:dyDescent="0.35">
      <c r="B18" s="81" t="str">
        <f>IV0!B89</f>
        <v>ACTIVOS DIFERIDOS</v>
      </c>
      <c r="C18" s="342">
        <f>IV0!E93</f>
        <v>10000</v>
      </c>
      <c r="D18" s="608">
        <f>DP!AN70</f>
        <v>0.4</v>
      </c>
      <c r="E18" s="344">
        <f t="shared" si="0"/>
        <v>0.6</v>
      </c>
      <c r="F18" s="346">
        <f>$C18*D18</f>
        <v>4000</v>
      </c>
      <c r="G18" s="347">
        <f t="shared" si="2"/>
        <v>6000</v>
      </c>
    </row>
    <row r="19" spans="2:7" ht="16" thickBot="1" x14ac:dyDescent="0.4">
      <c r="B19" s="582" t="str">
        <f>IV0!B100</f>
        <v>CAPITAL DE TRABAJO</v>
      </c>
      <c r="C19" s="583">
        <f>IV0!C106</f>
        <v>340000</v>
      </c>
      <c r="D19" s="647">
        <f>DP!AN71</f>
        <v>0.5</v>
      </c>
      <c r="E19" s="648">
        <f t="shared" si="0"/>
        <v>0.5</v>
      </c>
      <c r="F19" s="649">
        <f>$C19*D19</f>
        <v>170000</v>
      </c>
      <c r="G19" s="650">
        <f t="shared" ref="G19" si="3">$C19*E19</f>
        <v>170000</v>
      </c>
    </row>
    <row r="20" spans="2:7" ht="16" thickBot="1" x14ac:dyDescent="0.4">
      <c r="B20" s="651" t="s">
        <v>564</v>
      </c>
      <c r="C20" s="652">
        <f>SUM(C9:C18)</f>
        <v>236340</v>
      </c>
      <c r="D20" s="653"/>
      <c r="E20" s="654"/>
      <c r="F20" s="655">
        <f>SUM(F9:F19)</f>
        <v>287170</v>
      </c>
      <c r="G20" s="656">
        <f>SUM(G9:G19)</f>
        <v>289170</v>
      </c>
    </row>
    <row r="23" spans="2:7" ht="16" thickBot="1" x14ac:dyDescent="0.4">
      <c r="B23" s="598" t="s">
        <v>205</v>
      </c>
      <c r="C23" s="645">
        <f>FC!F4</f>
        <v>2027</v>
      </c>
    </row>
    <row r="24" spans="2:7" ht="30.5" thickBot="1" x14ac:dyDescent="0.4">
      <c r="B24" s="978" t="s">
        <v>78</v>
      </c>
      <c r="C24" s="979" t="str">
        <f>IV0!B2</f>
        <v>ACTIVOS FIJOS</v>
      </c>
      <c r="D24" s="78" t="s">
        <v>303</v>
      </c>
      <c r="E24" s="79" t="s">
        <v>278</v>
      </c>
      <c r="F24" s="78" t="s">
        <v>303</v>
      </c>
      <c r="G24" s="79" t="s">
        <v>278</v>
      </c>
    </row>
    <row r="25" spans="2:7" ht="15" thickBot="1" x14ac:dyDescent="0.4">
      <c r="B25" s="975"/>
      <c r="C25" s="977"/>
      <c r="D25" s="84" t="s">
        <v>202</v>
      </c>
      <c r="E25" s="83" t="s">
        <v>202</v>
      </c>
      <c r="F25" s="345" t="s">
        <v>203</v>
      </c>
      <c r="G25" s="340" t="s">
        <v>203</v>
      </c>
    </row>
    <row r="26" spans="2:7" ht="15.5" x14ac:dyDescent="0.35">
      <c r="B26" s="82" t="str">
        <f>'IV2'!B6</f>
        <v>TERRENOS</v>
      </c>
      <c r="C26" s="341">
        <f>'IV2'!E9</f>
        <v>0</v>
      </c>
      <c r="D26" s="608">
        <f>DP!AX61</f>
        <v>1</v>
      </c>
      <c r="E26" s="92">
        <f t="shared" ref="E26:E36" si="4">1-D26</f>
        <v>0</v>
      </c>
      <c r="F26" s="346">
        <f>$C26*D26</f>
        <v>0</v>
      </c>
      <c r="G26" s="347">
        <f t="shared" ref="G26:G36" si="5">$C26*E26</f>
        <v>0</v>
      </c>
    </row>
    <row r="27" spans="2:7" ht="15.5" x14ac:dyDescent="0.35">
      <c r="B27" s="80" t="str">
        <f>'IV2'!B10</f>
        <v>EDIFICIOS Y OBRAS CIVILES</v>
      </c>
      <c r="C27" s="342">
        <f>'IV2'!E16</f>
        <v>0</v>
      </c>
      <c r="D27" s="608">
        <f>DP!AX62</f>
        <v>1</v>
      </c>
      <c r="E27" s="92">
        <f t="shared" si="4"/>
        <v>0</v>
      </c>
      <c r="F27" s="346">
        <f t="shared" ref="F27:F36" si="6">$C27*D27</f>
        <v>0</v>
      </c>
      <c r="G27" s="347">
        <f t="shared" si="5"/>
        <v>0</v>
      </c>
    </row>
    <row r="28" spans="2:7" ht="15.5" x14ac:dyDescent="0.35">
      <c r="B28" s="80" t="str">
        <f>'IV2'!B17</f>
        <v xml:space="preserve">EQUIPO Y MAQUINARIA </v>
      </c>
      <c r="C28" s="342">
        <f>'IV2'!E30</f>
        <v>0</v>
      </c>
      <c r="D28" s="608">
        <f>DP!AX63</f>
        <v>1</v>
      </c>
      <c r="E28" s="92">
        <f t="shared" si="4"/>
        <v>0</v>
      </c>
      <c r="F28" s="346">
        <f t="shared" si="6"/>
        <v>0</v>
      </c>
      <c r="G28" s="347">
        <f t="shared" si="5"/>
        <v>0</v>
      </c>
    </row>
    <row r="29" spans="2:7" ht="15.5" x14ac:dyDescent="0.35">
      <c r="B29" s="80" t="str">
        <f>'IV2'!B31</f>
        <v>MUEBLES Y ENSERES</v>
      </c>
      <c r="C29" s="342">
        <f>'IV2'!E42</f>
        <v>0</v>
      </c>
      <c r="D29" s="608">
        <f>DP!AX64</f>
        <v>1</v>
      </c>
      <c r="E29" s="92">
        <f t="shared" si="4"/>
        <v>0</v>
      </c>
      <c r="F29" s="346">
        <f t="shared" si="6"/>
        <v>0</v>
      </c>
      <c r="G29" s="347">
        <f t="shared" si="5"/>
        <v>0</v>
      </c>
    </row>
    <row r="30" spans="2:7" ht="15.5" x14ac:dyDescent="0.35">
      <c r="B30" s="80" t="str">
        <f>'IV2'!B43</f>
        <v>EQUIPOS DE COMPUTACIÓN</v>
      </c>
      <c r="C30" s="342">
        <f>'IV2'!E53</f>
        <v>0</v>
      </c>
      <c r="D30" s="608">
        <f>DP!AX65</f>
        <v>1</v>
      </c>
      <c r="E30" s="92">
        <f t="shared" si="4"/>
        <v>0</v>
      </c>
      <c r="F30" s="346">
        <f t="shared" si="6"/>
        <v>0</v>
      </c>
      <c r="G30" s="347">
        <f t="shared" si="5"/>
        <v>0</v>
      </c>
    </row>
    <row r="31" spans="2:7" ht="15.5" x14ac:dyDescent="0.35">
      <c r="B31" s="80" t="str">
        <f>'IV2'!B54</f>
        <v>VEHICULOS</v>
      </c>
      <c r="C31" s="342">
        <f>'IV2'!E64</f>
        <v>0</v>
      </c>
      <c r="D31" s="608">
        <f>DP!AX66</f>
        <v>1</v>
      </c>
      <c r="E31" s="92">
        <f t="shared" si="4"/>
        <v>0</v>
      </c>
      <c r="F31" s="346">
        <f t="shared" si="6"/>
        <v>0</v>
      </c>
      <c r="G31" s="347">
        <f t="shared" si="5"/>
        <v>0</v>
      </c>
    </row>
    <row r="32" spans="2:7" ht="15.5" x14ac:dyDescent="0.35">
      <c r="B32" s="80" t="str">
        <f>'IV2'!B65</f>
        <v>PLANTACIÓN AGRÍCOLA</v>
      </c>
      <c r="C32" s="343">
        <f>'IV2'!E72</f>
        <v>0</v>
      </c>
      <c r="D32" s="608">
        <f>DP!AX67</f>
        <v>1</v>
      </c>
      <c r="E32" s="92">
        <f t="shared" si="4"/>
        <v>0</v>
      </c>
      <c r="F32" s="346">
        <f t="shared" si="6"/>
        <v>0</v>
      </c>
      <c r="G32" s="347">
        <f t="shared" si="5"/>
        <v>0</v>
      </c>
    </row>
    <row r="33" spans="2:7" ht="15.5" x14ac:dyDescent="0.35">
      <c r="B33" s="80" t="str">
        <f>'IV2'!B73</f>
        <v>ANIMALES REPRODUCTORES</v>
      </c>
      <c r="C33" s="343">
        <f>'IV2'!E80</f>
        <v>0</v>
      </c>
      <c r="D33" s="608">
        <f>DP!AX68</f>
        <v>1</v>
      </c>
      <c r="E33" s="92">
        <f t="shared" si="4"/>
        <v>0</v>
      </c>
      <c r="F33" s="346">
        <f t="shared" si="6"/>
        <v>0</v>
      </c>
      <c r="G33" s="347">
        <f t="shared" si="5"/>
        <v>0</v>
      </c>
    </row>
    <row r="34" spans="2:7" ht="15.5" x14ac:dyDescent="0.35">
      <c r="B34" s="80" t="str">
        <f>'IV2'!B81</f>
        <v>OTROS ACTIVOS</v>
      </c>
      <c r="C34" s="343">
        <f>'IV2'!E88</f>
        <v>0</v>
      </c>
      <c r="D34" s="608">
        <f>DP!AX69</f>
        <v>1</v>
      </c>
      <c r="E34" s="92">
        <f t="shared" si="4"/>
        <v>0</v>
      </c>
      <c r="F34" s="346">
        <f t="shared" si="6"/>
        <v>0</v>
      </c>
      <c r="G34" s="347">
        <f t="shared" si="5"/>
        <v>0</v>
      </c>
    </row>
    <row r="35" spans="2:7" ht="15.5" x14ac:dyDescent="0.35">
      <c r="B35" s="81" t="str">
        <f>'IV2'!B89</f>
        <v>ACTIVOS DIFERIDOS</v>
      </c>
      <c r="C35" s="342">
        <f>'IV2'!E93</f>
        <v>0</v>
      </c>
      <c r="D35" s="608">
        <f>DP!AX70</f>
        <v>0</v>
      </c>
      <c r="E35" s="344">
        <f t="shared" si="4"/>
        <v>1</v>
      </c>
      <c r="F35" s="346">
        <f t="shared" si="6"/>
        <v>0</v>
      </c>
      <c r="G35" s="347">
        <f t="shared" si="5"/>
        <v>0</v>
      </c>
    </row>
    <row r="36" spans="2:7" ht="16" thickBot="1" x14ac:dyDescent="0.4">
      <c r="B36" s="582" t="str">
        <f>'IV2'!B100</f>
        <v>CAPITAL DE TRABAJO</v>
      </c>
      <c r="C36" s="583">
        <f>'IV2'!C106</f>
        <v>0</v>
      </c>
      <c r="D36" s="647">
        <f>DP!AX71</f>
        <v>1</v>
      </c>
      <c r="E36" s="648">
        <f t="shared" si="4"/>
        <v>0</v>
      </c>
      <c r="F36" s="649">
        <f t="shared" si="6"/>
        <v>0</v>
      </c>
      <c r="G36" s="650">
        <f t="shared" si="5"/>
        <v>0</v>
      </c>
    </row>
    <row r="37" spans="2:7" ht="16" thickBot="1" x14ac:dyDescent="0.4">
      <c r="B37" s="651" t="s">
        <v>564</v>
      </c>
      <c r="C37" s="652">
        <f>SUM(C26:C35)</f>
        <v>0</v>
      </c>
      <c r="D37" s="657"/>
      <c r="E37" s="658"/>
      <c r="F37" s="655">
        <f>SUM(F26:F36)</f>
        <v>0</v>
      </c>
      <c r="G37" s="656">
        <f>SUM(G26:G36)</f>
        <v>0</v>
      </c>
    </row>
  </sheetData>
  <mergeCells count="5">
    <mergeCell ref="B7:B8"/>
    <mergeCell ref="C7:C8"/>
    <mergeCell ref="B24:B25"/>
    <mergeCell ref="C24:C25"/>
    <mergeCell ref="B2:C3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32113-0F1E-4ACE-B133-557811E67DD9}">
  <sheetPr codeName="Hoja10">
    <tabColor theme="8" tint="0.79998168889431442"/>
  </sheetPr>
  <dimension ref="B1:AO442"/>
  <sheetViews>
    <sheetView showGridLines="0" zoomScale="63" zoomScaleNormal="100" workbookViewId="0">
      <selection activeCell="J16" sqref="J16"/>
    </sheetView>
  </sheetViews>
  <sheetFormatPr baseColWidth="10" defaultRowHeight="15.5" x14ac:dyDescent="0.35"/>
  <cols>
    <col min="1" max="1" width="2.6328125" customWidth="1"/>
    <col min="2" max="2" width="19.1796875" style="6" customWidth="1"/>
    <col min="3" max="3" width="17.453125" style="6" customWidth="1"/>
    <col min="4" max="4" width="15.6328125" style="6" customWidth="1"/>
    <col min="5" max="5" width="19.90625" style="6" customWidth="1"/>
    <col min="6" max="6" width="15.6328125" style="6" customWidth="1"/>
    <col min="7" max="7" width="8.90625" customWidth="1"/>
    <col min="8" max="8" width="7.453125" customWidth="1"/>
    <col min="9" max="21" width="16.6328125" customWidth="1"/>
    <col min="37" max="37" width="10.90625" customWidth="1"/>
    <col min="38" max="38" width="24" customWidth="1"/>
  </cols>
  <sheetData>
    <row r="1" spans="2:41" ht="16" thickBot="1" x14ac:dyDescent="0.4"/>
    <row r="2" spans="2:41" ht="25" customHeight="1" x14ac:dyDescent="0.35">
      <c r="B2" s="984" t="s">
        <v>242</v>
      </c>
      <c r="C2" s="985"/>
      <c r="D2" s="985"/>
      <c r="E2" s="985"/>
      <c r="F2" s="986"/>
    </row>
    <row r="3" spans="2:41" ht="14.5" customHeight="1" thickBot="1" x14ac:dyDescent="0.4">
      <c r="B3" s="987"/>
      <c r="C3" s="988"/>
      <c r="D3" s="988"/>
      <c r="E3" s="988"/>
      <c r="F3" s="989"/>
      <c r="G3" s="59"/>
      <c r="H3" s="59"/>
      <c r="I3" s="59"/>
      <c r="J3" s="59"/>
      <c r="K3" s="59"/>
      <c r="L3" s="59"/>
    </row>
    <row r="4" spans="2:41" ht="14.5" customHeight="1" x14ac:dyDescent="0.35">
      <c r="G4" s="59"/>
      <c r="H4" s="59"/>
      <c r="I4" s="59"/>
      <c r="J4" s="59"/>
      <c r="K4" s="59"/>
      <c r="L4" s="59"/>
    </row>
    <row r="5" spans="2:41" ht="29.5" customHeight="1" x14ac:dyDescent="0.35">
      <c r="B5" s="184" t="s">
        <v>89</v>
      </c>
      <c r="C5" s="185"/>
      <c r="E5" s="186" t="s">
        <v>302</v>
      </c>
      <c r="F5" s="602">
        <f>EF!G20</f>
        <v>289170</v>
      </c>
      <c r="G5" s="230"/>
      <c r="H5" s="230"/>
    </row>
    <row r="6" spans="2:41" ht="29.5" customHeight="1" x14ac:dyDescent="0.35">
      <c r="B6" s="186" t="s">
        <v>90</v>
      </c>
      <c r="C6" s="185"/>
      <c r="E6" s="186" t="s">
        <v>91</v>
      </c>
      <c r="F6" s="603">
        <f>DP!C15</f>
        <v>0.11</v>
      </c>
      <c r="G6" s="604">
        <f>IF(AK18=AK19,AM19,IF(AK18=AK20,AM20,IF(AK18=AK21,AM21,IF(AK18=AK22,AM22,"ERROR"))))</f>
        <v>0.11</v>
      </c>
      <c r="H6" s="604" t="str">
        <f>IF(AK18=AK19,AL19,IF(AK18=AK20,AL20,IF(AK18=AK21,AL21,IF(AK18=AK22,AL22,"ERROR"))))</f>
        <v>ANUAL</v>
      </c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</row>
    <row r="7" spans="2:41" ht="27.5" customHeight="1" x14ac:dyDescent="0.35">
      <c r="B7" s="186" t="s">
        <v>92</v>
      </c>
      <c r="C7" s="185"/>
      <c r="E7" s="186" t="s">
        <v>93</v>
      </c>
      <c r="F7" s="859">
        <v>10</v>
      </c>
      <c r="G7" s="230"/>
      <c r="H7" s="605" t="str">
        <f>IF(F7&gt;30,"   Paso limite de años. Max. 30"," ")</f>
        <v xml:space="preserve"> </v>
      </c>
      <c r="I7" s="48"/>
      <c r="J7" s="601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</row>
    <row r="8" spans="2:41" ht="30" customHeight="1" thickBot="1" x14ac:dyDescent="0.4">
      <c r="E8" s="186" t="s">
        <v>94</v>
      </c>
      <c r="F8" s="606">
        <f>IF(AK18=1,F7*1,IF(AK18=2,F7*2,IF(AK18=3,F7*4,IF(AK18=4,F7*12,"ERROR"))))</f>
        <v>10</v>
      </c>
      <c r="G8" s="230"/>
      <c r="H8" s="230"/>
    </row>
    <row r="9" spans="2:41" ht="16" thickBot="1" x14ac:dyDescent="0.4">
      <c r="G9" s="49"/>
      <c r="AK9" s="50">
        <v>2</v>
      </c>
      <c r="AL9" s="51"/>
    </row>
    <row r="10" spans="2:41" ht="41.5" customHeight="1" thickBot="1" x14ac:dyDescent="0.4">
      <c r="B10" s="56" t="str">
        <f>IF($AK$18=1,"PERIODO"&amp;" ("&amp;AL19&amp;")",IF($AK$18=2,"PERIODO"&amp;" ("&amp;AL20&amp;")",IF($AK$18=3,"PERIODO"&amp;" ("&amp;AL21&amp;")","PERIODO"&amp;" ("&amp;AL22&amp;")")))</f>
        <v>PERIODO (ANUAL)</v>
      </c>
      <c r="C10" s="57" t="s">
        <v>95</v>
      </c>
      <c r="D10" s="57" t="s">
        <v>96</v>
      </c>
      <c r="E10" s="57" t="s">
        <v>97</v>
      </c>
      <c r="F10" s="58" t="s">
        <v>98</v>
      </c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AK10" s="52">
        <v>1</v>
      </c>
      <c r="AL10" s="52" t="s">
        <v>99</v>
      </c>
      <c r="AN10" s="30"/>
    </row>
    <row r="11" spans="2:41" ht="16" thickBot="1" x14ac:dyDescent="0.4">
      <c r="B11" s="187">
        <v>0</v>
      </c>
      <c r="C11" s="194"/>
      <c r="D11" s="193"/>
      <c r="E11" s="193"/>
      <c r="F11" s="193">
        <f>MONTO</f>
        <v>289170</v>
      </c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AK11" s="51">
        <v>2</v>
      </c>
      <c r="AL11" s="51" t="s">
        <v>100</v>
      </c>
    </row>
    <row r="12" spans="2:41" ht="16" thickBot="1" x14ac:dyDescent="0.4">
      <c r="B12" s="188">
        <v>1</v>
      </c>
      <c r="C12" s="195">
        <f t="shared" ref="C12:C75" si="0">IF(($B12&lt;=$F$8),IF($AK$14=1,PMT($G$6,$F$8,-MONTO),D12+E12)," ")</f>
        <v>60725.7</v>
      </c>
      <c r="D12" s="195">
        <f t="shared" ref="D12:D75" si="1">IF(($B12&lt;=$F$8),$F11*INTERES," ")</f>
        <v>31808.7</v>
      </c>
      <c r="E12" s="195">
        <f>IF(($B12&lt;=$F$8),IF($AK$14=1,C12-D12,$F$5/$F$8),0*1)</f>
        <v>28917</v>
      </c>
      <c r="F12" s="195">
        <f t="shared" ref="F12:F21" si="2">IF(($B12&lt;=$F$8),F11-E12,0*1)</f>
        <v>260253</v>
      </c>
      <c r="AK12" s="51">
        <v>3</v>
      </c>
      <c r="AL12" s="51" t="s">
        <v>10</v>
      </c>
      <c r="AO12" s="53"/>
    </row>
    <row r="13" spans="2:41" x14ac:dyDescent="0.35">
      <c r="B13" s="188">
        <f t="shared" ref="B13:B76" si="3">IF((B12&lt;$F$8),B12+1," ")</f>
        <v>2</v>
      </c>
      <c r="C13" s="195">
        <f t="shared" ref="C13:C21" si="4">IF(($B13&lt;=$F$8),IF($AK$14=1,PMT($G$6,$F$8,-MONTO),D13+E13),0*1)</f>
        <v>57544.83</v>
      </c>
      <c r="D13" s="195">
        <f t="shared" ref="D13:D21" si="5">IF(($B13&lt;=$F$8),$F12*INTERES,0*1)</f>
        <v>28627.83</v>
      </c>
      <c r="E13" s="195">
        <f t="shared" ref="E13:E21" si="6">IF(($B13&lt;=$F$8),IF($AK$14=1,C13-D13,$F$5/$F$8),0*1)</f>
        <v>28917</v>
      </c>
      <c r="F13" s="195">
        <f t="shared" si="2"/>
        <v>231336</v>
      </c>
      <c r="AO13" s="53"/>
    </row>
    <row r="14" spans="2:41" x14ac:dyDescent="0.35">
      <c r="B14" s="188">
        <f t="shared" si="3"/>
        <v>3</v>
      </c>
      <c r="C14" s="195">
        <f t="shared" si="4"/>
        <v>54363.96</v>
      </c>
      <c r="D14" s="195">
        <f t="shared" si="5"/>
        <v>25446.959999999999</v>
      </c>
      <c r="E14" s="195">
        <f t="shared" si="6"/>
        <v>28917</v>
      </c>
      <c r="F14" s="195">
        <f t="shared" si="2"/>
        <v>202419</v>
      </c>
      <c r="AK14" s="54">
        <v>2</v>
      </c>
      <c r="AL14" s="11"/>
      <c r="AO14" s="53"/>
    </row>
    <row r="15" spans="2:41" x14ac:dyDescent="0.35">
      <c r="B15" s="188">
        <f t="shared" si="3"/>
        <v>4</v>
      </c>
      <c r="C15" s="195">
        <f t="shared" si="4"/>
        <v>51183.09</v>
      </c>
      <c r="D15" s="195">
        <f t="shared" si="5"/>
        <v>22266.09</v>
      </c>
      <c r="E15" s="195">
        <f t="shared" si="6"/>
        <v>28917</v>
      </c>
      <c r="F15" s="195">
        <f t="shared" si="2"/>
        <v>173502</v>
      </c>
      <c r="AK15" s="11">
        <v>1</v>
      </c>
      <c r="AL15" s="11" t="s">
        <v>101</v>
      </c>
      <c r="AO15" s="53"/>
    </row>
    <row r="16" spans="2:41" x14ac:dyDescent="0.35">
      <c r="B16" s="188">
        <f t="shared" si="3"/>
        <v>5</v>
      </c>
      <c r="C16" s="195">
        <f t="shared" si="4"/>
        <v>48002.22</v>
      </c>
      <c r="D16" s="195">
        <f t="shared" si="5"/>
        <v>19085.22</v>
      </c>
      <c r="E16" s="195">
        <f t="shared" si="6"/>
        <v>28917</v>
      </c>
      <c r="F16" s="195">
        <f t="shared" si="2"/>
        <v>144585</v>
      </c>
      <c r="AK16" s="11">
        <v>2</v>
      </c>
      <c r="AL16" s="11" t="s">
        <v>102</v>
      </c>
      <c r="AO16" s="53"/>
    </row>
    <row r="17" spans="2:41" x14ac:dyDescent="0.35">
      <c r="B17" s="188">
        <f t="shared" si="3"/>
        <v>6</v>
      </c>
      <c r="C17" s="195">
        <f t="shared" si="4"/>
        <v>44821.35</v>
      </c>
      <c r="D17" s="195">
        <f t="shared" si="5"/>
        <v>15904.35</v>
      </c>
      <c r="E17" s="195">
        <f t="shared" si="6"/>
        <v>28917</v>
      </c>
      <c r="F17" s="195">
        <f t="shared" si="2"/>
        <v>115668</v>
      </c>
      <c r="AO17" s="53"/>
    </row>
    <row r="18" spans="2:41" x14ac:dyDescent="0.35">
      <c r="B18" s="188">
        <f t="shared" si="3"/>
        <v>7</v>
      </c>
      <c r="C18" s="195">
        <f t="shared" si="4"/>
        <v>41640.479999999996</v>
      </c>
      <c r="D18" s="195">
        <f t="shared" si="5"/>
        <v>12723.48</v>
      </c>
      <c r="E18" s="195">
        <f t="shared" si="6"/>
        <v>28917</v>
      </c>
      <c r="F18" s="195">
        <f t="shared" si="2"/>
        <v>86751</v>
      </c>
      <c r="AK18" s="54">
        <v>1</v>
      </c>
      <c r="AL18" s="11"/>
      <c r="AM18" t="s">
        <v>103</v>
      </c>
      <c r="AO18" s="53"/>
    </row>
    <row r="19" spans="2:41" x14ac:dyDescent="0.35">
      <c r="B19" s="188">
        <f t="shared" si="3"/>
        <v>8</v>
      </c>
      <c r="C19" s="195">
        <f t="shared" si="4"/>
        <v>38459.61</v>
      </c>
      <c r="D19" s="195">
        <f t="shared" si="5"/>
        <v>9542.61</v>
      </c>
      <c r="E19" s="195">
        <f t="shared" si="6"/>
        <v>28917</v>
      </c>
      <c r="F19" s="195">
        <f t="shared" si="2"/>
        <v>57834</v>
      </c>
      <c r="AK19" s="11">
        <v>1</v>
      </c>
      <c r="AL19" s="10" t="s">
        <v>104</v>
      </c>
      <c r="AM19" s="55">
        <f>TASA/1</f>
        <v>0.11</v>
      </c>
      <c r="AO19" s="53"/>
    </row>
    <row r="20" spans="2:41" x14ac:dyDescent="0.35">
      <c r="B20" s="188">
        <f t="shared" si="3"/>
        <v>9</v>
      </c>
      <c r="C20" s="195">
        <f t="shared" si="4"/>
        <v>35278.74</v>
      </c>
      <c r="D20" s="195">
        <f t="shared" si="5"/>
        <v>6361.74</v>
      </c>
      <c r="E20" s="195">
        <f t="shared" si="6"/>
        <v>28917</v>
      </c>
      <c r="F20" s="195">
        <f t="shared" si="2"/>
        <v>28917</v>
      </c>
      <c r="AK20" s="11">
        <v>2</v>
      </c>
      <c r="AL20" s="10" t="s">
        <v>105</v>
      </c>
      <c r="AM20" s="55">
        <f>TASA/2</f>
        <v>5.5E-2</v>
      </c>
      <c r="AO20" s="53"/>
    </row>
    <row r="21" spans="2:41" x14ac:dyDescent="0.35">
      <c r="B21" s="188">
        <f t="shared" si="3"/>
        <v>10</v>
      </c>
      <c r="C21" s="195">
        <f t="shared" si="4"/>
        <v>32097.87</v>
      </c>
      <c r="D21" s="195">
        <f t="shared" si="5"/>
        <v>3180.87</v>
      </c>
      <c r="E21" s="195">
        <f t="shared" si="6"/>
        <v>28917</v>
      </c>
      <c r="F21" s="195">
        <f t="shared" si="2"/>
        <v>0</v>
      </c>
      <c r="AK21" s="11">
        <v>3</v>
      </c>
      <c r="AL21" s="10" t="s">
        <v>106</v>
      </c>
      <c r="AM21" s="55">
        <f>TASA/4</f>
        <v>2.75E-2</v>
      </c>
      <c r="AO21" s="53"/>
    </row>
    <row r="22" spans="2:41" x14ac:dyDescent="0.35">
      <c r="B22" s="189" t="str">
        <f t="shared" si="3"/>
        <v xml:space="preserve"> </v>
      </c>
      <c r="C22" s="196" t="str">
        <f t="shared" si="0"/>
        <v xml:space="preserve"> </v>
      </c>
      <c r="D22" s="196" t="str">
        <f t="shared" si="1"/>
        <v xml:space="preserve"> </v>
      </c>
      <c r="E22" s="196" t="str">
        <f t="shared" ref="E22:E75" si="7">IF(($B22&lt;=$F$8),IF($AK$14=1,C22-D22,$F$5/$F$8)," ")</f>
        <v xml:space="preserve"> </v>
      </c>
      <c r="F22" s="196" t="str">
        <f t="shared" ref="F22:F75" si="8">IF(($B22&lt;=$F$8),F21-E22," ")</f>
        <v xml:space="preserve"> </v>
      </c>
      <c r="AK22" s="11">
        <v>4</v>
      </c>
      <c r="AL22" s="10" t="s">
        <v>107</v>
      </c>
      <c r="AM22" s="55">
        <f>TASA/12</f>
        <v>9.1666666666666667E-3</v>
      </c>
      <c r="AO22" s="53"/>
    </row>
    <row r="23" spans="2:41" x14ac:dyDescent="0.35">
      <c r="B23" s="189" t="str">
        <f>IF((B22&lt;$F$8),B22+1," ")</f>
        <v xml:space="preserve"> </v>
      </c>
      <c r="C23" s="196" t="str">
        <f t="shared" si="0"/>
        <v xml:space="preserve"> </v>
      </c>
      <c r="D23" s="196" t="str">
        <f t="shared" si="1"/>
        <v xml:space="preserve"> </v>
      </c>
      <c r="E23" s="196" t="str">
        <f t="shared" si="7"/>
        <v xml:space="preserve"> </v>
      </c>
      <c r="F23" s="196" t="str">
        <f t="shared" si="8"/>
        <v xml:space="preserve"> </v>
      </c>
      <c r="AO23" s="53"/>
    </row>
    <row r="24" spans="2:41" x14ac:dyDescent="0.35">
      <c r="B24" s="189" t="str">
        <f t="shared" si="3"/>
        <v xml:space="preserve"> </v>
      </c>
      <c r="C24" s="196" t="str">
        <f t="shared" si="0"/>
        <v xml:space="preserve"> </v>
      </c>
      <c r="D24" s="196" t="str">
        <f t="shared" si="1"/>
        <v xml:space="preserve"> </v>
      </c>
      <c r="E24" s="196" t="str">
        <f t="shared" si="7"/>
        <v xml:space="preserve"> </v>
      </c>
      <c r="F24" s="196" t="str">
        <f t="shared" si="8"/>
        <v xml:space="preserve"> </v>
      </c>
      <c r="AO24" s="53"/>
    </row>
    <row r="25" spans="2:41" x14ac:dyDescent="0.35">
      <c r="B25" s="189" t="str">
        <f t="shared" si="3"/>
        <v xml:space="preserve"> </v>
      </c>
      <c r="C25" s="196" t="str">
        <f t="shared" si="0"/>
        <v xml:space="preserve"> </v>
      </c>
      <c r="D25" s="196" t="str">
        <f t="shared" si="1"/>
        <v xml:space="preserve"> </v>
      </c>
      <c r="E25" s="196" t="str">
        <f t="shared" si="7"/>
        <v xml:space="preserve"> </v>
      </c>
      <c r="F25" s="196" t="str">
        <f t="shared" si="8"/>
        <v xml:space="preserve"> </v>
      </c>
      <c r="AO25" s="53"/>
    </row>
    <row r="26" spans="2:41" x14ac:dyDescent="0.35">
      <c r="B26" s="189" t="str">
        <f t="shared" si="3"/>
        <v xml:space="preserve"> </v>
      </c>
      <c r="C26" s="196" t="str">
        <f t="shared" si="0"/>
        <v xml:space="preserve"> </v>
      </c>
      <c r="D26" s="196" t="str">
        <f t="shared" si="1"/>
        <v xml:space="preserve"> </v>
      </c>
      <c r="E26" s="196" t="str">
        <f t="shared" si="7"/>
        <v xml:space="preserve"> </v>
      </c>
      <c r="F26" s="196" t="str">
        <f t="shared" si="8"/>
        <v xml:space="preserve"> </v>
      </c>
      <c r="AO26" s="53"/>
    </row>
    <row r="27" spans="2:41" x14ac:dyDescent="0.35">
      <c r="B27" s="189" t="str">
        <f t="shared" si="3"/>
        <v xml:space="preserve"> </v>
      </c>
      <c r="C27" s="196" t="str">
        <f t="shared" si="0"/>
        <v xml:space="preserve"> </v>
      </c>
      <c r="D27" s="196" t="str">
        <f t="shared" si="1"/>
        <v xml:space="preserve"> </v>
      </c>
      <c r="E27" s="196" t="str">
        <f t="shared" si="7"/>
        <v xml:space="preserve"> </v>
      </c>
      <c r="F27" s="196" t="str">
        <f t="shared" si="8"/>
        <v xml:space="preserve"> </v>
      </c>
      <c r="AO27" s="53"/>
    </row>
    <row r="28" spans="2:41" x14ac:dyDescent="0.35">
      <c r="B28" s="189" t="str">
        <f t="shared" si="3"/>
        <v xml:space="preserve"> </v>
      </c>
      <c r="C28" s="196" t="str">
        <f t="shared" si="0"/>
        <v xml:space="preserve"> </v>
      </c>
      <c r="D28" s="196" t="str">
        <f t="shared" si="1"/>
        <v xml:space="preserve"> </v>
      </c>
      <c r="E28" s="196" t="str">
        <f t="shared" si="7"/>
        <v xml:space="preserve"> </v>
      </c>
      <c r="F28" s="196" t="str">
        <f t="shared" si="8"/>
        <v xml:space="preserve"> </v>
      </c>
      <c r="V28" s="53"/>
      <c r="AO28" s="53"/>
    </row>
    <row r="29" spans="2:41" x14ac:dyDescent="0.35">
      <c r="B29" s="189" t="str">
        <f t="shared" si="3"/>
        <v xml:space="preserve"> </v>
      </c>
      <c r="C29" s="196" t="str">
        <f t="shared" si="0"/>
        <v xml:space="preserve"> </v>
      </c>
      <c r="D29" s="196" t="str">
        <f t="shared" si="1"/>
        <v xml:space="preserve"> </v>
      </c>
      <c r="E29" s="196" t="str">
        <f t="shared" si="7"/>
        <v xml:space="preserve"> </v>
      </c>
      <c r="F29" s="196" t="str">
        <f t="shared" si="8"/>
        <v xml:space="preserve"> </v>
      </c>
      <c r="AO29" s="53"/>
    </row>
    <row r="30" spans="2:41" x14ac:dyDescent="0.35">
      <c r="B30" s="189" t="str">
        <f t="shared" si="3"/>
        <v xml:space="preserve"> </v>
      </c>
      <c r="C30" s="196" t="str">
        <f t="shared" si="0"/>
        <v xml:space="preserve"> </v>
      </c>
      <c r="D30" s="196" t="str">
        <f t="shared" si="1"/>
        <v xml:space="preserve"> </v>
      </c>
      <c r="E30" s="196" t="str">
        <f t="shared" si="7"/>
        <v xml:space="preserve"> </v>
      </c>
      <c r="F30" s="196" t="str">
        <f t="shared" si="8"/>
        <v xml:space="preserve"> </v>
      </c>
      <c r="AO30" s="53"/>
    </row>
    <row r="31" spans="2:41" x14ac:dyDescent="0.35">
      <c r="B31" s="189" t="str">
        <f t="shared" si="3"/>
        <v xml:space="preserve"> </v>
      </c>
      <c r="C31" s="196" t="str">
        <f t="shared" si="0"/>
        <v xml:space="preserve"> </v>
      </c>
      <c r="D31" s="196" t="str">
        <f t="shared" si="1"/>
        <v xml:space="preserve"> </v>
      </c>
      <c r="E31" s="196" t="str">
        <f t="shared" si="7"/>
        <v xml:space="preserve"> </v>
      </c>
      <c r="F31" s="196" t="str">
        <f t="shared" si="8"/>
        <v xml:space="preserve"> </v>
      </c>
      <c r="AO31" s="53"/>
    </row>
    <row r="32" spans="2:41" x14ac:dyDescent="0.35">
      <c r="B32" s="189" t="str">
        <f t="shared" si="3"/>
        <v xml:space="preserve"> </v>
      </c>
      <c r="C32" s="196" t="str">
        <f t="shared" si="0"/>
        <v xml:space="preserve"> </v>
      </c>
      <c r="D32" s="196" t="str">
        <f t="shared" si="1"/>
        <v xml:space="preserve"> </v>
      </c>
      <c r="E32" s="196" t="str">
        <f t="shared" si="7"/>
        <v xml:space="preserve"> </v>
      </c>
      <c r="F32" s="196" t="str">
        <f t="shared" si="8"/>
        <v xml:space="preserve"> </v>
      </c>
      <c r="AO32" s="53"/>
    </row>
    <row r="33" spans="2:6" x14ac:dyDescent="0.35">
      <c r="B33" s="189" t="str">
        <f t="shared" si="3"/>
        <v xml:space="preserve"> </v>
      </c>
      <c r="C33" s="196" t="str">
        <f t="shared" si="0"/>
        <v xml:space="preserve"> </v>
      </c>
      <c r="D33" s="196" t="str">
        <f t="shared" si="1"/>
        <v xml:space="preserve"> </v>
      </c>
      <c r="E33" s="196" t="str">
        <f t="shared" si="7"/>
        <v xml:space="preserve"> </v>
      </c>
      <c r="F33" s="196" t="str">
        <f t="shared" si="8"/>
        <v xml:space="preserve"> </v>
      </c>
    </row>
    <row r="34" spans="2:6" x14ac:dyDescent="0.35">
      <c r="B34" s="189" t="str">
        <f t="shared" si="3"/>
        <v xml:space="preserve"> </v>
      </c>
      <c r="C34" s="196" t="str">
        <f t="shared" si="0"/>
        <v xml:space="preserve"> </v>
      </c>
      <c r="D34" s="196" t="str">
        <f t="shared" si="1"/>
        <v xml:space="preserve"> </v>
      </c>
      <c r="E34" s="196" t="str">
        <f t="shared" si="7"/>
        <v xml:space="preserve"> </v>
      </c>
      <c r="F34" s="196" t="str">
        <f t="shared" si="8"/>
        <v xml:space="preserve"> </v>
      </c>
    </row>
    <row r="35" spans="2:6" x14ac:dyDescent="0.35">
      <c r="B35" s="189" t="str">
        <f t="shared" si="3"/>
        <v xml:space="preserve"> </v>
      </c>
      <c r="C35" s="196" t="str">
        <f t="shared" si="0"/>
        <v xml:space="preserve"> </v>
      </c>
      <c r="D35" s="196" t="str">
        <f t="shared" si="1"/>
        <v xml:space="preserve"> </v>
      </c>
      <c r="E35" s="196" t="str">
        <f t="shared" si="7"/>
        <v xml:space="preserve"> </v>
      </c>
      <c r="F35" s="196" t="str">
        <f t="shared" si="8"/>
        <v xml:space="preserve"> </v>
      </c>
    </row>
    <row r="36" spans="2:6" x14ac:dyDescent="0.35">
      <c r="B36" s="189" t="str">
        <f t="shared" si="3"/>
        <v xml:space="preserve"> </v>
      </c>
      <c r="C36" s="196" t="str">
        <f t="shared" si="0"/>
        <v xml:space="preserve"> </v>
      </c>
      <c r="D36" s="196" t="str">
        <f t="shared" si="1"/>
        <v xml:space="preserve"> </v>
      </c>
      <c r="E36" s="196" t="str">
        <f t="shared" si="7"/>
        <v xml:space="preserve"> </v>
      </c>
      <c r="F36" s="196" t="str">
        <f t="shared" si="8"/>
        <v xml:space="preserve"> </v>
      </c>
    </row>
    <row r="37" spans="2:6" x14ac:dyDescent="0.35">
      <c r="B37" s="189" t="str">
        <f t="shared" si="3"/>
        <v xml:space="preserve"> </v>
      </c>
      <c r="C37" s="196" t="str">
        <f t="shared" si="0"/>
        <v xml:space="preserve"> </v>
      </c>
      <c r="D37" s="196" t="str">
        <f t="shared" si="1"/>
        <v xml:space="preserve"> </v>
      </c>
      <c r="E37" s="196" t="str">
        <f t="shared" si="7"/>
        <v xml:space="preserve"> </v>
      </c>
      <c r="F37" s="196" t="str">
        <f t="shared" si="8"/>
        <v xml:space="preserve"> </v>
      </c>
    </row>
    <row r="38" spans="2:6" x14ac:dyDescent="0.35">
      <c r="B38" s="189" t="str">
        <f t="shared" si="3"/>
        <v xml:space="preserve"> </v>
      </c>
      <c r="C38" s="196" t="str">
        <f t="shared" si="0"/>
        <v xml:space="preserve"> </v>
      </c>
      <c r="D38" s="196" t="str">
        <f t="shared" si="1"/>
        <v xml:space="preserve"> </v>
      </c>
      <c r="E38" s="196" t="str">
        <f t="shared" si="7"/>
        <v xml:space="preserve"> </v>
      </c>
      <c r="F38" s="196" t="str">
        <f t="shared" si="8"/>
        <v xml:space="preserve"> </v>
      </c>
    </row>
    <row r="39" spans="2:6" x14ac:dyDescent="0.35">
      <c r="B39" s="189" t="str">
        <f t="shared" si="3"/>
        <v xml:space="preserve"> </v>
      </c>
      <c r="C39" s="196" t="str">
        <f t="shared" si="0"/>
        <v xml:space="preserve"> </v>
      </c>
      <c r="D39" s="196" t="str">
        <f t="shared" si="1"/>
        <v xml:space="preserve"> </v>
      </c>
      <c r="E39" s="196" t="str">
        <f t="shared" si="7"/>
        <v xml:space="preserve"> </v>
      </c>
      <c r="F39" s="196" t="str">
        <f t="shared" si="8"/>
        <v xml:space="preserve"> </v>
      </c>
    </row>
    <row r="40" spans="2:6" x14ac:dyDescent="0.35">
      <c r="B40" s="189" t="str">
        <f t="shared" si="3"/>
        <v xml:space="preserve"> </v>
      </c>
      <c r="C40" s="196" t="str">
        <f t="shared" si="0"/>
        <v xml:space="preserve"> </v>
      </c>
      <c r="D40" s="196" t="str">
        <f t="shared" si="1"/>
        <v xml:space="preserve"> </v>
      </c>
      <c r="E40" s="196" t="str">
        <f t="shared" si="7"/>
        <v xml:space="preserve"> </v>
      </c>
      <c r="F40" s="196" t="str">
        <f t="shared" si="8"/>
        <v xml:space="preserve"> </v>
      </c>
    </row>
    <row r="41" spans="2:6" x14ac:dyDescent="0.35">
      <c r="B41" s="189" t="str">
        <f t="shared" si="3"/>
        <v xml:space="preserve"> </v>
      </c>
      <c r="C41" s="196" t="str">
        <f t="shared" si="0"/>
        <v xml:space="preserve"> </v>
      </c>
      <c r="D41" s="196" t="str">
        <f t="shared" si="1"/>
        <v xml:space="preserve"> </v>
      </c>
      <c r="E41" s="196" t="str">
        <f t="shared" si="7"/>
        <v xml:space="preserve"> </v>
      </c>
      <c r="F41" s="196" t="str">
        <f t="shared" si="8"/>
        <v xml:space="preserve"> </v>
      </c>
    </row>
    <row r="42" spans="2:6" x14ac:dyDescent="0.35">
      <c r="B42" s="189" t="str">
        <f t="shared" si="3"/>
        <v xml:space="preserve"> </v>
      </c>
      <c r="C42" s="196" t="str">
        <f t="shared" si="0"/>
        <v xml:space="preserve"> </v>
      </c>
      <c r="D42" s="196" t="str">
        <f t="shared" si="1"/>
        <v xml:space="preserve"> </v>
      </c>
      <c r="E42" s="196" t="str">
        <f t="shared" si="7"/>
        <v xml:space="preserve"> </v>
      </c>
      <c r="F42" s="196" t="str">
        <f t="shared" si="8"/>
        <v xml:space="preserve"> </v>
      </c>
    </row>
    <row r="43" spans="2:6" x14ac:dyDescent="0.35">
      <c r="B43" s="189" t="str">
        <f t="shared" si="3"/>
        <v xml:space="preserve"> </v>
      </c>
      <c r="C43" s="190" t="str">
        <f t="shared" si="0"/>
        <v xml:space="preserve"> </v>
      </c>
      <c r="D43" s="190" t="str">
        <f t="shared" si="1"/>
        <v xml:space="preserve"> </v>
      </c>
      <c r="E43" s="190" t="str">
        <f t="shared" si="7"/>
        <v xml:space="preserve"> </v>
      </c>
      <c r="F43" s="190" t="str">
        <f t="shared" si="8"/>
        <v xml:space="preserve"> </v>
      </c>
    </row>
    <row r="44" spans="2:6" x14ac:dyDescent="0.35">
      <c r="B44" s="189" t="str">
        <f t="shared" si="3"/>
        <v xml:space="preserve"> </v>
      </c>
      <c r="C44" s="190" t="str">
        <f t="shared" si="0"/>
        <v xml:space="preserve"> </v>
      </c>
      <c r="D44" s="190" t="str">
        <f t="shared" si="1"/>
        <v xml:space="preserve"> </v>
      </c>
      <c r="E44" s="190" t="str">
        <f t="shared" si="7"/>
        <v xml:space="preserve"> </v>
      </c>
      <c r="F44" s="190" t="str">
        <f t="shared" si="8"/>
        <v xml:space="preserve"> </v>
      </c>
    </row>
    <row r="45" spans="2:6" x14ac:dyDescent="0.35">
      <c r="B45" s="189" t="str">
        <f t="shared" si="3"/>
        <v xml:space="preserve"> </v>
      </c>
      <c r="C45" s="190" t="str">
        <f t="shared" si="0"/>
        <v xml:space="preserve"> </v>
      </c>
      <c r="D45" s="190" t="str">
        <f t="shared" si="1"/>
        <v xml:space="preserve"> </v>
      </c>
      <c r="E45" s="190" t="str">
        <f t="shared" si="7"/>
        <v xml:space="preserve"> </v>
      </c>
      <c r="F45" s="190" t="str">
        <f t="shared" si="8"/>
        <v xml:space="preserve"> </v>
      </c>
    </row>
    <row r="46" spans="2:6" x14ac:dyDescent="0.35">
      <c r="B46" s="189" t="str">
        <f t="shared" si="3"/>
        <v xml:space="preserve"> </v>
      </c>
      <c r="C46" s="190" t="str">
        <f t="shared" si="0"/>
        <v xml:space="preserve"> </v>
      </c>
      <c r="D46" s="190" t="str">
        <f t="shared" si="1"/>
        <v xml:space="preserve"> </v>
      </c>
      <c r="E46" s="190" t="str">
        <f t="shared" si="7"/>
        <v xml:space="preserve"> </v>
      </c>
      <c r="F46" s="190" t="str">
        <f t="shared" si="8"/>
        <v xml:space="preserve"> </v>
      </c>
    </row>
    <row r="47" spans="2:6" x14ac:dyDescent="0.35">
      <c r="B47" s="189" t="str">
        <f t="shared" si="3"/>
        <v xml:space="preserve"> </v>
      </c>
      <c r="C47" s="190" t="str">
        <f t="shared" si="0"/>
        <v xml:space="preserve"> </v>
      </c>
      <c r="D47" s="190" t="str">
        <f t="shared" si="1"/>
        <v xml:space="preserve"> </v>
      </c>
      <c r="E47" s="190" t="str">
        <f t="shared" si="7"/>
        <v xml:space="preserve"> </v>
      </c>
      <c r="F47" s="190" t="str">
        <f t="shared" si="8"/>
        <v xml:space="preserve"> </v>
      </c>
    </row>
    <row r="48" spans="2:6" x14ac:dyDescent="0.35">
      <c r="B48" s="189" t="str">
        <f t="shared" si="3"/>
        <v xml:space="preserve"> </v>
      </c>
      <c r="C48" s="190" t="str">
        <f t="shared" si="0"/>
        <v xml:space="preserve"> </v>
      </c>
      <c r="D48" s="190" t="str">
        <f t="shared" si="1"/>
        <v xml:space="preserve"> </v>
      </c>
      <c r="E48" s="190" t="str">
        <f t="shared" si="7"/>
        <v xml:space="preserve"> </v>
      </c>
      <c r="F48" s="190" t="str">
        <f t="shared" si="8"/>
        <v xml:space="preserve"> </v>
      </c>
    </row>
    <row r="49" spans="2:6" x14ac:dyDescent="0.35">
      <c r="B49" s="189" t="str">
        <f t="shared" si="3"/>
        <v xml:space="preserve"> </v>
      </c>
      <c r="C49" s="190" t="str">
        <f t="shared" si="0"/>
        <v xml:space="preserve"> </v>
      </c>
      <c r="D49" s="190" t="str">
        <f t="shared" si="1"/>
        <v xml:space="preserve"> </v>
      </c>
      <c r="E49" s="190" t="str">
        <f t="shared" si="7"/>
        <v xml:space="preserve"> </v>
      </c>
      <c r="F49" s="190" t="str">
        <f t="shared" si="8"/>
        <v xml:space="preserve"> </v>
      </c>
    </row>
    <row r="50" spans="2:6" x14ac:dyDescent="0.35">
      <c r="B50" s="189" t="str">
        <f t="shared" si="3"/>
        <v xml:space="preserve"> </v>
      </c>
      <c r="C50" s="190" t="str">
        <f t="shared" si="0"/>
        <v xml:space="preserve"> </v>
      </c>
      <c r="D50" s="190" t="str">
        <f t="shared" si="1"/>
        <v xml:space="preserve"> </v>
      </c>
      <c r="E50" s="190" t="str">
        <f t="shared" si="7"/>
        <v xml:space="preserve"> </v>
      </c>
      <c r="F50" s="190" t="str">
        <f t="shared" si="8"/>
        <v xml:space="preserve"> </v>
      </c>
    </row>
    <row r="51" spans="2:6" x14ac:dyDescent="0.35">
      <c r="B51" s="189" t="str">
        <f t="shared" si="3"/>
        <v xml:space="preserve"> </v>
      </c>
      <c r="C51" s="190" t="str">
        <f t="shared" si="0"/>
        <v xml:space="preserve"> </v>
      </c>
      <c r="D51" s="190" t="str">
        <f t="shared" si="1"/>
        <v xml:space="preserve"> </v>
      </c>
      <c r="E51" s="190" t="str">
        <f t="shared" si="7"/>
        <v xml:space="preserve"> </v>
      </c>
      <c r="F51" s="190" t="str">
        <f t="shared" si="8"/>
        <v xml:space="preserve"> </v>
      </c>
    </row>
    <row r="52" spans="2:6" x14ac:dyDescent="0.35">
      <c r="B52" s="189" t="str">
        <f t="shared" si="3"/>
        <v xml:space="preserve"> </v>
      </c>
      <c r="C52" s="190" t="str">
        <f t="shared" si="0"/>
        <v xml:space="preserve"> </v>
      </c>
      <c r="D52" s="190" t="str">
        <f t="shared" si="1"/>
        <v xml:space="preserve"> </v>
      </c>
      <c r="E52" s="190" t="str">
        <f t="shared" si="7"/>
        <v xml:space="preserve"> </v>
      </c>
      <c r="F52" s="190" t="str">
        <f t="shared" si="8"/>
        <v xml:space="preserve"> </v>
      </c>
    </row>
    <row r="53" spans="2:6" x14ac:dyDescent="0.35">
      <c r="B53" s="189" t="str">
        <f t="shared" si="3"/>
        <v xml:space="preserve"> </v>
      </c>
      <c r="C53" s="190" t="str">
        <f t="shared" si="0"/>
        <v xml:space="preserve"> </v>
      </c>
      <c r="D53" s="190" t="str">
        <f t="shared" si="1"/>
        <v xml:space="preserve"> </v>
      </c>
      <c r="E53" s="190" t="str">
        <f t="shared" si="7"/>
        <v xml:space="preserve"> </v>
      </c>
      <c r="F53" s="190" t="str">
        <f t="shared" si="8"/>
        <v xml:space="preserve"> </v>
      </c>
    </row>
    <row r="54" spans="2:6" x14ac:dyDescent="0.35">
      <c r="B54" s="189" t="str">
        <f t="shared" si="3"/>
        <v xml:space="preserve"> </v>
      </c>
      <c r="C54" s="190" t="str">
        <f t="shared" si="0"/>
        <v xml:space="preserve"> </v>
      </c>
      <c r="D54" s="190" t="str">
        <f t="shared" si="1"/>
        <v xml:space="preserve"> </v>
      </c>
      <c r="E54" s="190" t="str">
        <f t="shared" si="7"/>
        <v xml:space="preserve"> </v>
      </c>
      <c r="F54" s="190" t="str">
        <f t="shared" si="8"/>
        <v xml:space="preserve"> </v>
      </c>
    </row>
    <row r="55" spans="2:6" x14ac:dyDescent="0.35">
      <c r="B55" s="189" t="str">
        <f t="shared" si="3"/>
        <v xml:space="preserve"> </v>
      </c>
      <c r="C55" s="190" t="str">
        <f t="shared" si="0"/>
        <v xml:space="preserve"> </v>
      </c>
      <c r="D55" s="190" t="str">
        <f t="shared" si="1"/>
        <v xml:space="preserve"> </v>
      </c>
      <c r="E55" s="190" t="str">
        <f t="shared" si="7"/>
        <v xml:space="preserve"> </v>
      </c>
      <c r="F55" s="190" t="str">
        <f t="shared" si="8"/>
        <v xml:space="preserve"> </v>
      </c>
    </row>
    <row r="56" spans="2:6" x14ac:dyDescent="0.35">
      <c r="B56" s="189" t="str">
        <f t="shared" si="3"/>
        <v xml:space="preserve"> </v>
      </c>
      <c r="C56" s="190" t="str">
        <f t="shared" si="0"/>
        <v xml:space="preserve"> </v>
      </c>
      <c r="D56" s="190" t="str">
        <f t="shared" si="1"/>
        <v xml:space="preserve"> </v>
      </c>
      <c r="E56" s="190" t="str">
        <f t="shared" si="7"/>
        <v xml:space="preserve"> </v>
      </c>
      <c r="F56" s="190" t="str">
        <f t="shared" si="8"/>
        <v xml:space="preserve"> </v>
      </c>
    </row>
    <row r="57" spans="2:6" x14ac:dyDescent="0.35">
      <c r="B57" s="189" t="str">
        <f t="shared" si="3"/>
        <v xml:space="preserve"> </v>
      </c>
      <c r="C57" s="190" t="str">
        <f t="shared" si="0"/>
        <v xml:space="preserve"> </v>
      </c>
      <c r="D57" s="190" t="str">
        <f t="shared" si="1"/>
        <v xml:space="preserve"> </v>
      </c>
      <c r="E57" s="190" t="str">
        <f t="shared" si="7"/>
        <v xml:space="preserve"> </v>
      </c>
      <c r="F57" s="190" t="str">
        <f t="shared" si="8"/>
        <v xml:space="preserve"> </v>
      </c>
    </row>
    <row r="58" spans="2:6" x14ac:dyDescent="0.35">
      <c r="B58" s="189" t="str">
        <f t="shared" si="3"/>
        <v xml:space="preserve"> </v>
      </c>
      <c r="C58" s="190" t="str">
        <f t="shared" si="0"/>
        <v xml:space="preserve"> </v>
      </c>
      <c r="D58" s="190" t="str">
        <f t="shared" si="1"/>
        <v xml:space="preserve"> </v>
      </c>
      <c r="E58" s="190" t="str">
        <f t="shared" si="7"/>
        <v xml:space="preserve"> </v>
      </c>
      <c r="F58" s="190" t="str">
        <f t="shared" si="8"/>
        <v xml:space="preserve"> </v>
      </c>
    </row>
    <row r="59" spans="2:6" x14ac:dyDescent="0.35">
      <c r="B59" s="189" t="str">
        <f t="shared" si="3"/>
        <v xml:space="preserve"> </v>
      </c>
      <c r="C59" s="190" t="str">
        <f t="shared" si="0"/>
        <v xml:space="preserve"> </v>
      </c>
      <c r="D59" s="190" t="str">
        <f t="shared" si="1"/>
        <v xml:space="preserve"> </v>
      </c>
      <c r="E59" s="190" t="str">
        <f t="shared" si="7"/>
        <v xml:space="preserve"> </v>
      </c>
      <c r="F59" s="190" t="str">
        <f t="shared" si="8"/>
        <v xml:space="preserve"> </v>
      </c>
    </row>
    <row r="60" spans="2:6" x14ac:dyDescent="0.35">
      <c r="B60" s="189" t="str">
        <f t="shared" si="3"/>
        <v xml:space="preserve"> </v>
      </c>
      <c r="C60" s="190" t="str">
        <f t="shared" si="0"/>
        <v xml:space="preserve"> </v>
      </c>
      <c r="D60" s="190" t="str">
        <f t="shared" si="1"/>
        <v xml:space="preserve"> </v>
      </c>
      <c r="E60" s="190" t="str">
        <f t="shared" si="7"/>
        <v xml:space="preserve"> </v>
      </c>
      <c r="F60" s="190" t="str">
        <f t="shared" si="8"/>
        <v xml:space="preserve"> </v>
      </c>
    </row>
    <row r="61" spans="2:6" x14ac:dyDescent="0.35">
      <c r="B61" s="189" t="str">
        <f t="shared" si="3"/>
        <v xml:space="preserve"> </v>
      </c>
      <c r="C61" s="190" t="str">
        <f t="shared" si="0"/>
        <v xml:space="preserve"> </v>
      </c>
      <c r="D61" s="190" t="str">
        <f t="shared" si="1"/>
        <v xml:space="preserve"> </v>
      </c>
      <c r="E61" s="190" t="str">
        <f t="shared" si="7"/>
        <v xml:space="preserve"> </v>
      </c>
      <c r="F61" s="190" t="str">
        <f t="shared" si="8"/>
        <v xml:space="preserve"> </v>
      </c>
    </row>
    <row r="62" spans="2:6" x14ac:dyDescent="0.35">
      <c r="B62" s="189" t="str">
        <f t="shared" si="3"/>
        <v xml:space="preserve"> </v>
      </c>
      <c r="C62" s="190" t="str">
        <f t="shared" si="0"/>
        <v xml:space="preserve"> </v>
      </c>
      <c r="D62" s="190" t="str">
        <f t="shared" si="1"/>
        <v xml:space="preserve"> </v>
      </c>
      <c r="E62" s="190" t="str">
        <f t="shared" si="7"/>
        <v xml:space="preserve"> </v>
      </c>
      <c r="F62" s="190" t="str">
        <f t="shared" si="8"/>
        <v xml:space="preserve"> </v>
      </c>
    </row>
    <row r="63" spans="2:6" x14ac:dyDescent="0.35">
      <c r="B63" s="189" t="str">
        <f t="shared" si="3"/>
        <v xml:space="preserve"> </v>
      </c>
      <c r="C63" s="190" t="str">
        <f t="shared" si="0"/>
        <v xml:space="preserve"> </v>
      </c>
      <c r="D63" s="190" t="str">
        <f t="shared" si="1"/>
        <v xml:space="preserve"> </v>
      </c>
      <c r="E63" s="190" t="str">
        <f t="shared" si="7"/>
        <v xml:space="preserve"> </v>
      </c>
      <c r="F63" s="190" t="str">
        <f t="shared" si="8"/>
        <v xml:space="preserve"> </v>
      </c>
    </row>
    <row r="64" spans="2:6" x14ac:dyDescent="0.35">
      <c r="B64" s="189" t="str">
        <f t="shared" si="3"/>
        <v xml:space="preserve"> </v>
      </c>
      <c r="C64" s="190" t="str">
        <f t="shared" si="0"/>
        <v xml:space="preserve"> </v>
      </c>
      <c r="D64" s="190" t="str">
        <f t="shared" si="1"/>
        <v xml:space="preserve"> </v>
      </c>
      <c r="E64" s="190" t="str">
        <f t="shared" si="7"/>
        <v xml:space="preserve"> </v>
      </c>
      <c r="F64" s="190" t="str">
        <f t="shared" si="8"/>
        <v xml:space="preserve"> </v>
      </c>
    </row>
    <row r="65" spans="2:6" x14ac:dyDescent="0.35">
      <c r="B65" s="189" t="str">
        <f t="shared" si="3"/>
        <v xml:space="preserve"> </v>
      </c>
      <c r="C65" s="190" t="str">
        <f t="shared" si="0"/>
        <v xml:space="preserve"> </v>
      </c>
      <c r="D65" s="190" t="str">
        <f t="shared" si="1"/>
        <v xml:space="preserve"> </v>
      </c>
      <c r="E65" s="190" t="str">
        <f t="shared" si="7"/>
        <v xml:space="preserve"> </v>
      </c>
      <c r="F65" s="190" t="str">
        <f t="shared" si="8"/>
        <v xml:space="preserve"> </v>
      </c>
    </row>
    <row r="66" spans="2:6" x14ac:dyDescent="0.35">
      <c r="B66" s="189" t="str">
        <f t="shared" si="3"/>
        <v xml:space="preserve"> </v>
      </c>
      <c r="C66" s="190" t="str">
        <f t="shared" si="0"/>
        <v xml:space="preserve"> </v>
      </c>
      <c r="D66" s="190" t="str">
        <f t="shared" si="1"/>
        <v xml:space="preserve"> </v>
      </c>
      <c r="E66" s="190" t="str">
        <f t="shared" si="7"/>
        <v xml:space="preserve"> </v>
      </c>
      <c r="F66" s="190" t="str">
        <f t="shared" si="8"/>
        <v xml:space="preserve"> </v>
      </c>
    </row>
    <row r="67" spans="2:6" x14ac:dyDescent="0.35">
      <c r="B67" s="189" t="str">
        <f t="shared" si="3"/>
        <v xml:space="preserve"> </v>
      </c>
      <c r="C67" s="190" t="str">
        <f t="shared" si="0"/>
        <v xml:space="preserve"> </v>
      </c>
      <c r="D67" s="190" t="str">
        <f t="shared" si="1"/>
        <v xml:space="preserve"> </v>
      </c>
      <c r="E67" s="190" t="str">
        <f t="shared" si="7"/>
        <v xml:space="preserve"> </v>
      </c>
      <c r="F67" s="190" t="str">
        <f t="shared" si="8"/>
        <v xml:space="preserve"> </v>
      </c>
    </row>
    <row r="68" spans="2:6" x14ac:dyDescent="0.35">
      <c r="B68" s="189" t="str">
        <f t="shared" si="3"/>
        <v xml:space="preserve"> </v>
      </c>
      <c r="C68" s="190" t="str">
        <f t="shared" si="0"/>
        <v xml:space="preserve"> </v>
      </c>
      <c r="D68" s="190" t="str">
        <f t="shared" si="1"/>
        <v xml:space="preserve"> </v>
      </c>
      <c r="E68" s="190" t="str">
        <f t="shared" si="7"/>
        <v xml:space="preserve"> </v>
      </c>
      <c r="F68" s="190" t="str">
        <f t="shared" si="8"/>
        <v xml:space="preserve"> </v>
      </c>
    </row>
    <row r="69" spans="2:6" x14ac:dyDescent="0.35">
      <c r="B69" s="189" t="str">
        <f t="shared" si="3"/>
        <v xml:space="preserve"> </v>
      </c>
      <c r="C69" s="190" t="str">
        <f t="shared" si="0"/>
        <v xml:space="preserve"> </v>
      </c>
      <c r="D69" s="190" t="str">
        <f t="shared" si="1"/>
        <v xml:space="preserve"> </v>
      </c>
      <c r="E69" s="190" t="str">
        <f t="shared" si="7"/>
        <v xml:space="preserve"> </v>
      </c>
      <c r="F69" s="190" t="str">
        <f t="shared" si="8"/>
        <v xml:space="preserve"> </v>
      </c>
    </row>
    <row r="70" spans="2:6" x14ac:dyDescent="0.35">
      <c r="B70" s="189" t="str">
        <f t="shared" si="3"/>
        <v xml:space="preserve"> </v>
      </c>
      <c r="C70" s="190" t="str">
        <f t="shared" si="0"/>
        <v xml:space="preserve"> </v>
      </c>
      <c r="D70" s="190" t="str">
        <f t="shared" si="1"/>
        <v xml:space="preserve"> </v>
      </c>
      <c r="E70" s="190" t="str">
        <f t="shared" si="7"/>
        <v xml:space="preserve"> </v>
      </c>
      <c r="F70" s="190" t="str">
        <f t="shared" si="8"/>
        <v xml:space="preserve"> </v>
      </c>
    </row>
    <row r="71" spans="2:6" x14ac:dyDescent="0.35">
      <c r="B71" s="189" t="str">
        <f t="shared" si="3"/>
        <v xml:space="preserve"> </v>
      </c>
      <c r="C71" s="190" t="str">
        <f t="shared" si="0"/>
        <v xml:space="preserve"> </v>
      </c>
      <c r="D71" s="190" t="str">
        <f t="shared" si="1"/>
        <v xml:space="preserve"> </v>
      </c>
      <c r="E71" s="190" t="str">
        <f t="shared" si="7"/>
        <v xml:space="preserve"> </v>
      </c>
      <c r="F71" s="190" t="str">
        <f t="shared" si="8"/>
        <v xml:space="preserve"> </v>
      </c>
    </row>
    <row r="72" spans="2:6" x14ac:dyDescent="0.35">
      <c r="B72" s="189" t="str">
        <f t="shared" si="3"/>
        <v xml:space="preserve"> </v>
      </c>
      <c r="C72" s="190" t="str">
        <f t="shared" si="0"/>
        <v xml:space="preserve"> </v>
      </c>
      <c r="D72" s="190" t="str">
        <f t="shared" si="1"/>
        <v xml:space="preserve"> </v>
      </c>
      <c r="E72" s="190" t="str">
        <f t="shared" si="7"/>
        <v xml:space="preserve"> </v>
      </c>
      <c r="F72" s="190" t="str">
        <f t="shared" si="8"/>
        <v xml:space="preserve"> </v>
      </c>
    </row>
    <row r="73" spans="2:6" x14ac:dyDescent="0.35">
      <c r="B73" s="189" t="str">
        <f t="shared" si="3"/>
        <v xml:space="preserve"> </v>
      </c>
      <c r="C73" s="190" t="str">
        <f t="shared" si="0"/>
        <v xml:space="preserve"> </v>
      </c>
      <c r="D73" s="190" t="str">
        <f t="shared" si="1"/>
        <v xml:space="preserve"> </v>
      </c>
      <c r="E73" s="190" t="str">
        <f t="shared" si="7"/>
        <v xml:space="preserve"> </v>
      </c>
      <c r="F73" s="190" t="str">
        <f t="shared" si="8"/>
        <v xml:space="preserve"> </v>
      </c>
    </row>
    <row r="74" spans="2:6" x14ac:dyDescent="0.35">
      <c r="B74" s="189" t="str">
        <f t="shared" si="3"/>
        <v xml:space="preserve"> </v>
      </c>
      <c r="C74" s="190" t="str">
        <f t="shared" si="0"/>
        <v xml:space="preserve"> </v>
      </c>
      <c r="D74" s="190" t="str">
        <f t="shared" si="1"/>
        <v xml:space="preserve"> </v>
      </c>
      <c r="E74" s="190" t="str">
        <f t="shared" si="7"/>
        <v xml:space="preserve"> </v>
      </c>
      <c r="F74" s="190" t="str">
        <f t="shared" si="8"/>
        <v xml:space="preserve"> </v>
      </c>
    </row>
    <row r="75" spans="2:6" x14ac:dyDescent="0.35">
      <c r="B75" s="189" t="str">
        <f t="shared" si="3"/>
        <v xml:space="preserve"> </v>
      </c>
      <c r="C75" s="190" t="str">
        <f t="shared" si="0"/>
        <v xml:space="preserve"> </v>
      </c>
      <c r="D75" s="190" t="str">
        <f t="shared" si="1"/>
        <v xml:space="preserve"> </v>
      </c>
      <c r="E75" s="190" t="str">
        <f t="shared" si="7"/>
        <v xml:space="preserve"> </v>
      </c>
      <c r="F75" s="190" t="str">
        <f t="shared" si="8"/>
        <v xml:space="preserve"> </v>
      </c>
    </row>
    <row r="76" spans="2:6" x14ac:dyDescent="0.35">
      <c r="B76" s="189" t="str">
        <f t="shared" si="3"/>
        <v xml:space="preserve"> </v>
      </c>
      <c r="C76" s="190" t="str">
        <f t="shared" ref="C76:C139" si="9">IF(($B76&lt;=$F$8),IF($AK$14=1,PMT($G$6,$F$8,-MONTO),D76+E76)," ")</f>
        <v xml:space="preserve"> </v>
      </c>
      <c r="D76" s="190" t="str">
        <f t="shared" ref="D76:D139" si="10">IF(($B76&lt;=$F$8),$F75*INTERES," ")</f>
        <v xml:space="preserve"> </v>
      </c>
      <c r="E76" s="190" t="str">
        <f t="shared" ref="E76:E139" si="11">IF(($B76&lt;=$F$8),IF($AK$14=1,C76-D76,$F$5/$F$8)," ")</f>
        <v xml:space="preserve"> </v>
      </c>
      <c r="F76" s="190" t="str">
        <f t="shared" ref="F76:F139" si="12">IF(($B76&lt;=$F$8),F75-E76," ")</f>
        <v xml:space="preserve"> </v>
      </c>
    </row>
    <row r="77" spans="2:6" x14ac:dyDescent="0.35">
      <c r="B77" s="189" t="str">
        <f t="shared" ref="B77:B140" si="13">IF((B76&lt;$F$8),B76+1," ")</f>
        <v xml:space="preserve"> </v>
      </c>
      <c r="C77" s="190" t="str">
        <f t="shared" si="9"/>
        <v xml:space="preserve"> </v>
      </c>
      <c r="D77" s="190" t="str">
        <f t="shared" si="10"/>
        <v xml:space="preserve"> </v>
      </c>
      <c r="E77" s="190" t="str">
        <f t="shared" si="11"/>
        <v xml:space="preserve"> </v>
      </c>
      <c r="F77" s="190" t="str">
        <f t="shared" si="12"/>
        <v xml:space="preserve"> </v>
      </c>
    </row>
    <row r="78" spans="2:6" x14ac:dyDescent="0.35">
      <c r="B78" s="189" t="str">
        <f t="shared" si="13"/>
        <v xml:space="preserve"> </v>
      </c>
      <c r="C78" s="190" t="str">
        <f t="shared" si="9"/>
        <v xml:space="preserve"> </v>
      </c>
      <c r="D78" s="190" t="str">
        <f t="shared" si="10"/>
        <v xml:space="preserve"> </v>
      </c>
      <c r="E78" s="190" t="str">
        <f t="shared" si="11"/>
        <v xml:space="preserve"> </v>
      </c>
      <c r="F78" s="190" t="str">
        <f t="shared" si="12"/>
        <v xml:space="preserve"> </v>
      </c>
    </row>
    <row r="79" spans="2:6" x14ac:dyDescent="0.35">
      <c r="B79" s="189" t="str">
        <f t="shared" si="13"/>
        <v xml:space="preserve"> </v>
      </c>
      <c r="C79" s="190" t="str">
        <f t="shared" si="9"/>
        <v xml:space="preserve"> </v>
      </c>
      <c r="D79" s="190" t="str">
        <f t="shared" si="10"/>
        <v xml:space="preserve"> </v>
      </c>
      <c r="E79" s="190" t="str">
        <f t="shared" si="11"/>
        <v xml:space="preserve"> </v>
      </c>
      <c r="F79" s="190" t="str">
        <f t="shared" si="12"/>
        <v xml:space="preserve"> </v>
      </c>
    </row>
    <row r="80" spans="2:6" x14ac:dyDescent="0.35">
      <c r="B80" s="189" t="str">
        <f t="shared" si="13"/>
        <v xml:space="preserve"> </v>
      </c>
      <c r="C80" s="190" t="str">
        <f t="shared" si="9"/>
        <v xml:space="preserve"> </v>
      </c>
      <c r="D80" s="190" t="str">
        <f t="shared" si="10"/>
        <v xml:space="preserve"> </v>
      </c>
      <c r="E80" s="190" t="str">
        <f t="shared" si="11"/>
        <v xml:space="preserve"> </v>
      </c>
      <c r="F80" s="190" t="str">
        <f t="shared" si="12"/>
        <v xml:space="preserve"> </v>
      </c>
    </row>
    <row r="81" spans="2:6" x14ac:dyDescent="0.35">
      <c r="B81" s="189" t="str">
        <f t="shared" si="13"/>
        <v xml:space="preserve"> </v>
      </c>
      <c r="C81" s="190" t="str">
        <f t="shared" si="9"/>
        <v xml:space="preserve"> </v>
      </c>
      <c r="D81" s="190" t="str">
        <f t="shared" si="10"/>
        <v xml:space="preserve"> </v>
      </c>
      <c r="E81" s="190" t="str">
        <f t="shared" si="11"/>
        <v xml:space="preserve"> </v>
      </c>
      <c r="F81" s="190" t="str">
        <f t="shared" si="12"/>
        <v xml:space="preserve"> </v>
      </c>
    </row>
    <row r="82" spans="2:6" x14ac:dyDescent="0.35">
      <c r="B82" s="189" t="str">
        <f t="shared" si="13"/>
        <v xml:space="preserve"> </v>
      </c>
      <c r="C82" s="190" t="str">
        <f t="shared" si="9"/>
        <v xml:space="preserve"> </v>
      </c>
      <c r="D82" s="190" t="str">
        <f t="shared" si="10"/>
        <v xml:space="preserve"> </v>
      </c>
      <c r="E82" s="190" t="str">
        <f t="shared" si="11"/>
        <v xml:space="preserve"> </v>
      </c>
      <c r="F82" s="190" t="str">
        <f t="shared" si="12"/>
        <v xml:space="preserve"> </v>
      </c>
    </row>
    <row r="83" spans="2:6" x14ac:dyDescent="0.35">
      <c r="B83" s="189" t="str">
        <f t="shared" si="13"/>
        <v xml:space="preserve"> </v>
      </c>
      <c r="C83" s="190" t="str">
        <f t="shared" si="9"/>
        <v xml:space="preserve"> </v>
      </c>
      <c r="D83" s="190" t="str">
        <f t="shared" si="10"/>
        <v xml:space="preserve"> </v>
      </c>
      <c r="E83" s="190" t="str">
        <f t="shared" si="11"/>
        <v xml:space="preserve"> </v>
      </c>
      <c r="F83" s="190" t="str">
        <f t="shared" si="12"/>
        <v xml:space="preserve"> </v>
      </c>
    </row>
    <row r="84" spans="2:6" x14ac:dyDescent="0.35">
      <c r="B84" s="189" t="str">
        <f t="shared" si="13"/>
        <v xml:space="preserve"> </v>
      </c>
      <c r="C84" s="190" t="str">
        <f t="shared" si="9"/>
        <v xml:space="preserve"> </v>
      </c>
      <c r="D84" s="190" t="str">
        <f t="shared" si="10"/>
        <v xml:space="preserve"> </v>
      </c>
      <c r="E84" s="190" t="str">
        <f t="shared" si="11"/>
        <v xml:space="preserve"> </v>
      </c>
      <c r="F84" s="190" t="str">
        <f t="shared" si="12"/>
        <v xml:space="preserve"> </v>
      </c>
    </row>
    <row r="85" spans="2:6" x14ac:dyDescent="0.35">
      <c r="B85" s="189" t="str">
        <f t="shared" si="13"/>
        <v xml:space="preserve"> </v>
      </c>
      <c r="C85" s="190" t="str">
        <f t="shared" si="9"/>
        <v xml:space="preserve"> </v>
      </c>
      <c r="D85" s="190" t="str">
        <f t="shared" si="10"/>
        <v xml:space="preserve"> </v>
      </c>
      <c r="E85" s="190" t="str">
        <f t="shared" si="11"/>
        <v xml:space="preserve"> </v>
      </c>
      <c r="F85" s="190" t="str">
        <f t="shared" si="12"/>
        <v xml:space="preserve"> </v>
      </c>
    </row>
    <row r="86" spans="2:6" x14ac:dyDescent="0.35">
      <c r="B86" s="189" t="str">
        <f t="shared" si="13"/>
        <v xml:space="preserve"> </v>
      </c>
      <c r="C86" s="190" t="str">
        <f t="shared" si="9"/>
        <v xml:space="preserve"> </v>
      </c>
      <c r="D86" s="190" t="str">
        <f t="shared" si="10"/>
        <v xml:space="preserve"> </v>
      </c>
      <c r="E86" s="190" t="str">
        <f t="shared" si="11"/>
        <v xml:space="preserve"> </v>
      </c>
      <c r="F86" s="190" t="str">
        <f t="shared" si="12"/>
        <v xml:space="preserve"> </v>
      </c>
    </row>
    <row r="87" spans="2:6" x14ac:dyDescent="0.35">
      <c r="B87" s="189" t="str">
        <f t="shared" si="13"/>
        <v xml:space="preserve"> </v>
      </c>
      <c r="C87" s="190" t="str">
        <f t="shared" si="9"/>
        <v xml:space="preserve"> </v>
      </c>
      <c r="D87" s="190" t="str">
        <f t="shared" si="10"/>
        <v xml:space="preserve"> </v>
      </c>
      <c r="E87" s="190" t="str">
        <f t="shared" si="11"/>
        <v xml:space="preserve"> </v>
      </c>
      <c r="F87" s="190" t="str">
        <f t="shared" si="12"/>
        <v xml:space="preserve"> </v>
      </c>
    </row>
    <row r="88" spans="2:6" x14ac:dyDescent="0.35">
      <c r="B88" s="189" t="str">
        <f t="shared" si="13"/>
        <v xml:space="preserve"> </v>
      </c>
      <c r="C88" s="190" t="str">
        <f t="shared" si="9"/>
        <v xml:space="preserve"> </v>
      </c>
      <c r="D88" s="190" t="str">
        <f t="shared" si="10"/>
        <v xml:space="preserve"> </v>
      </c>
      <c r="E88" s="190" t="str">
        <f t="shared" si="11"/>
        <v xml:space="preserve"> </v>
      </c>
      <c r="F88" s="190" t="str">
        <f t="shared" si="12"/>
        <v xml:space="preserve"> </v>
      </c>
    </row>
    <row r="89" spans="2:6" x14ac:dyDescent="0.35">
      <c r="B89" s="189" t="str">
        <f t="shared" si="13"/>
        <v xml:space="preserve"> </v>
      </c>
      <c r="C89" s="190" t="str">
        <f t="shared" si="9"/>
        <v xml:space="preserve"> </v>
      </c>
      <c r="D89" s="190" t="str">
        <f t="shared" si="10"/>
        <v xml:space="preserve"> </v>
      </c>
      <c r="E89" s="190" t="str">
        <f t="shared" si="11"/>
        <v xml:space="preserve"> </v>
      </c>
      <c r="F89" s="190" t="str">
        <f t="shared" si="12"/>
        <v xml:space="preserve"> </v>
      </c>
    </row>
    <row r="90" spans="2:6" x14ac:dyDescent="0.35">
      <c r="B90" s="189" t="str">
        <f t="shared" si="13"/>
        <v xml:space="preserve"> </v>
      </c>
      <c r="C90" s="190" t="str">
        <f t="shared" si="9"/>
        <v xml:space="preserve"> </v>
      </c>
      <c r="D90" s="190" t="str">
        <f t="shared" si="10"/>
        <v xml:space="preserve"> </v>
      </c>
      <c r="E90" s="190" t="str">
        <f t="shared" si="11"/>
        <v xml:space="preserve"> </v>
      </c>
      <c r="F90" s="190" t="str">
        <f t="shared" si="12"/>
        <v xml:space="preserve"> </v>
      </c>
    </row>
    <row r="91" spans="2:6" x14ac:dyDescent="0.35">
      <c r="B91" s="189" t="str">
        <f t="shared" si="13"/>
        <v xml:space="preserve"> </v>
      </c>
      <c r="C91" s="190" t="str">
        <f t="shared" si="9"/>
        <v xml:space="preserve"> </v>
      </c>
      <c r="D91" s="190" t="str">
        <f t="shared" si="10"/>
        <v xml:space="preserve"> </v>
      </c>
      <c r="E91" s="190" t="str">
        <f t="shared" si="11"/>
        <v xml:space="preserve"> </v>
      </c>
      <c r="F91" s="190" t="str">
        <f t="shared" si="12"/>
        <v xml:space="preserve"> </v>
      </c>
    </row>
    <row r="92" spans="2:6" x14ac:dyDescent="0.35">
      <c r="B92" s="189" t="str">
        <f t="shared" si="13"/>
        <v xml:space="preserve"> </v>
      </c>
      <c r="C92" s="190" t="str">
        <f t="shared" si="9"/>
        <v xml:space="preserve"> </v>
      </c>
      <c r="D92" s="190" t="str">
        <f t="shared" si="10"/>
        <v xml:space="preserve"> </v>
      </c>
      <c r="E92" s="190" t="str">
        <f t="shared" si="11"/>
        <v xml:space="preserve"> </v>
      </c>
      <c r="F92" s="190" t="str">
        <f t="shared" si="12"/>
        <v xml:space="preserve"> </v>
      </c>
    </row>
    <row r="93" spans="2:6" x14ac:dyDescent="0.35">
      <c r="B93" s="189" t="str">
        <f t="shared" si="13"/>
        <v xml:space="preserve"> </v>
      </c>
      <c r="C93" s="190" t="str">
        <f t="shared" si="9"/>
        <v xml:space="preserve"> </v>
      </c>
      <c r="D93" s="190" t="str">
        <f t="shared" si="10"/>
        <v xml:space="preserve"> </v>
      </c>
      <c r="E93" s="190" t="str">
        <f t="shared" si="11"/>
        <v xml:space="preserve"> </v>
      </c>
      <c r="F93" s="190" t="str">
        <f t="shared" si="12"/>
        <v xml:space="preserve"> </v>
      </c>
    </row>
    <row r="94" spans="2:6" x14ac:dyDescent="0.35">
      <c r="B94" s="189" t="str">
        <f t="shared" si="13"/>
        <v xml:space="preserve"> </v>
      </c>
      <c r="C94" s="190" t="str">
        <f t="shared" si="9"/>
        <v xml:space="preserve"> </v>
      </c>
      <c r="D94" s="190" t="str">
        <f t="shared" si="10"/>
        <v xml:space="preserve"> </v>
      </c>
      <c r="E94" s="190" t="str">
        <f t="shared" si="11"/>
        <v xml:space="preserve"> </v>
      </c>
      <c r="F94" s="190" t="str">
        <f t="shared" si="12"/>
        <v xml:space="preserve"> </v>
      </c>
    </row>
    <row r="95" spans="2:6" x14ac:dyDescent="0.35">
      <c r="B95" s="189" t="str">
        <f t="shared" si="13"/>
        <v xml:space="preserve"> </v>
      </c>
      <c r="C95" s="190" t="str">
        <f t="shared" si="9"/>
        <v xml:space="preserve"> </v>
      </c>
      <c r="D95" s="190" t="str">
        <f t="shared" si="10"/>
        <v xml:space="preserve"> </v>
      </c>
      <c r="E95" s="190" t="str">
        <f t="shared" si="11"/>
        <v xml:space="preserve"> </v>
      </c>
      <c r="F95" s="190" t="str">
        <f t="shared" si="12"/>
        <v xml:space="preserve"> </v>
      </c>
    </row>
    <row r="96" spans="2:6" x14ac:dyDescent="0.35">
      <c r="B96" s="189" t="str">
        <f t="shared" si="13"/>
        <v xml:space="preserve"> </v>
      </c>
      <c r="C96" s="190" t="str">
        <f t="shared" si="9"/>
        <v xml:space="preserve"> </v>
      </c>
      <c r="D96" s="190" t="str">
        <f t="shared" si="10"/>
        <v xml:space="preserve"> </v>
      </c>
      <c r="E96" s="190" t="str">
        <f t="shared" si="11"/>
        <v xml:space="preserve"> </v>
      </c>
      <c r="F96" s="190" t="str">
        <f t="shared" si="12"/>
        <v xml:space="preserve"> </v>
      </c>
    </row>
    <row r="97" spans="2:6" x14ac:dyDescent="0.35">
      <c r="B97" s="189" t="str">
        <f t="shared" si="13"/>
        <v xml:space="preserve"> </v>
      </c>
      <c r="C97" s="190" t="str">
        <f t="shared" si="9"/>
        <v xml:space="preserve"> </v>
      </c>
      <c r="D97" s="190" t="str">
        <f t="shared" si="10"/>
        <v xml:space="preserve"> </v>
      </c>
      <c r="E97" s="190" t="str">
        <f t="shared" si="11"/>
        <v xml:space="preserve"> </v>
      </c>
      <c r="F97" s="190" t="str">
        <f t="shared" si="12"/>
        <v xml:space="preserve"> </v>
      </c>
    </row>
    <row r="98" spans="2:6" x14ac:dyDescent="0.35">
      <c r="B98" s="189" t="str">
        <f t="shared" si="13"/>
        <v xml:space="preserve"> </v>
      </c>
      <c r="C98" s="190" t="str">
        <f t="shared" si="9"/>
        <v xml:space="preserve"> </v>
      </c>
      <c r="D98" s="190" t="str">
        <f t="shared" si="10"/>
        <v xml:space="preserve"> </v>
      </c>
      <c r="E98" s="190" t="str">
        <f t="shared" si="11"/>
        <v xml:space="preserve"> </v>
      </c>
      <c r="F98" s="190" t="str">
        <f t="shared" si="12"/>
        <v xml:space="preserve"> </v>
      </c>
    </row>
    <row r="99" spans="2:6" x14ac:dyDescent="0.35">
      <c r="B99" s="189" t="str">
        <f t="shared" si="13"/>
        <v xml:space="preserve"> </v>
      </c>
      <c r="C99" s="190" t="str">
        <f t="shared" si="9"/>
        <v xml:space="preserve"> </v>
      </c>
      <c r="D99" s="190" t="str">
        <f t="shared" si="10"/>
        <v xml:space="preserve"> </v>
      </c>
      <c r="E99" s="190" t="str">
        <f t="shared" si="11"/>
        <v xml:space="preserve"> </v>
      </c>
      <c r="F99" s="190" t="str">
        <f t="shared" si="12"/>
        <v xml:space="preserve"> </v>
      </c>
    </row>
    <row r="100" spans="2:6" x14ac:dyDescent="0.35">
      <c r="B100" s="189" t="str">
        <f t="shared" si="13"/>
        <v xml:space="preserve"> </v>
      </c>
      <c r="C100" s="190" t="str">
        <f t="shared" si="9"/>
        <v xml:space="preserve"> </v>
      </c>
      <c r="D100" s="190" t="str">
        <f t="shared" si="10"/>
        <v xml:space="preserve"> </v>
      </c>
      <c r="E100" s="190" t="str">
        <f t="shared" si="11"/>
        <v xml:space="preserve"> </v>
      </c>
      <c r="F100" s="190" t="str">
        <f t="shared" si="12"/>
        <v xml:space="preserve"> </v>
      </c>
    </row>
    <row r="101" spans="2:6" x14ac:dyDescent="0.35">
      <c r="B101" s="189" t="str">
        <f t="shared" si="13"/>
        <v xml:space="preserve"> </v>
      </c>
      <c r="C101" s="190" t="str">
        <f t="shared" si="9"/>
        <v xml:space="preserve"> </v>
      </c>
      <c r="D101" s="190" t="str">
        <f t="shared" si="10"/>
        <v xml:space="preserve"> </v>
      </c>
      <c r="E101" s="190" t="str">
        <f t="shared" si="11"/>
        <v xml:space="preserve"> </v>
      </c>
      <c r="F101" s="190" t="str">
        <f t="shared" si="12"/>
        <v xml:space="preserve"> </v>
      </c>
    </row>
    <row r="102" spans="2:6" x14ac:dyDescent="0.35">
      <c r="B102" s="189" t="str">
        <f t="shared" si="13"/>
        <v xml:space="preserve"> </v>
      </c>
      <c r="C102" s="190" t="str">
        <f t="shared" si="9"/>
        <v xml:space="preserve"> </v>
      </c>
      <c r="D102" s="190" t="str">
        <f t="shared" si="10"/>
        <v xml:space="preserve"> </v>
      </c>
      <c r="E102" s="190" t="str">
        <f t="shared" si="11"/>
        <v xml:space="preserve"> </v>
      </c>
      <c r="F102" s="190" t="str">
        <f t="shared" si="12"/>
        <v xml:space="preserve"> </v>
      </c>
    </row>
    <row r="103" spans="2:6" x14ac:dyDescent="0.35">
      <c r="B103" s="189" t="str">
        <f t="shared" si="13"/>
        <v xml:space="preserve"> </v>
      </c>
      <c r="C103" s="190" t="str">
        <f t="shared" si="9"/>
        <v xml:space="preserve"> </v>
      </c>
      <c r="D103" s="190" t="str">
        <f t="shared" si="10"/>
        <v xml:space="preserve"> </v>
      </c>
      <c r="E103" s="190" t="str">
        <f t="shared" si="11"/>
        <v xml:space="preserve"> </v>
      </c>
      <c r="F103" s="190" t="str">
        <f t="shared" si="12"/>
        <v xml:space="preserve"> </v>
      </c>
    </row>
    <row r="104" spans="2:6" x14ac:dyDescent="0.35">
      <c r="B104" s="189" t="str">
        <f t="shared" si="13"/>
        <v xml:space="preserve"> </v>
      </c>
      <c r="C104" s="190" t="str">
        <f t="shared" si="9"/>
        <v xml:space="preserve"> </v>
      </c>
      <c r="D104" s="190" t="str">
        <f t="shared" si="10"/>
        <v xml:space="preserve"> </v>
      </c>
      <c r="E104" s="190" t="str">
        <f t="shared" si="11"/>
        <v xml:space="preserve"> </v>
      </c>
      <c r="F104" s="190" t="str">
        <f t="shared" si="12"/>
        <v xml:space="preserve"> </v>
      </c>
    </row>
    <row r="105" spans="2:6" x14ac:dyDescent="0.35">
      <c r="B105" s="189" t="str">
        <f t="shared" si="13"/>
        <v xml:space="preserve"> </v>
      </c>
      <c r="C105" s="190" t="str">
        <f t="shared" si="9"/>
        <v xml:space="preserve"> </v>
      </c>
      <c r="D105" s="190" t="str">
        <f t="shared" si="10"/>
        <v xml:space="preserve"> </v>
      </c>
      <c r="E105" s="190" t="str">
        <f t="shared" si="11"/>
        <v xml:space="preserve"> </v>
      </c>
      <c r="F105" s="190" t="str">
        <f t="shared" si="12"/>
        <v xml:space="preserve"> </v>
      </c>
    </row>
    <row r="106" spans="2:6" x14ac:dyDescent="0.35">
      <c r="B106" s="189" t="str">
        <f t="shared" si="13"/>
        <v xml:space="preserve"> </v>
      </c>
      <c r="C106" s="190" t="str">
        <f t="shared" si="9"/>
        <v xml:space="preserve"> </v>
      </c>
      <c r="D106" s="190" t="str">
        <f t="shared" si="10"/>
        <v xml:space="preserve"> </v>
      </c>
      <c r="E106" s="190" t="str">
        <f t="shared" si="11"/>
        <v xml:space="preserve"> </v>
      </c>
      <c r="F106" s="190" t="str">
        <f t="shared" si="12"/>
        <v xml:space="preserve"> </v>
      </c>
    </row>
    <row r="107" spans="2:6" x14ac:dyDescent="0.35">
      <c r="B107" s="189" t="str">
        <f t="shared" si="13"/>
        <v xml:space="preserve"> </v>
      </c>
      <c r="C107" s="190" t="str">
        <f t="shared" si="9"/>
        <v xml:space="preserve"> </v>
      </c>
      <c r="D107" s="190" t="str">
        <f t="shared" si="10"/>
        <v xml:space="preserve"> </v>
      </c>
      <c r="E107" s="190" t="str">
        <f t="shared" si="11"/>
        <v xml:space="preserve"> </v>
      </c>
      <c r="F107" s="190" t="str">
        <f t="shared" si="12"/>
        <v xml:space="preserve"> </v>
      </c>
    </row>
    <row r="108" spans="2:6" x14ac:dyDescent="0.35">
      <c r="B108" s="189" t="str">
        <f t="shared" si="13"/>
        <v xml:space="preserve"> </v>
      </c>
      <c r="C108" s="190" t="str">
        <f t="shared" si="9"/>
        <v xml:space="preserve"> </v>
      </c>
      <c r="D108" s="190" t="str">
        <f t="shared" si="10"/>
        <v xml:space="preserve"> </v>
      </c>
      <c r="E108" s="190" t="str">
        <f t="shared" si="11"/>
        <v xml:space="preserve"> </v>
      </c>
      <c r="F108" s="190" t="str">
        <f t="shared" si="12"/>
        <v xml:space="preserve"> </v>
      </c>
    </row>
    <row r="109" spans="2:6" x14ac:dyDescent="0.35">
      <c r="B109" s="189" t="str">
        <f t="shared" si="13"/>
        <v xml:space="preserve"> </v>
      </c>
      <c r="C109" s="190" t="str">
        <f t="shared" si="9"/>
        <v xml:space="preserve"> </v>
      </c>
      <c r="D109" s="190" t="str">
        <f t="shared" si="10"/>
        <v xml:space="preserve"> </v>
      </c>
      <c r="E109" s="190" t="str">
        <f t="shared" si="11"/>
        <v xml:space="preserve"> </v>
      </c>
      <c r="F109" s="190" t="str">
        <f t="shared" si="12"/>
        <v xml:space="preserve"> </v>
      </c>
    </row>
    <row r="110" spans="2:6" x14ac:dyDescent="0.35">
      <c r="B110" s="189" t="str">
        <f t="shared" si="13"/>
        <v xml:space="preserve"> </v>
      </c>
      <c r="C110" s="190" t="str">
        <f t="shared" si="9"/>
        <v xml:space="preserve"> </v>
      </c>
      <c r="D110" s="190" t="str">
        <f t="shared" si="10"/>
        <v xml:space="preserve"> </v>
      </c>
      <c r="E110" s="190" t="str">
        <f t="shared" si="11"/>
        <v xml:space="preserve"> </v>
      </c>
      <c r="F110" s="190" t="str">
        <f t="shared" si="12"/>
        <v xml:space="preserve"> </v>
      </c>
    </row>
    <row r="111" spans="2:6" x14ac:dyDescent="0.35">
      <c r="B111" s="189" t="str">
        <f t="shared" si="13"/>
        <v xml:space="preserve"> </v>
      </c>
      <c r="C111" s="190" t="str">
        <f t="shared" si="9"/>
        <v xml:space="preserve"> </v>
      </c>
      <c r="D111" s="190" t="str">
        <f t="shared" si="10"/>
        <v xml:space="preserve"> </v>
      </c>
      <c r="E111" s="190" t="str">
        <f t="shared" si="11"/>
        <v xml:space="preserve"> </v>
      </c>
      <c r="F111" s="190" t="str">
        <f t="shared" si="12"/>
        <v xml:space="preserve"> </v>
      </c>
    </row>
    <row r="112" spans="2:6" x14ac:dyDescent="0.35">
      <c r="B112" s="189" t="str">
        <f t="shared" si="13"/>
        <v xml:space="preserve"> </v>
      </c>
      <c r="C112" s="190" t="str">
        <f t="shared" si="9"/>
        <v xml:space="preserve"> </v>
      </c>
      <c r="D112" s="190" t="str">
        <f t="shared" si="10"/>
        <v xml:space="preserve"> </v>
      </c>
      <c r="E112" s="190" t="str">
        <f t="shared" si="11"/>
        <v xml:space="preserve"> </v>
      </c>
      <c r="F112" s="190" t="str">
        <f t="shared" si="12"/>
        <v xml:space="preserve"> </v>
      </c>
    </row>
    <row r="113" spans="2:6" x14ac:dyDescent="0.35">
      <c r="B113" s="189" t="str">
        <f t="shared" si="13"/>
        <v xml:space="preserve"> </v>
      </c>
      <c r="C113" s="190" t="str">
        <f t="shared" si="9"/>
        <v xml:space="preserve"> </v>
      </c>
      <c r="D113" s="190" t="str">
        <f t="shared" si="10"/>
        <v xml:space="preserve"> </v>
      </c>
      <c r="E113" s="190" t="str">
        <f t="shared" si="11"/>
        <v xml:space="preserve"> </v>
      </c>
      <c r="F113" s="190" t="str">
        <f t="shared" si="12"/>
        <v xml:space="preserve"> </v>
      </c>
    </row>
    <row r="114" spans="2:6" x14ac:dyDescent="0.35">
      <c r="B114" s="189" t="str">
        <f t="shared" si="13"/>
        <v xml:space="preserve"> </v>
      </c>
      <c r="C114" s="190" t="str">
        <f t="shared" si="9"/>
        <v xml:space="preserve"> </v>
      </c>
      <c r="D114" s="190" t="str">
        <f t="shared" si="10"/>
        <v xml:space="preserve"> </v>
      </c>
      <c r="E114" s="190" t="str">
        <f t="shared" si="11"/>
        <v xml:space="preserve"> </v>
      </c>
      <c r="F114" s="190" t="str">
        <f t="shared" si="12"/>
        <v xml:space="preserve"> </v>
      </c>
    </row>
    <row r="115" spans="2:6" x14ac:dyDescent="0.35">
      <c r="B115" s="189" t="str">
        <f t="shared" si="13"/>
        <v xml:space="preserve"> </v>
      </c>
      <c r="C115" s="190" t="str">
        <f t="shared" si="9"/>
        <v xml:space="preserve"> </v>
      </c>
      <c r="D115" s="190" t="str">
        <f t="shared" si="10"/>
        <v xml:space="preserve"> </v>
      </c>
      <c r="E115" s="190" t="str">
        <f t="shared" si="11"/>
        <v xml:space="preserve"> </v>
      </c>
      <c r="F115" s="190" t="str">
        <f t="shared" si="12"/>
        <v xml:space="preserve"> </v>
      </c>
    </row>
    <row r="116" spans="2:6" x14ac:dyDescent="0.35">
      <c r="B116" s="189" t="str">
        <f t="shared" si="13"/>
        <v xml:space="preserve"> </v>
      </c>
      <c r="C116" s="190" t="str">
        <f t="shared" si="9"/>
        <v xml:space="preserve"> </v>
      </c>
      <c r="D116" s="190" t="str">
        <f t="shared" si="10"/>
        <v xml:space="preserve"> </v>
      </c>
      <c r="E116" s="190" t="str">
        <f t="shared" si="11"/>
        <v xml:space="preserve"> </v>
      </c>
      <c r="F116" s="190" t="str">
        <f t="shared" si="12"/>
        <v xml:space="preserve"> </v>
      </c>
    </row>
    <row r="117" spans="2:6" x14ac:dyDescent="0.35">
      <c r="B117" s="189" t="str">
        <f t="shared" si="13"/>
        <v xml:space="preserve"> </v>
      </c>
      <c r="C117" s="190" t="str">
        <f t="shared" si="9"/>
        <v xml:space="preserve"> </v>
      </c>
      <c r="D117" s="190" t="str">
        <f t="shared" si="10"/>
        <v xml:space="preserve"> </v>
      </c>
      <c r="E117" s="190" t="str">
        <f t="shared" si="11"/>
        <v xml:space="preserve"> </v>
      </c>
      <c r="F117" s="190" t="str">
        <f t="shared" si="12"/>
        <v xml:space="preserve"> </v>
      </c>
    </row>
    <row r="118" spans="2:6" x14ac:dyDescent="0.35">
      <c r="B118" s="189" t="str">
        <f t="shared" si="13"/>
        <v xml:space="preserve"> </v>
      </c>
      <c r="C118" s="190" t="str">
        <f t="shared" si="9"/>
        <v xml:space="preserve"> </v>
      </c>
      <c r="D118" s="190" t="str">
        <f t="shared" si="10"/>
        <v xml:space="preserve"> </v>
      </c>
      <c r="E118" s="190" t="str">
        <f t="shared" si="11"/>
        <v xml:space="preserve"> </v>
      </c>
      <c r="F118" s="190" t="str">
        <f t="shared" si="12"/>
        <v xml:space="preserve"> </v>
      </c>
    </row>
    <row r="119" spans="2:6" x14ac:dyDescent="0.35">
      <c r="B119" s="189" t="str">
        <f t="shared" si="13"/>
        <v xml:space="preserve"> </v>
      </c>
      <c r="C119" s="190" t="str">
        <f t="shared" si="9"/>
        <v xml:space="preserve"> </v>
      </c>
      <c r="D119" s="190" t="str">
        <f t="shared" si="10"/>
        <v xml:space="preserve"> </v>
      </c>
      <c r="E119" s="190" t="str">
        <f t="shared" si="11"/>
        <v xml:space="preserve"> </v>
      </c>
      <c r="F119" s="190" t="str">
        <f t="shared" si="12"/>
        <v xml:space="preserve"> </v>
      </c>
    </row>
    <row r="120" spans="2:6" x14ac:dyDescent="0.35">
      <c r="B120" s="189" t="str">
        <f t="shared" si="13"/>
        <v xml:space="preserve"> </v>
      </c>
      <c r="C120" s="190" t="str">
        <f t="shared" si="9"/>
        <v xml:space="preserve"> </v>
      </c>
      <c r="D120" s="190" t="str">
        <f t="shared" si="10"/>
        <v xml:space="preserve"> </v>
      </c>
      <c r="E120" s="190" t="str">
        <f t="shared" si="11"/>
        <v xml:space="preserve"> </v>
      </c>
      <c r="F120" s="190" t="str">
        <f t="shared" si="12"/>
        <v xml:space="preserve"> </v>
      </c>
    </row>
    <row r="121" spans="2:6" x14ac:dyDescent="0.35">
      <c r="B121" s="189" t="str">
        <f t="shared" si="13"/>
        <v xml:space="preserve"> </v>
      </c>
      <c r="C121" s="190" t="str">
        <f t="shared" si="9"/>
        <v xml:space="preserve"> </v>
      </c>
      <c r="D121" s="190" t="str">
        <f t="shared" si="10"/>
        <v xml:space="preserve"> </v>
      </c>
      <c r="E121" s="190" t="str">
        <f t="shared" si="11"/>
        <v xml:space="preserve"> </v>
      </c>
      <c r="F121" s="190" t="str">
        <f t="shared" si="12"/>
        <v xml:space="preserve"> </v>
      </c>
    </row>
    <row r="122" spans="2:6" x14ac:dyDescent="0.35">
      <c r="B122" s="189" t="str">
        <f t="shared" si="13"/>
        <v xml:space="preserve"> </v>
      </c>
      <c r="C122" s="190" t="str">
        <f t="shared" si="9"/>
        <v xml:space="preserve"> </v>
      </c>
      <c r="D122" s="190" t="str">
        <f t="shared" si="10"/>
        <v xml:space="preserve"> </v>
      </c>
      <c r="E122" s="190" t="str">
        <f t="shared" si="11"/>
        <v xml:space="preserve"> </v>
      </c>
      <c r="F122" s="190" t="str">
        <f t="shared" si="12"/>
        <v xml:space="preserve"> </v>
      </c>
    </row>
    <row r="123" spans="2:6" x14ac:dyDescent="0.35">
      <c r="B123" s="189" t="str">
        <f t="shared" si="13"/>
        <v xml:space="preserve"> </v>
      </c>
      <c r="C123" s="190" t="str">
        <f t="shared" si="9"/>
        <v xml:space="preserve"> </v>
      </c>
      <c r="D123" s="190" t="str">
        <f t="shared" si="10"/>
        <v xml:space="preserve"> </v>
      </c>
      <c r="E123" s="190" t="str">
        <f t="shared" si="11"/>
        <v xml:space="preserve"> </v>
      </c>
      <c r="F123" s="190" t="str">
        <f t="shared" si="12"/>
        <v xml:space="preserve"> </v>
      </c>
    </row>
    <row r="124" spans="2:6" x14ac:dyDescent="0.35">
      <c r="B124" s="189" t="str">
        <f t="shared" si="13"/>
        <v xml:space="preserve"> </v>
      </c>
      <c r="C124" s="190" t="str">
        <f t="shared" si="9"/>
        <v xml:space="preserve"> </v>
      </c>
      <c r="D124" s="190" t="str">
        <f t="shared" si="10"/>
        <v xml:space="preserve"> </v>
      </c>
      <c r="E124" s="190" t="str">
        <f t="shared" si="11"/>
        <v xml:space="preserve"> </v>
      </c>
      <c r="F124" s="190" t="str">
        <f t="shared" si="12"/>
        <v xml:space="preserve"> </v>
      </c>
    </row>
    <row r="125" spans="2:6" x14ac:dyDescent="0.35">
      <c r="B125" s="189" t="str">
        <f t="shared" si="13"/>
        <v xml:space="preserve"> </v>
      </c>
      <c r="C125" s="190" t="str">
        <f t="shared" si="9"/>
        <v xml:space="preserve"> </v>
      </c>
      <c r="D125" s="190" t="str">
        <f t="shared" si="10"/>
        <v xml:space="preserve"> </v>
      </c>
      <c r="E125" s="190" t="str">
        <f t="shared" si="11"/>
        <v xml:space="preserve"> </v>
      </c>
      <c r="F125" s="190" t="str">
        <f t="shared" si="12"/>
        <v xml:space="preserve"> </v>
      </c>
    </row>
    <row r="126" spans="2:6" x14ac:dyDescent="0.35">
      <c r="B126" s="189" t="str">
        <f t="shared" si="13"/>
        <v xml:space="preserve"> </v>
      </c>
      <c r="C126" s="190" t="str">
        <f t="shared" si="9"/>
        <v xml:space="preserve"> </v>
      </c>
      <c r="D126" s="190" t="str">
        <f t="shared" si="10"/>
        <v xml:space="preserve"> </v>
      </c>
      <c r="E126" s="190" t="str">
        <f t="shared" si="11"/>
        <v xml:space="preserve"> </v>
      </c>
      <c r="F126" s="190" t="str">
        <f t="shared" si="12"/>
        <v xml:space="preserve"> </v>
      </c>
    </row>
    <row r="127" spans="2:6" x14ac:dyDescent="0.35">
      <c r="B127" s="189" t="str">
        <f t="shared" si="13"/>
        <v xml:space="preserve"> </v>
      </c>
      <c r="C127" s="190" t="str">
        <f t="shared" si="9"/>
        <v xml:space="preserve"> </v>
      </c>
      <c r="D127" s="190" t="str">
        <f t="shared" si="10"/>
        <v xml:space="preserve"> </v>
      </c>
      <c r="E127" s="190" t="str">
        <f t="shared" si="11"/>
        <v xml:space="preserve"> </v>
      </c>
      <c r="F127" s="190" t="str">
        <f t="shared" si="12"/>
        <v xml:space="preserve"> </v>
      </c>
    </row>
    <row r="128" spans="2:6" x14ac:dyDescent="0.35">
      <c r="B128" s="189" t="str">
        <f t="shared" si="13"/>
        <v xml:space="preserve"> </v>
      </c>
      <c r="C128" s="190" t="str">
        <f t="shared" si="9"/>
        <v xml:space="preserve"> </v>
      </c>
      <c r="D128" s="190" t="str">
        <f t="shared" si="10"/>
        <v xml:space="preserve"> </v>
      </c>
      <c r="E128" s="190" t="str">
        <f t="shared" si="11"/>
        <v xml:space="preserve"> </v>
      </c>
      <c r="F128" s="190" t="str">
        <f t="shared" si="12"/>
        <v xml:space="preserve"> </v>
      </c>
    </row>
    <row r="129" spans="2:6" x14ac:dyDescent="0.35">
      <c r="B129" s="189" t="str">
        <f t="shared" si="13"/>
        <v xml:space="preserve"> </v>
      </c>
      <c r="C129" s="190" t="str">
        <f t="shared" si="9"/>
        <v xml:space="preserve"> </v>
      </c>
      <c r="D129" s="190" t="str">
        <f t="shared" si="10"/>
        <v xml:space="preserve"> </v>
      </c>
      <c r="E129" s="190" t="str">
        <f t="shared" si="11"/>
        <v xml:space="preserve"> </v>
      </c>
      <c r="F129" s="190" t="str">
        <f t="shared" si="12"/>
        <v xml:space="preserve"> </v>
      </c>
    </row>
    <row r="130" spans="2:6" x14ac:dyDescent="0.35">
      <c r="B130" s="189" t="str">
        <f t="shared" si="13"/>
        <v xml:space="preserve"> </v>
      </c>
      <c r="C130" s="190" t="str">
        <f t="shared" si="9"/>
        <v xml:space="preserve"> </v>
      </c>
      <c r="D130" s="190" t="str">
        <f t="shared" si="10"/>
        <v xml:space="preserve"> </v>
      </c>
      <c r="E130" s="190" t="str">
        <f t="shared" si="11"/>
        <v xml:space="preserve"> </v>
      </c>
      <c r="F130" s="190" t="str">
        <f t="shared" si="12"/>
        <v xml:space="preserve"> </v>
      </c>
    </row>
    <row r="131" spans="2:6" x14ac:dyDescent="0.35">
      <c r="B131" s="189" t="str">
        <f t="shared" si="13"/>
        <v xml:space="preserve"> </v>
      </c>
      <c r="C131" s="190" t="str">
        <f t="shared" si="9"/>
        <v xml:space="preserve"> </v>
      </c>
      <c r="D131" s="190" t="str">
        <f t="shared" si="10"/>
        <v xml:space="preserve"> </v>
      </c>
      <c r="E131" s="190" t="str">
        <f t="shared" si="11"/>
        <v xml:space="preserve"> </v>
      </c>
      <c r="F131" s="190" t="str">
        <f t="shared" si="12"/>
        <v xml:space="preserve"> </v>
      </c>
    </row>
    <row r="132" spans="2:6" x14ac:dyDescent="0.35">
      <c r="B132" s="189" t="str">
        <f t="shared" si="13"/>
        <v xml:space="preserve"> </v>
      </c>
      <c r="C132" s="190" t="str">
        <f t="shared" si="9"/>
        <v xml:space="preserve"> </v>
      </c>
      <c r="D132" s="190" t="str">
        <f t="shared" si="10"/>
        <v xml:space="preserve"> </v>
      </c>
      <c r="E132" s="190" t="str">
        <f t="shared" si="11"/>
        <v xml:space="preserve"> </v>
      </c>
      <c r="F132" s="190" t="str">
        <f t="shared" si="12"/>
        <v xml:space="preserve"> </v>
      </c>
    </row>
    <row r="133" spans="2:6" x14ac:dyDescent="0.35">
      <c r="B133" s="189" t="str">
        <f t="shared" si="13"/>
        <v xml:space="preserve"> </v>
      </c>
      <c r="C133" s="190" t="str">
        <f t="shared" si="9"/>
        <v xml:space="preserve"> </v>
      </c>
      <c r="D133" s="190" t="str">
        <f t="shared" si="10"/>
        <v xml:space="preserve"> </v>
      </c>
      <c r="E133" s="190" t="str">
        <f t="shared" si="11"/>
        <v xml:space="preserve"> </v>
      </c>
      <c r="F133" s="190" t="str">
        <f t="shared" si="12"/>
        <v xml:space="preserve"> </v>
      </c>
    </row>
    <row r="134" spans="2:6" x14ac:dyDescent="0.35">
      <c r="B134" s="189" t="str">
        <f t="shared" si="13"/>
        <v xml:space="preserve"> </v>
      </c>
      <c r="C134" s="190" t="str">
        <f t="shared" si="9"/>
        <v xml:space="preserve"> </v>
      </c>
      <c r="D134" s="190" t="str">
        <f t="shared" si="10"/>
        <v xml:space="preserve"> </v>
      </c>
      <c r="E134" s="190" t="str">
        <f t="shared" si="11"/>
        <v xml:space="preserve"> </v>
      </c>
      <c r="F134" s="190" t="str">
        <f t="shared" si="12"/>
        <v xml:space="preserve"> </v>
      </c>
    </row>
    <row r="135" spans="2:6" x14ac:dyDescent="0.35">
      <c r="B135" s="189" t="str">
        <f t="shared" si="13"/>
        <v xml:space="preserve"> </v>
      </c>
      <c r="C135" s="190" t="str">
        <f t="shared" si="9"/>
        <v xml:space="preserve"> </v>
      </c>
      <c r="D135" s="190" t="str">
        <f t="shared" si="10"/>
        <v xml:space="preserve"> </v>
      </c>
      <c r="E135" s="190" t="str">
        <f t="shared" si="11"/>
        <v xml:space="preserve"> </v>
      </c>
      <c r="F135" s="190" t="str">
        <f t="shared" si="12"/>
        <v xml:space="preserve"> </v>
      </c>
    </row>
    <row r="136" spans="2:6" x14ac:dyDescent="0.35">
      <c r="B136" s="189" t="str">
        <f t="shared" si="13"/>
        <v xml:space="preserve"> </v>
      </c>
      <c r="C136" s="190" t="str">
        <f t="shared" si="9"/>
        <v xml:space="preserve"> </v>
      </c>
      <c r="D136" s="190" t="str">
        <f t="shared" si="10"/>
        <v xml:space="preserve"> </v>
      </c>
      <c r="E136" s="190" t="str">
        <f t="shared" si="11"/>
        <v xml:space="preserve"> </v>
      </c>
      <c r="F136" s="190" t="str">
        <f t="shared" si="12"/>
        <v xml:space="preserve"> </v>
      </c>
    </row>
    <row r="137" spans="2:6" x14ac:dyDescent="0.35">
      <c r="B137" s="189" t="str">
        <f t="shared" si="13"/>
        <v xml:space="preserve"> </v>
      </c>
      <c r="C137" s="190" t="str">
        <f t="shared" si="9"/>
        <v xml:space="preserve"> </v>
      </c>
      <c r="D137" s="190" t="str">
        <f t="shared" si="10"/>
        <v xml:space="preserve"> </v>
      </c>
      <c r="E137" s="190" t="str">
        <f t="shared" si="11"/>
        <v xml:space="preserve"> </v>
      </c>
      <c r="F137" s="190" t="str">
        <f t="shared" si="12"/>
        <v xml:space="preserve"> </v>
      </c>
    </row>
    <row r="138" spans="2:6" x14ac:dyDescent="0.35">
      <c r="B138" s="189" t="str">
        <f t="shared" si="13"/>
        <v xml:space="preserve"> </v>
      </c>
      <c r="C138" s="190" t="str">
        <f t="shared" si="9"/>
        <v xml:space="preserve"> </v>
      </c>
      <c r="D138" s="190" t="str">
        <f t="shared" si="10"/>
        <v xml:space="preserve"> </v>
      </c>
      <c r="E138" s="190" t="str">
        <f t="shared" si="11"/>
        <v xml:space="preserve"> </v>
      </c>
      <c r="F138" s="190" t="str">
        <f t="shared" si="12"/>
        <v xml:space="preserve"> </v>
      </c>
    </row>
    <row r="139" spans="2:6" x14ac:dyDescent="0.35">
      <c r="B139" s="189" t="str">
        <f t="shared" si="13"/>
        <v xml:space="preserve"> </v>
      </c>
      <c r="C139" s="190" t="str">
        <f t="shared" si="9"/>
        <v xml:space="preserve"> </v>
      </c>
      <c r="D139" s="190" t="str">
        <f t="shared" si="10"/>
        <v xml:space="preserve"> </v>
      </c>
      <c r="E139" s="190" t="str">
        <f t="shared" si="11"/>
        <v xml:space="preserve"> </v>
      </c>
      <c r="F139" s="190" t="str">
        <f t="shared" si="12"/>
        <v xml:space="preserve"> </v>
      </c>
    </row>
    <row r="140" spans="2:6" x14ac:dyDescent="0.35">
      <c r="B140" s="189" t="str">
        <f t="shared" si="13"/>
        <v xml:space="preserve"> </v>
      </c>
      <c r="C140" s="190" t="str">
        <f t="shared" ref="C140:C203" si="14">IF(($B140&lt;=$F$8),IF($AK$14=1,PMT($G$6,$F$8,-MONTO),D140+E140)," ")</f>
        <v xml:space="preserve"> </v>
      </c>
      <c r="D140" s="190" t="str">
        <f t="shared" ref="D140:D203" si="15">IF(($B140&lt;=$F$8),$F139*INTERES," ")</f>
        <v xml:space="preserve"> </v>
      </c>
      <c r="E140" s="190" t="str">
        <f t="shared" ref="E140:E203" si="16">IF(($B140&lt;=$F$8),IF($AK$14=1,C140-D140,$F$5/$F$8)," ")</f>
        <v xml:space="preserve"> </v>
      </c>
      <c r="F140" s="190" t="str">
        <f t="shared" ref="F140:F203" si="17">IF(($B140&lt;=$F$8),F139-E140," ")</f>
        <v xml:space="preserve"> </v>
      </c>
    </row>
    <row r="141" spans="2:6" x14ac:dyDescent="0.35">
      <c r="B141" s="189" t="str">
        <f t="shared" ref="B141:B204" si="18">IF((B140&lt;$F$8),B140+1," ")</f>
        <v xml:space="preserve"> </v>
      </c>
      <c r="C141" s="190" t="str">
        <f t="shared" si="14"/>
        <v xml:space="preserve"> </v>
      </c>
      <c r="D141" s="190" t="str">
        <f t="shared" si="15"/>
        <v xml:space="preserve"> </v>
      </c>
      <c r="E141" s="190" t="str">
        <f t="shared" si="16"/>
        <v xml:space="preserve"> </v>
      </c>
      <c r="F141" s="190" t="str">
        <f t="shared" si="17"/>
        <v xml:space="preserve"> </v>
      </c>
    </row>
    <row r="142" spans="2:6" x14ac:dyDescent="0.35">
      <c r="B142" s="189" t="str">
        <f t="shared" si="18"/>
        <v xml:space="preserve"> </v>
      </c>
      <c r="C142" s="190" t="str">
        <f t="shared" si="14"/>
        <v xml:space="preserve"> </v>
      </c>
      <c r="D142" s="190" t="str">
        <f t="shared" si="15"/>
        <v xml:space="preserve"> </v>
      </c>
      <c r="E142" s="190" t="str">
        <f t="shared" si="16"/>
        <v xml:space="preserve"> </v>
      </c>
      <c r="F142" s="190" t="str">
        <f t="shared" si="17"/>
        <v xml:space="preserve"> </v>
      </c>
    </row>
    <row r="143" spans="2:6" x14ac:dyDescent="0.35">
      <c r="B143" s="189" t="str">
        <f t="shared" si="18"/>
        <v xml:space="preserve"> </v>
      </c>
      <c r="C143" s="190" t="str">
        <f t="shared" si="14"/>
        <v xml:space="preserve"> </v>
      </c>
      <c r="D143" s="190" t="str">
        <f t="shared" si="15"/>
        <v xml:space="preserve"> </v>
      </c>
      <c r="E143" s="190" t="str">
        <f t="shared" si="16"/>
        <v xml:space="preserve"> </v>
      </c>
      <c r="F143" s="190" t="str">
        <f t="shared" si="17"/>
        <v xml:space="preserve"> </v>
      </c>
    </row>
    <row r="144" spans="2:6" x14ac:dyDescent="0.35">
      <c r="B144" s="189" t="str">
        <f t="shared" si="18"/>
        <v xml:space="preserve"> </v>
      </c>
      <c r="C144" s="190" t="str">
        <f t="shared" si="14"/>
        <v xml:space="preserve"> </v>
      </c>
      <c r="D144" s="190" t="str">
        <f t="shared" si="15"/>
        <v xml:space="preserve"> </v>
      </c>
      <c r="E144" s="190" t="str">
        <f t="shared" si="16"/>
        <v xml:space="preserve"> </v>
      </c>
      <c r="F144" s="190" t="str">
        <f t="shared" si="17"/>
        <v xml:space="preserve"> </v>
      </c>
    </row>
    <row r="145" spans="2:6" x14ac:dyDescent="0.35">
      <c r="B145" s="189" t="str">
        <f t="shared" si="18"/>
        <v xml:space="preserve"> </v>
      </c>
      <c r="C145" s="190" t="str">
        <f t="shared" si="14"/>
        <v xml:space="preserve"> </v>
      </c>
      <c r="D145" s="190" t="str">
        <f t="shared" si="15"/>
        <v xml:space="preserve"> </v>
      </c>
      <c r="E145" s="190" t="str">
        <f t="shared" si="16"/>
        <v xml:space="preserve"> </v>
      </c>
      <c r="F145" s="190" t="str">
        <f t="shared" si="17"/>
        <v xml:space="preserve"> </v>
      </c>
    </row>
    <row r="146" spans="2:6" x14ac:dyDescent="0.35">
      <c r="B146" s="189" t="str">
        <f t="shared" si="18"/>
        <v xml:space="preserve"> </v>
      </c>
      <c r="C146" s="190" t="str">
        <f t="shared" si="14"/>
        <v xml:space="preserve"> </v>
      </c>
      <c r="D146" s="190" t="str">
        <f t="shared" si="15"/>
        <v xml:space="preserve"> </v>
      </c>
      <c r="E146" s="190" t="str">
        <f t="shared" si="16"/>
        <v xml:space="preserve"> </v>
      </c>
      <c r="F146" s="190" t="str">
        <f t="shared" si="17"/>
        <v xml:space="preserve"> </v>
      </c>
    </row>
    <row r="147" spans="2:6" x14ac:dyDescent="0.35">
      <c r="B147" s="189" t="str">
        <f t="shared" si="18"/>
        <v xml:space="preserve"> </v>
      </c>
      <c r="C147" s="190" t="str">
        <f t="shared" si="14"/>
        <v xml:space="preserve"> </v>
      </c>
      <c r="D147" s="190" t="str">
        <f t="shared" si="15"/>
        <v xml:space="preserve"> </v>
      </c>
      <c r="E147" s="190" t="str">
        <f t="shared" si="16"/>
        <v xml:space="preserve"> </v>
      </c>
      <c r="F147" s="190" t="str">
        <f t="shared" si="17"/>
        <v xml:space="preserve"> </v>
      </c>
    </row>
    <row r="148" spans="2:6" x14ac:dyDescent="0.35">
      <c r="B148" s="189" t="str">
        <f t="shared" si="18"/>
        <v xml:space="preserve"> </v>
      </c>
      <c r="C148" s="190" t="str">
        <f t="shared" si="14"/>
        <v xml:space="preserve"> </v>
      </c>
      <c r="D148" s="190" t="str">
        <f t="shared" si="15"/>
        <v xml:space="preserve"> </v>
      </c>
      <c r="E148" s="190" t="str">
        <f t="shared" si="16"/>
        <v xml:space="preserve"> </v>
      </c>
      <c r="F148" s="190" t="str">
        <f t="shared" si="17"/>
        <v xml:space="preserve"> </v>
      </c>
    </row>
    <row r="149" spans="2:6" x14ac:dyDescent="0.35">
      <c r="B149" s="189" t="str">
        <f t="shared" si="18"/>
        <v xml:space="preserve"> </v>
      </c>
      <c r="C149" s="190" t="str">
        <f t="shared" si="14"/>
        <v xml:space="preserve"> </v>
      </c>
      <c r="D149" s="190" t="str">
        <f t="shared" si="15"/>
        <v xml:space="preserve"> </v>
      </c>
      <c r="E149" s="190" t="str">
        <f t="shared" si="16"/>
        <v xml:space="preserve"> </v>
      </c>
      <c r="F149" s="190" t="str">
        <f t="shared" si="17"/>
        <v xml:space="preserve"> </v>
      </c>
    </row>
    <row r="150" spans="2:6" x14ac:dyDescent="0.35">
      <c r="B150" s="189" t="str">
        <f t="shared" si="18"/>
        <v xml:space="preserve"> </v>
      </c>
      <c r="C150" s="190" t="str">
        <f t="shared" si="14"/>
        <v xml:space="preserve"> </v>
      </c>
      <c r="D150" s="190" t="str">
        <f t="shared" si="15"/>
        <v xml:space="preserve"> </v>
      </c>
      <c r="E150" s="190" t="str">
        <f t="shared" si="16"/>
        <v xml:space="preserve"> </v>
      </c>
      <c r="F150" s="190" t="str">
        <f t="shared" si="17"/>
        <v xml:space="preserve"> </v>
      </c>
    </row>
    <row r="151" spans="2:6" x14ac:dyDescent="0.35">
      <c r="B151" s="189" t="str">
        <f t="shared" si="18"/>
        <v xml:space="preserve"> </v>
      </c>
      <c r="C151" s="190" t="str">
        <f t="shared" si="14"/>
        <v xml:space="preserve"> </v>
      </c>
      <c r="D151" s="190" t="str">
        <f t="shared" si="15"/>
        <v xml:space="preserve"> </v>
      </c>
      <c r="E151" s="190" t="str">
        <f t="shared" si="16"/>
        <v xml:space="preserve"> </v>
      </c>
      <c r="F151" s="190" t="str">
        <f t="shared" si="17"/>
        <v xml:space="preserve"> </v>
      </c>
    </row>
    <row r="152" spans="2:6" x14ac:dyDescent="0.35">
      <c r="B152" s="189" t="str">
        <f t="shared" si="18"/>
        <v xml:space="preserve"> </v>
      </c>
      <c r="C152" s="190" t="str">
        <f t="shared" si="14"/>
        <v xml:space="preserve"> </v>
      </c>
      <c r="D152" s="190" t="str">
        <f t="shared" si="15"/>
        <v xml:space="preserve"> </v>
      </c>
      <c r="E152" s="190" t="str">
        <f t="shared" si="16"/>
        <v xml:space="preserve"> </v>
      </c>
      <c r="F152" s="190" t="str">
        <f t="shared" si="17"/>
        <v xml:space="preserve"> </v>
      </c>
    </row>
    <row r="153" spans="2:6" x14ac:dyDescent="0.35">
      <c r="B153" s="189" t="str">
        <f t="shared" si="18"/>
        <v xml:space="preserve"> </v>
      </c>
      <c r="C153" s="190" t="str">
        <f t="shared" si="14"/>
        <v xml:space="preserve"> </v>
      </c>
      <c r="D153" s="190" t="str">
        <f t="shared" si="15"/>
        <v xml:space="preserve"> </v>
      </c>
      <c r="E153" s="190" t="str">
        <f t="shared" si="16"/>
        <v xml:space="preserve"> </v>
      </c>
      <c r="F153" s="190" t="str">
        <f t="shared" si="17"/>
        <v xml:space="preserve"> </v>
      </c>
    </row>
    <row r="154" spans="2:6" x14ac:dyDescent="0.35">
      <c r="B154" s="189" t="str">
        <f t="shared" si="18"/>
        <v xml:space="preserve"> </v>
      </c>
      <c r="C154" s="190" t="str">
        <f t="shared" si="14"/>
        <v xml:space="preserve"> </v>
      </c>
      <c r="D154" s="190" t="str">
        <f t="shared" si="15"/>
        <v xml:space="preserve"> </v>
      </c>
      <c r="E154" s="190" t="str">
        <f t="shared" si="16"/>
        <v xml:space="preserve"> </v>
      </c>
      <c r="F154" s="190" t="str">
        <f t="shared" si="17"/>
        <v xml:space="preserve"> </v>
      </c>
    </row>
    <row r="155" spans="2:6" x14ac:dyDescent="0.35">
      <c r="B155" s="189" t="str">
        <f t="shared" si="18"/>
        <v xml:space="preserve"> </v>
      </c>
      <c r="C155" s="190" t="str">
        <f t="shared" si="14"/>
        <v xml:space="preserve"> </v>
      </c>
      <c r="D155" s="190" t="str">
        <f t="shared" si="15"/>
        <v xml:space="preserve"> </v>
      </c>
      <c r="E155" s="190" t="str">
        <f t="shared" si="16"/>
        <v xml:space="preserve"> </v>
      </c>
      <c r="F155" s="190" t="str">
        <f t="shared" si="17"/>
        <v xml:space="preserve"> </v>
      </c>
    </row>
    <row r="156" spans="2:6" x14ac:dyDescent="0.35">
      <c r="B156" s="189" t="str">
        <f t="shared" si="18"/>
        <v xml:space="preserve"> </v>
      </c>
      <c r="C156" s="190" t="str">
        <f t="shared" si="14"/>
        <v xml:space="preserve"> </v>
      </c>
      <c r="D156" s="190" t="str">
        <f t="shared" si="15"/>
        <v xml:space="preserve"> </v>
      </c>
      <c r="E156" s="190" t="str">
        <f t="shared" si="16"/>
        <v xml:space="preserve"> </v>
      </c>
      <c r="F156" s="190" t="str">
        <f t="shared" si="17"/>
        <v xml:space="preserve"> </v>
      </c>
    </row>
    <row r="157" spans="2:6" x14ac:dyDescent="0.35">
      <c r="B157" s="189" t="str">
        <f t="shared" si="18"/>
        <v xml:space="preserve"> </v>
      </c>
      <c r="C157" s="190" t="str">
        <f t="shared" si="14"/>
        <v xml:space="preserve"> </v>
      </c>
      <c r="D157" s="190" t="str">
        <f t="shared" si="15"/>
        <v xml:space="preserve"> </v>
      </c>
      <c r="E157" s="190" t="str">
        <f t="shared" si="16"/>
        <v xml:space="preserve"> </v>
      </c>
      <c r="F157" s="190" t="str">
        <f t="shared" si="17"/>
        <v xml:space="preserve"> </v>
      </c>
    </row>
    <row r="158" spans="2:6" x14ac:dyDescent="0.35">
      <c r="B158" s="189" t="str">
        <f t="shared" si="18"/>
        <v xml:space="preserve"> </v>
      </c>
      <c r="C158" s="190" t="str">
        <f t="shared" si="14"/>
        <v xml:space="preserve"> </v>
      </c>
      <c r="D158" s="190" t="str">
        <f t="shared" si="15"/>
        <v xml:space="preserve"> </v>
      </c>
      <c r="E158" s="190" t="str">
        <f t="shared" si="16"/>
        <v xml:space="preserve"> </v>
      </c>
      <c r="F158" s="190" t="str">
        <f t="shared" si="17"/>
        <v xml:space="preserve"> </v>
      </c>
    </row>
    <row r="159" spans="2:6" x14ac:dyDescent="0.35">
      <c r="B159" s="189" t="str">
        <f t="shared" si="18"/>
        <v xml:space="preserve"> </v>
      </c>
      <c r="C159" s="190" t="str">
        <f t="shared" si="14"/>
        <v xml:space="preserve"> </v>
      </c>
      <c r="D159" s="190" t="str">
        <f t="shared" si="15"/>
        <v xml:space="preserve"> </v>
      </c>
      <c r="E159" s="190" t="str">
        <f t="shared" si="16"/>
        <v xml:space="preserve"> </v>
      </c>
      <c r="F159" s="190" t="str">
        <f t="shared" si="17"/>
        <v xml:space="preserve"> </v>
      </c>
    </row>
    <row r="160" spans="2:6" x14ac:dyDescent="0.35">
      <c r="B160" s="189" t="str">
        <f t="shared" si="18"/>
        <v xml:space="preserve"> </v>
      </c>
      <c r="C160" s="190" t="str">
        <f t="shared" si="14"/>
        <v xml:space="preserve"> </v>
      </c>
      <c r="D160" s="190" t="str">
        <f t="shared" si="15"/>
        <v xml:space="preserve"> </v>
      </c>
      <c r="E160" s="190" t="str">
        <f t="shared" si="16"/>
        <v xml:space="preserve"> </v>
      </c>
      <c r="F160" s="190" t="str">
        <f t="shared" si="17"/>
        <v xml:space="preserve"> </v>
      </c>
    </row>
    <row r="161" spans="2:6" x14ac:dyDescent="0.35">
      <c r="B161" s="189" t="str">
        <f t="shared" si="18"/>
        <v xml:space="preserve"> </v>
      </c>
      <c r="C161" s="190" t="str">
        <f t="shared" si="14"/>
        <v xml:space="preserve"> </v>
      </c>
      <c r="D161" s="190" t="str">
        <f t="shared" si="15"/>
        <v xml:space="preserve"> </v>
      </c>
      <c r="E161" s="190" t="str">
        <f t="shared" si="16"/>
        <v xml:space="preserve"> </v>
      </c>
      <c r="F161" s="190" t="str">
        <f t="shared" si="17"/>
        <v xml:space="preserve"> </v>
      </c>
    </row>
    <row r="162" spans="2:6" x14ac:dyDescent="0.35">
      <c r="B162" s="189" t="str">
        <f t="shared" si="18"/>
        <v xml:space="preserve"> </v>
      </c>
      <c r="C162" s="190" t="str">
        <f t="shared" si="14"/>
        <v xml:space="preserve"> </v>
      </c>
      <c r="D162" s="190" t="str">
        <f t="shared" si="15"/>
        <v xml:space="preserve"> </v>
      </c>
      <c r="E162" s="190" t="str">
        <f t="shared" si="16"/>
        <v xml:space="preserve"> </v>
      </c>
      <c r="F162" s="190" t="str">
        <f t="shared" si="17"/>
        <v xml:space="preserve"> </v>
      </c>
    </row>
    <row r="163" spans="2:6" x14ac:dyDescent="0.35">
      <c r="B163" s="189" t="str">
        <f t="shared" si="18"/>
        <v xml:space="preserve"> </v>
      </c>
      <c r="C163" s="190" t="str">
        <f t="shared" si="14"/>
        <v xml:space="preserve"> </v>
      </c>
      <c r="D163" s="190" t="str">
        <f t="shared" si="15"/>
        <v xml:space="preserve"> </v>
      </c>
      <c r="E163" s="190" t="str">
        <f t="shared" si="16"/>
        <v xml:space="preserve"> </v>
      </c>
      <c r="F163" s="190" t="str">
        <f t="shared" si="17"/>
        <v xml:space="preserve"> </v>
      </c>
    </row>
    <row r="164" spans="2:6" x14ac:dyDescent="0.35">
      <c r="B164" s="189" t="str">
        <f t="shared" si="18"/>
        <v xml:space="preserve"> </v>
      </c>
      <c r="C164" s="190" t="str">
        <f t="shared" si="14"/>
        <v xml:space="preserve"> </v>
      </c>
      <c r="D164" s="190" t="str">
        <f t="shared" si="15"/>
        <v xml:space="preserve"> </v>
      </c>
      <c r="E164" s="190" t="str">
        <f t="shared" si="16"/>
        <v xml:space="preserve"> </v>
      </c>
      <c r="F164" s="190" t="str">
        <f t="shared" si="17"/>
        <v xml:space="preserve"> </v>
      </c>
    </row>
    <row r="165" spans="2:6" x14ac:dyDescent="0.35">
      <c r="B165" s="189" t="str">
        <f t="shared" si="18"/>
        <v xml:space="preserve"> </v>
      </c>
      <c r="C165" s="190" t="str">
        <f t="shared" si="14"/>
        <v xml:space="preserve"> </v>
      </c>
      <c r="D165" s="190" t="str">
        <f t="shared" si="15"/>
        <v xml:space="preserve"> </v>
      </c>
      <c r="E165" s="190" t="str">
        <f t="shared" si="16"/>
        <v xml:space="preserve"> </v>
      </c>
      <c r="F165" s="190" t="str">
        <f t="shared" si="17"/>
        <v xml:space="preserve"> </v>
      </c>
    </row>
    <row r="166" spans="2:6" x14ac:dyDescent="0.35">
      <c r="B166" s="189" t="str">
        <f t="shared" si="18"/>
        <v xml:space="preserve"> </v>
      </c>
      <c r="C166" s="190" t="str">
        <f t="shared" si="14"/>
        <v xml:space="preserve"> </v>
      </c>
      <c r="D166" s="190" t="str">
        <f t="shared" si="15"/>
        <v xml:space="preserve"> </v>
      </c>
      <c r="E166" s="190" t="str">
        <f t="shared" si="16"/>
        <v xml:space="preserve"> </v>
      </c>
      <c r="F166" s="190" t="str">
        <f t="shared" si="17"/>
        <v xml:space="preserve"> </v>
      </c>
    </row>
    <row r="167" spans="2:6" x14ac:dyDescent="0.35">
      <c r="B167" s="189" t="str">
        <f t="shared" si="18"/>
        <v xml:space="preserve"> </v>
      </c>
      <c r="C167" s="190" t="str">
        <f t="shared" si="14"/>
        <v xml:space="preserve"> </v>
      </c>
      <c r="D167" s="190" t="str">
        <f t="shared" si="15"/>
        <v xml:space="preserve"> </v>
      </c>
      <c r="E167" s="190" t="str">
        <f t="shared" si="16"/>
        <v xml:space="preserve"> </v>
      </c>
      <c r="F167" s="190" t="str">
        <f t="shared" si="17"/>
        <v xml:space="preserve"> </v>
      </c>
    </row>
    <row r="168" spans="2:6" x14ac:dyDescent="0.35">
      <c r="B168" s="189" t="str">
        <f t="shared" si="18"/>
        <v xml:space="preserve"> </v>
      </c>
      <c r="C168" s="190" t="str">
        <f t="shared" si="14"/>
        <v xml:space="preserve"> </v>
      </c>
      <c r="D168" s="190" t="str">
        <f t="shared" si="15"/>
        <v xml:space="preserve"> </v>
      </c>
      <c r="E168" s="190" t="str">
        <f t="shared" si="16"/>
        <v xml:space="preserve"> </v>
      </c>
      <c r="F168" s="190" t="str">
        <f t="shared" si="17"/>
        <v xml:space="preserve"> </v>
      </c>
    </row>
    <row r="169" spans="2:6" x14ac:dyDescent="0.35">
      <c r="B169" s="189" t="str">
        <f t="shared" si="18"/>
        <v xml:space="preserve"> </v>
      </c>
      <c r="C169" s="190" t="str">
        <f t="shared" si="14"/>
        <v xml:space="preserve"> </v>
      </c>
      <c r="D169" s="190" t="str">
        <f t="shared" si="15"/>
        <v xml:space="preserve"> </v>
      </c>
      <c r="E169" s="190" t="str">
        <f t="shared" si="16"/>
        <v xml:space="preserve"> </v>
      </c>
      <c r="F169" s="190" t="str">
        <f t="shared" si="17"/>
        <v xml:space="preserve"> </v>
      </c>
    </row>
    <row r="170" spans="2:6" x14ac:dyDescent="0.35">
      <c r="B170" s="189" t="str">
        <f t="shared" si="18"/>
        <v xml:space="preserve"> </v>
      </c>
      <c r="C170" s="190" t="str">
        <f t="shared" si="14"/>
        <v xml:space="preserve"> </v>
      </c>
      <c r="D170" s="190" t="str">
        <f t="shared" si="15"/>
        <v xml:space="preserve"> </v>
      </c>
      <c r="E170" s="190" t="str">
        <f t="shared" si="16"/>
        <v xml:space="preserve"> </v>
      </c>
      <c r="F170" s="190" t="str">
        <f t="shared" si="17"/>
        <v xml:space="preserve"> </v>
      </c>
    </row>
    <row r="171" spans="2:6" x14ac:dyDescent="0.35">
      <c r="B171" s="189" t="str">
        <f t="shared" si="18"/>
        <v xml:space="preserve"> </v>
      </c>
      <c r="C171" s="190" t="str">
        <f t="shared" si="14"/>
        <v xml:space="preserve"> </v>
      </c>
      <c r="D171" s="190" t="str">
        <f t="shared" si="15"/>
        <v xml:space="preserve"> </v>
      </c>
      <c r="E171" s="190" t="str">
        <f t="shared" si="16"/>
        <v xml:space="preserve"> </v>
      </c>
      <c r="F171" s="190" t="str">
        <f t="shared" si="17"/>
        <v xml:space="preserve"> </v>
      </c>
    </row>
    <row r="172" spans="2:6" x14ac:dyDescent="0.35">
      <c r="B172" s="189" t="str">
        <f t="shared" si="18"/>
        <v xml:space="preserve"> </v>
      </c>
      <c r="C172" s="190" t="str">
        <f t="shared" si="14"/>
        <v xml:space="preserve"> </v>
      </c>
      <c r="D172" s="190" t="str">
        <f t="shared" si="15"/>
        <v xml:space="preserve"> </v>
      </c>
      <c r="E172" s="190" t="str">
        <f t="shared" si="16"/>
        <v xml:space="preserve"> </v>
      </c>
      <c r="F172" s="190" t="str">
        <f t="shared" si="17"/>
        <v xml:space="preserve"> </v>
      </c>
    </row>
    <row r="173" spans="2:6" x14ac:dyDescent="0.35">
      <c r="B173" s="189" t="str">
        <f t="shared" si="18"/>
        <v xml:space="preserve"> </v>
      </c>
      <c r="C173" s="190" t="str">
        <f t="shared" si="14"/>
        <v xml:space="preserve"> </v>
      </c>
      <c r="D173" s="190" t="str">
        <f t="shared" si="15"/>
        <v xml:space="preserve"> </v>
      </c>
      <c r="E173" s="190" t="str">
        <f t="shared" si="16"/>
        <v xml:space="preserve"> </v>
      </c>
      <c r="F173" s="190" t="str">
        <f t="shared" si="17"/>
        <v xml:space="preserve"> </v>
      </c>
    </row>
    <row r="174" spans="2:6" x14ac:dyDescent="0.35">
      <c r="B174" s="189" t="str">
        <f t="shared" si="18"/>
        <v xml:space="preserve"> </v>
      </c>
      <c r="C174" s="190" t="str">
        <f t="shared" si="14"/>
        <v xml:space="preserve"> </v>
      </c>
      <c r="D174" s="190" t="str">
        <f t="shared" si="15"/>
        <v xml:space="preserve"> </v>
      </c>
      <c r="E174" s="190" t="str">
        <f t="shared" si="16"/>
        <v xml:space="preserve"> </v>
      </c>
      <c r="F174" s="190" t="str">
        <f t="shared" si="17"/>
        <v xml:space="preserve"> </v>
      </c>
    </row>
    <row r="175" spans="2:6" x14ac:dyDescent="0.35">
      <c r="B175" s="189" t="str">
        <f t="shared" si="18"/>
        <v xml:space="preserve"> </v>
      </c>
      <c r="C175" s="190" t="str">
        <f t="shared" si="14"/>
        <v xml:space="preserve"> </v>
      </c>
      <c r="D175" s="190" t="str">
        <f t="shared" si="15"/>
        <v xml:space="preserve"> </v>
      </c>
      <c r="E175" s="190" t="str">
        <f t="shared" si="16"/>
        <v xml:space="preserve"> </v>
      </c>
      <c r="F175" s="190" t="str">
        <f t="shared" si="17"/>
        <v xml:space="preserve"> </v>
      </c>
    </row>
    <row r="176" spans="2:6" x14ac:dyDescent="0.35">
      <c r="B176" s="189" t="str">
        <f t="shared" si="18"/>
        <v xml:space="preserve"> </v>
      </c>
      <c r="C176" s="190" t="str">
        <f t="shared" si="14"/>
        <v xml:space="preserve"> </v>
      </c>
      <c r="D176" s="190" t="str">
        <f t="shared" si="15"/>
        <v xml:space="preserve"> </v>
      </c>
      <c r="E176" s="190" t="str">
        <f t="shared" si="16"/>
        <v xml:space="preserve"> </v>
      </c>
      <c r="F176" s="190" t="str">
        <f t="shared" si="17"/>
        <v xml:space="preserve"> </v>
      </c>
    </row>
    <row r="177" spans="2:6" x14ac:dyDescent="0.35">
      <c r="B177" s="189" t="str">
        <f t="shared" si="18"/>
        <v xml:space="preserve"> </v>
      </c>
      <c r="C177" s="190" t="str">
        <f t="shared" si="14"/>
        <v xml:space="preserve"> </v>
      </c>
      <c r="D177" s="190" t="str">
        <f t="shared" si="15"/>
        <v xml:space="preserve"> </v>
      </c>
      <c r="E177" s="190" t="str">
        <f t="shared" si="16"/>
        <v xml:space="preserve"> </v>
      </c>
      <c r="F177" s="190" t="str">
        <f t="shared" si="17"/>
        <v xml:space="preserve"> </v>
      </c>
    </row>
    <row r="178" spans="2:6" x14ac:dyDescent="0.35">
      <c r="B178" s="189" t="str">
        <f t="shared" si="18"/>
        <v xml:space="preserve"> </v>
      </c>
      <c r="C178" s="190" t="str">
        <f t="shared" si="14"/>
        <v xml:space="preserve"> </v>
      </c>
      <c r="D178" s="190" t="str">
        <f t="shared" si="15"/>
        <v xml:space="preserve"> </v>
      </c>
      <c r="E178" s="190" t="str">
        <f t="shared" si="16"/>
        <v xml:space="preserve"> </v>
      </c>
      <c r="F178" s="190" t="str">
        <f t="shared" si="17"/>
        <v xml:space="preserve"> </v>
      </c>
    </row>
    <row r="179" spans="2:6" x14ac:dyDescent="0.35">
      <c r="B179" s="189" t="str">
        <f t="shared" si="18"/>
        <v xml:space="preserve"> </v>
      </c>
      <c r="C179" s="190" t="str">
        <f t="shared" si="14"/>
        <v xml:space="preserve"> </v>
      </c>
      <c r="D179" s="190" t="str">
        <f t="shared" si="15"/>
        <v xml:space="preserve"> </v>
      </c>
      <c r="E179" s="190" t="str">
        <f t="shared" si="16"/>
        <v xml:space="preserve"> </v>
      </c>
      <c r="F179" s="190" t="str">
        <f t="shared" si="17"/>
        <v xml:space="preserve"> </v>
      </c>
    </row>
    <row r="180" spans="2:6" x14ac:dyDescent="0.35">
      <c r="B180" s="189" t="str">
        <f t="shared" si="18"/>
        <v xml:space="preserve"> </v>
      </c>
      <c r="C180" s="190" t="str">
        <f t="shared" si="14"/>
        <v xml:space="preserve"> </v>
      </c>
      <c r="D180" s="190" t="str">
        <f t="shared" si="15"/>
        <v xml:space="preserve"> </v>
      </c>
      <c r="E180" s="190" t="str">
        <f t="shared" si="16"/>
        <v xml:space="preserve"> </v>
      </c>
      <c r="F180" s="190" t="str">
        <f t="shared" si="17"/>
        <v xml:space="preserve"> </v>
      </c>
    </row>
    <row r="181" spans="2:6" x14ac:dyDescent="0.35">
      <c r="B181" s="189" t="str">
        <f t="shared" si="18"/>
        <v xml:space="preserve"> </v>
      </c>
      <c r="C181" s="190" t="str">
        <f t="shared" si="14"/>
        <v xml:space="preserve"> </v>
      </c>
      <c r="D181" s="190" t="str">
        <f t="shared" si="15"/>
        <v xml:space="preserve"> </v>
      </c>
      <c r="E181" s="190" t="str">
        <f t="shared" si="16"/>
        <v xml:space="preserve"> </v>
      </c>
      <c r="F181" s="190" t="str">
        <f t="shared" si="17"/>
        <v xml:space="preserve"> </v>
      </c>
    </row>
    <row r="182" spans="2:6" x14ac:dyDescent="0.35">
      <c r="B182" s="189" t="str">
        <f t="shared" si="18"/>
        <v xml:space="preserve"> </v>
      </c>
      <c r="C182" s="190" t="str">
        <f t="shared" si="14"/>
        <v xml:space="preserve"> </v>
      </c>
      <c r="D182" s="190" t="str">
        <f t="shared" si="15"/>
        <v xml:space="preserve"> </v>
      </c>
      <c r="E182" s="190" t="str">
        <f t="shared" si="16"/>
        <v xml:space="preserve"> </v>
      </c>
      <c r="F182" s="190" t="str">
        <f t="shared" si="17"/>
        <v xml:space="preserve"> </v>
      </c>
    </row>
    <row r="183" spans="2:6" x14ac:dyDescent="0.35">
      <c r="B183" s="189" t="str">
        <f t="shared" si="18"/>
        <v xml:space="preserve"> </v>
      </c>
      <c r="C183" s="190" t="str">
        <f t="shared" si="14"/>
        <v xml:space="preserve"> </v>
      </c>
      <c r="D183" s="190" t="str">
        <f t="shared" si="15"/>
        <v xml:space="preserve"> </v>
      </c>
      <c r="E183" s="190" t="str">
        <f t="shared" si="16"/>
        <v xml:space="preserve"> </v>
      </c>
      <c r="F183" s="190" t="str">
        <f t="shared" si="17"/>
        <v xml:space="preserve"> </v>
      </c>
    </row>
    <row r="184" spans="2:6" x14ac:dyDescent="0.35">
      <c r="B184" s="189" t="str">
        <f t="shared" si="18"/>
        <v xml:space="preserve"> </v>
      </c>
      <c r="C184" s="190" t="str">
        <f t="shared" si="14"/>
        <v xml:space="preserve"> </v>
      </c>
      <c r="D184" s="190" t="str">
        <f t="shared" si="15"/>
        <v xml:space="preserve"> </v>
      </c>
      <c r="E184" s="190" t="str">
        <f t="shared" si="16"/>
        <v xml:space="preserve"> </v>
      </c>
      <c r="F184" s="190" t="str">
        <f t="shared" si="17"/>
        <v xml:space="preserve"> </v>
      </c>
    </row>
    <row r="185" spans="2:6" x14ac:dyDescent="0.35">
      <c r="B185" s="189" t="str">
        <f t="shared" si="18"/>
        <v xml:space="preserve"> </v>
      </c>
      <c r="C185" s="190" t="str">
        <f t="shared" si="14"/>
        <v xml:space="preserve"> </v>
      </c>
      <c r="D185" s="190" t="str">
        <f t="shared" si="15"/>
        <v xml:space="preserve"> </v>
      </c>
      <c r="E185" s="190" t="str">
        <f t="shared" si="16"/>
        <v xml:space="preserve"> </v>
      </c>
      <c r="F185" s="190" t="str">
        <f t="shared" si="17"/>
        <v xml:space="preserve"> </v>
      </c>
    </row>
    <row r="186" spans="2:6" x14ac:dyDescent="0.35">
      <c r="B186" s="189" t="str">
        <f t="shared" si="18"/>
        <v xml:space="preserve"> </v>
      </c>
      <c r="C186" s="190" t="str">
        <f t="shared" si="14"/>
        <v xml:space="preserve"> </v>
      </c>
      <c r="D186" s="190" t="str">
        <f t="shared" si="15"/>
        <v xml:space="preserve"> </v>
      </c>
      <c r="E186" s="190" t="str">
        <f t="shared" si="16"/>
        <v xml:space="preserve"> </v>
      </c>
      <c r="F186" s="190" t="str">
        <f t="shared" si="17"/>
        <v xml:space="preserve"> </v>
      </c>
    </row>
    <row r="187" spans="2:6" x14ac:dyDescent="0.35">
      <c r="B187" s="189" t="str">
        <f t="shared" si="18"/>
        <v xml:space="preserve"> </v>
      </c>
      <c r="C187" s="190" t="str">
        <f t="shared" si="14"/>
        <v xml:space="preserve"> </v>
      </c>
      <c r="D187" s="190" t="str">
        <f t="shared" si="15"/>
        <v xml:space="preserve"> </v>
      </c>
      <c r="E187" s="190" t="str">
        <f t="shared" si="16"/>
        <v xml:space="preserve"> </v>
      </c>
      <c r="F187" s="190" t="str">
        <f t="shared" si="17"/>
        <v xml:space="preserve"> </v>
      </c>
    </row>
    <row r="188" spans="2:6" x14ac:dyDescent="0.35">
      <c r="B188" s="189" t="str">
        <f t="shared" si="18"/>
        <v xml:space="preserve"> </v>
      </c>
      <c r="C188" s="190" t="str">
        <f t="shared" si="14"/>
        <v xml:space="preserve"> </v>
      </c>
      <c r="D188" s="190" t="str">
        <f t="shared" si="15"/>
        <v xml:space="preserve"> </v>
      </c>
      <c r="E188" s="190" t="str">
        <f t="shared" si="16"/>
        <v xml:space="preserve"> </v>
      </c>
      <c r="F188" s="190" t="str">
        <f t="shared" si="17"/>
        <v xml:space="preserve"> </v>
      </c>
    </row>
    <row r="189" spans="2:6" x14ac:dyDescent="0.35">
      <c r="B189" s="189" t="str">
        <f t="shared" si="18"/>
        <v xml:space="preserve"> </v>
      </c>
      <c r="C189" s="190" t="str">
        <f t="shared" si="14"/>
        <v xml:space="preserve"> </v>
      </c>
      <c r="D189" s="190" t="str">
        <f t="shared" si="15"/>
        <v xml:space="preserve"> </v>
      </c>
      <c r="E189" s="190" t="str">
        <f t="shared" si="16"/>
        <v xml:space="preserve"> </v>
      </c>
      <c r="F189" s="190" t="str">
        <f t="shared" si="17"/>
        <v xml:space="preserve"> </v>
      </c>
    </row>
    <row r="190" spans="2:6" x14ac:dyDescent="0.35">
      <c r="B190" s="189" t="str">
        <f t="shared" si="18"/>
        <v xml:space="preserve"> </v>
      </c>
      <c r="C190" s="190" t="str">
        <f t="shared" si="14"/>
        <v xml:space="preserve"> </v>
      </c>
      <c r="D190" s="190" t="str">
        <f t="shared" si="15"/>
        <v xml:space="preserve"> </v>
      </c>
      <c r="E190" s="190" t="str">
        <f t="shared" si="16"/>
        <v xml:space="preserve"> </v>
      </c>
      <c r="F190" s="190" t="str">
        <f t="shared" si="17"/>
        <v xml:space="preserve"> </v>
      </c>
    </row>
    <row r="191" spans="2:6" x14ac:dyDescent="0.35">
      <c r="B191" s="189" t="str">
        <f t="shared" si="18"/>
        <v xml:space="preserve"> </v>
      </c>
      <c r="C191" s="190" t="str">
        <f t="shared" si="14"/>
        <v xml:space="preserve"> </v>
      </c>
      <c r="D191" s="190" t="str">
        <f t="shared" si="15"/>
        <v xml:space="preserve"> </v>
      </c>
      <c r="E191" s="190" t="str">
        <f t="shared" si="16"/>
        <v xml:space="preserve"> </v>
      </c>
      <c r="F191" s="190" t="str">
        <f t="shared" si="17"/>
        <v xml:space="preserve"> </v>
      </c>
    </row>
    <row r="192" spans="2:6" x14ac:dyDescent="0.35">
      <c r="B192" s="189" t="str">
        <f t="shared" si="18"/>
        <v xml:space="preserve"> </v>
      </c>
      <c r="C192" s="190" t="str">
        <f t="shared" si="14"/>
        <v xml:space="preserve"> </v>
      </c>
      <c r="D192" s="190" t="str">
        <f t="shared" si="15"/>
        <v xml:space="preserve"> </v>
      </c>
      <c r="E192" s="190" t="str">
        <f t="shared" si="16"/>
        <v xml:space="preserve"> </v>
      </c>
      <c r="F192" s="190" t="str">
        <f t="shared" si="17"/>
        <v xml:space="preserve"> </v>
      </c>
    </row>
    <row r="193" spans="2:6" x14ac:dyDescent="0.35">
      <c r="B193" s="189" t="str">
        <f t="shared" si="18"/>
        <v xml:space="preserve"> </v>
      </c>
      <c r="C193" s="190" t="str">
        <f t="shared" si="14"/>
        <v xml:space="preserve"> </v>
      </c>
      <c r="D193" s="190" t="str">
        <f t="shared" si="15"/>
        <v xml:space="preserve"> </v>
      </c>
      <c r="E193" s="190" t="str">
        <f t="shared" si="16"/>
        <v xml:space="preserve"> </v>
      </c>
      <c r="F193" s="190" t="str">
        <f t="shared" si="17"/>
        <v xml:space="preserve"> </v>
      </c>
    </row>
    <row r="194" spans="2:6" x14ac:dyDescent="0.35">
      <c r="B194" s="189" t="str">
        <f t="shared" si="18"/>
        <v xml:space="preserve"> </v>
      </c>
      <c r="C194" s="190" t="str">
        <f t="shared" si="14"/>
        <v xml:space="preserve"> </v>
      </c>
      <c r="D194" s="190" t="str">
        <f t="shared" si="15"/>
        <v xml:space="preserve"> </v>
      </c>
      <c r="E194" s="190" t="str">
        <f t="shared" si="16"/>
        <v xml:space="preserve"> </v>
      </c>
      <c r="F194" s="190" t="str">
        <f t="shared" si="17"/>
        <v xml:space="preserve"> </v>
      </c>
    </row>
    <row r="195" spans="2:6" x14ac:dyDescent="0.35">
      <c r="B195" s="189" t="str">
        <f t="shared" si="18"/>
        <v xml:space="preserve"> </v>
      </c>
      <c r="C195" s="190" t="str">
        <f t="shared" si="14"/>
        <v xml:space="preserve"> </v>
      </c>
      <c r="D195" s="190" t="str">
        <f t="shared" si="15"/>
        <v xml:space="preserve"> </v>
      </c>
      <c r="E195" s="190" t="str">
        <f t="shared" si="16"/>
        <v xml:space="preserve"> </v>
      </c>
      <c r="F195" s="190" t="str">
        <f t="shared" si="17"/>
        <v xml:space="preserve"> </v>
      </c>
    </row>
    <row r="196" spans="2:6" x14ac:dyDescent="0.35">
      <c r="B196" s="189" t="str">
        <f t="shared" si="18"/>
        <v xml:space="preserve"> </v>
      </c>
      <c r="C196" s="190" t="str">
        <f t="shared" si="14"/>
        <v xml:space="preserve"> </v>
      </c>
      <c r="D196" s="190" t="str">
        <f t="shared" si="15"/>
        <v xml:space="preserve"> </v>
      </c>
      <c r="E196" s="190" t="str">
        <f t="shared" si="16"/>
        <v xml:space="preserve"> </v>
      </c>
      <c r="F196" s="190" t="str">
        <f t="shared" si="17"/>
        <v xml:space="preserve"> </v>
      </c>
    </row>
    <row r="197" spans="2:6" x14ac:dyDescent="0.35">
      <c r="B197" s="189" t="str">
        <f t="shared" si="18"/>
        <v xml:space="preserve"> </v>
      </c>
      <c r="C197" s="190" t="str">
        <f t="shared" si="14"/>
        <v xml:space="preserve"> </v>
      </c>
      <c r="D197" s="190" t="str">
        <f t="shared" si="15"/>
        <v xml:space="preserve"> </v>
      </c>
      <c r="E197" s="190" t="str">
        <f t="shared" si="16"/>
        <v xml:space="preserve"> </v>
      </c>
      <c r="F197" s="190" t="str">
        <f t="shared" si="17"/>
        <v xml:space="preserve"> </v>
      </c>
    </row>
    <row r="198" spans="2:6" x14ac:dyDescent="0.35">
      <c r="B198" s="189" t="str">
        <f t="shared" si="18"/>
        <v xml:space="preserve"> </v>
      </c>
      <c r="C198" s="190" t="str">
        <f t="shared" si="14"/>
        <v xml:space="preserve"> </v>
      </c>
      <c r="D198" s="190" t="str">
        <f t="shared" si="15"/>
        <v xml:space="preserve"> </v>
      </c>
      <c r="E198" s="190" t="str">
        <f t="shared" si="16"/>
        <v xml:space="preserve"> </v>
      </c>
      <c r="F198" s="190" t="str">
        <f t="shared" si="17"/>
        <v xml:space="preserve"> </v>
      </c>
    </row>
    <row r="199" spans="2:6" x14ac:dyDescent="0.35">
      <c r="B199" s="189" t="str">
        <f t="shared" si="18"/>
        <v xml:space="preserve"> </v>
      </c>
      <c r="C199" s="190" t="str">
        <f t="shared" si="14"/>
        <v xml:space="preserve"> </v>
      </c>
      <c r="D199" s="190" t="str">
        <f t="shared" si="15"/>
        <v xml:space="preserve"> </v>
      </c>
      <c r="E199" s="190" t="str">
        <f t="shared" si="16"/>
        <v xml:space="preserve"> </v>
      </c>
      <c r="F199" s="190" t="str">
        <f t="shared" si="17"/>
        <v xml:space="preserve"> </v>
      </c>
    </row>
    <row r="200" spans="2:6" x14ac:dyDescent="0.35">
      <c r="B200" s="189" t="str">
        <f t="shared" si="18"/>
        <v xml:space="preserve"> </v>
      </c>
      <c r="C200" s="190" t="str">
        <f t="shared" si="14"/>
        <v xml:space="preserve"> </v>
      </c>
      <c r="D200" s="190" t="str">
        <f t="shared" si="15"/>
        <v xml:space="preserve"> </v>
      </c>
      <c r="E200" s="190" t="str">
        <f t="shared" si="16"/>
        <v xml:space="preserve"> </v>
      </c>
      <c r="F200" s="190" t="str">
        <f t="shared" si="17"/>
        <v xml:space="preserve"> </v>
      </c>
    </row>
    <row r="201" spans="2:6" x14ac:dyDescent="0.35">
      <c r="B201" s="189" t="str">
        <f t="shared" si="18"/>
        <v xml:space="preserve"> </v>
      </c>
      <c r="C201" s="190" t="str">
        <f t="shared" si="14"/>
        <v xml:space="preserve"> </v>
      </c>
      <c r="D201" s="190" t="str">
        <f t="shared" si="15"/>
        <v xml:space="preserve"> </v>
      </c>
      <c r="E201" s="190" t="str">
        <f t="shared" si="16"/>
        <v xml:space="preserve"> </v>
      </c>
      <c r="F201" s="190" t="str">
        <f t="shared" si="17"/>
        <v xml:space="preserve"> </v>
      </c>
    </row>
    <row r="202" spans="2:6" x14ac:dyDescent="0.35">
      <c r="B202" s="189" t="str">
        <f t="shared" si="18"/>
        <v xml:space="preserve"> </v>
      </c>
      <c r="C202" s="190" t="str">
        <f t="shared" si="14"/>
        <v xml:space="preserve"> </v>
      </c>
      <c r="D202" s="190" t="str">
        <f t="shared" si="15"/>
        <v xml:space="preserve"> </v>
      </c>
      <c r="E202" s="190" t="str">
        <f t="shared" si="16"/>
        <v xml:space="preserve"> </v>
      </c>
      <c r="F202" s="190" t="str">
        <f t="shared" si="17"/>
        <v xml:space="preserve"> </v>
      </c>
    </row>
    <row r="203" spans="2:6" x14ac:dyDescent="0.35">
      <c r="B203" s="189" t="str">
        <f t="shared" si="18"/>
        <v xml:space="preserve"> </v>
      </c>
      <c r="C203" s="190" t="str">
        <f t="shared" si="14"/>
        <v xml:space="preserve"> </v>
      </c>
      <c r="D203" s="190" t="str">
        <f t="shared" si="15"/>
        <v xml:space="preserve"> </v>
      </c>
      <c r="E203" s="190" t="str">
        <f t="shared" si="16"/>
        <v xml:space="preserve"> </v>
      </c>
      <c r="F203" s="190" t="str">
        <f t="shared" si="17"/>
        <v xml:space="preserve"> </v>
      </c>
    </row>
    <row r="204" spans="2:6" x14ac:dyDescent="0.35">
      <c r="B204" s="189" t="str">
        <f t="shared" si="18"/>
        <v xml:space="preserve"> </v>
      </c>
      <c r="C204" s="190" t="str">
        <f t="shared" ref="C204:C267" si="19">IF(($B204&lt;=$F$8),IF($AK$14=1,PMT($G$6,$F$8,-MONTO),D204+E204)," ")</f>
        <v xml:space="preserve"> </v>
      </c>
      <c r="D204" s="190" t="str">
        <f t="shared" ref="D204:D267" si="20">IF(($B204&lt;=$F$8),$F203*INTERES," ")</f>
        <v xml:space="preserve"> </v>
      </c>
      <c r="E204" s="190" t="str">
        <f t="shared" ref="E204:E267" si="21">IF(($B204&lt;=$F$8),IF($AK$14=1,C204-D204,$F$5/$F$8)," ")</f>
        <v xml:space="preserve"> </v>
      </c>
      <c r="F204" s="190" t="str">
        <f t="shared" ref="F204:F267" si="22">IF(($B204&lt;=$F$8),F203-E204," ")</f>
        <v xml:space="preserve"> </v>
      </c>
    </row>
    <row r="205" spans="2:6" x14ac:dyDescent="0.35">
      <c r="B205" s="189" t="str">
        <f t="shared" ref="B205:B268" si="23">IF((B204&lt;$F$8),B204+1," ")</f>
        <v xml:space="preserve"> </v>
      </c>
      <c r="C205" s="190" t="str">
        <f t="shared" si="19"/>
        <v xml:space="preserve"> </v>
      </c>
      <c r="D205" s="190" t="str">
        <f t="shared" si="20"/>
        <v xml:space="preserve"> </v>
      </c>
      <c r="E205" s="190" t="str">
        <f t="shared" si="21"/>
        <v xml:space="preserve"> </v>
      </c>
      <c r="F205" s="190" t="str">
        <f t="shared" si="22"/>
        <v xml:space="preserve"> </v>
      </c>
    </row>
    <row r="206" spans="2:6" x14ac:dyDescent="0.35">
      <c r="B206" s="189" t="str">
        <f t="shared" si="23"/>
        <v xml:space="preserve"> </v>
      </c>
      <c r="C206" s="190" t="str">
        <f t="shared" si="19"/>
        <v xml:space="preserve"> </v>
      </c>
      <c r="D206" s="190" t="str">
        <f t="shared" si="20"/>
        <v xml:space="preserve"> </v>
      </c>
      <c r="E206" s="190" t="str">
        <f t="shared" si="21"/>
        <v xml:space="preserve"> </v>
      </c>
      <c r="F206" s="190" t="str">
        <f t="shared" si="22"/>
        <v xml:space="preserve"> </v>
      </c>
    </row>
    <row r="207" spans="2:6" x14ac:dyDescent="0.35">
      <c r="B207" s="189" t="str">
        <f t="shared" si="23"/>
        <v xml:space="preserve"> </v>
      </c>
      <c r="C207" s="190" t="str">
        <f t="shared" si="19"/>
        <v xml:space="preserve"> </v>
      </c>
      <c r="D207" s="190" t="str">
        <f t="shared" si="20"/>
        <v xml:space="preserve"> </v>
      </c>
      <c r="E207" s="190" t="str">
        <f t="shared" si="21"/>
        <v xml:space="preserve"> </v>
      </c>
      <c r="F207" s="190" t="str">
        <f t="shared" si="22"/>
        <v xml:space="preserve"> </v>
      </c>
    </row>
    <row r="208" spans="2:6" x14ac:dyDescent="0.35">
      <c r="B208" s="189" t="str">
        <f t="shared" si="23"/>
        <v xml:space="preserve"> </v>
      </c>
      <c r="C208" s="190" t="str">
        <f t="shared" si="19"/>
        <v xml:space="preserve"> </v>
      </c>
      <c r="D208" s="190" t="str">
        <f t="shared" si="20"/>
        <v xml:space="preserve"> </v>
      </c>
      <c r="E208" s="190" t="str">
        <f t="shared" si="21"/>
        <v xml:space="preserve"> </v>
      </c>
      <c r="F208" s="190" t="str">
        <f t="shared" si="22"/>
        <v xml:space="preserve"> </v>
      </c>
    </row>
    <row r="209" spans="2:6" x14ac:dyDescent="0.35">
      <c r="B209" s="189" t="str">
        <f t="shared" si="23"/>
        <v xml:space="preserve"> </v>
      </c>
      <c r="C209" s="190" t="str">
        <f t="shared" si="19"/>
        <v xml:space="preserve"> </v>
      </c>
      <c r="D209" s="190" t="str">
        <f t="shared" si="20"/>
        <v xml:space="preserve"> </v>
      </c>
      <c r="E209" s="190" t="str">
        <f t="shared" si="21"/>
        <v xml:space="preserve"> </v>
      </c>
      <c r="F209" s="190" t="str">
        <f t="shared" si="22"/>
        <v xml:space="preserve"> </v>
      </c>
    </row>
    <row r="210" spans="2:6" x14ac:dyDescent="0.35">
      <c r="B210" s="189" t="str">
        <f t="shared" si="23"/>
        <v xml:space="preserve"> </v>
      </c>
      <c r="C210" s="190" t="str">
        <f t="shared" si="19"/>
        <v xml:space="preserve"> </v>
      </c>
      <c r="D210" s="190" t="str">
        <f t="shared" si="20"/>
        <v xml:space="preserve"> </v>
      </c>
      <c r="E210" s="190" t="str">
        <f t="shared" si="21"/>
        <v xml:space="preserve"> </v>
      </c>
      <c r="F210" s="190" t="str">
        <f t="shared" si="22"/>
        <v xml:space="preserve"> </v>
      </c>
    </row>
    <row r="211" spans="2:6" x14ac:dyDescent="0.35">
      <c r="B211" s="189" t="str">
        <f t="shared" si="23"/>
        <v xml:space="preserve"> </v>
      </c>
      <c r="C211" s="190" t="str">
        <f t="shared" si="19"/>
        <v xml:space="preserve"> </v>
      </c>
      <c r="D211" s="190" t="str">
        <f t="shared" si="20"/>
        <v xml:space="preserve"> </v>
      </c>
      <c r="E211" s="190" t="str">
        <f t="shared" si="21"/>
        <v xml:space="preserve"> </v>
      </c>
      <c r="F211" s="190" t="str">
        <f t="shared" si="22"/>
        <v xml:space="preserve"> </v>
      </c>
    </row>
    <row r="212" spans="2:6" x14ac:dyDescent="0.35">
      <c r="B212" s="189" t="str">
        <f t="shared" si="23"/>
        <v xml:space="preserve"> </v>
      </c>
      <c r="C212" s="190" t="str">
        <f t="shared" si="19"/>
        <v xml:space="preserve"> </v>
      </c>
      <c r="D212" s="190" t="str">
        <f t="shared" si="20"/>
        <v xml:space="preserve"> </v>
      </c>
      <c r="E212" s="190" t="str">
        <f t="shared" si="21"/>
        <v xml:space="preserve"> </v>
      </c>
      <c r="F212" s="190" t="str">
        <f t="shared" si="22"/>
        <v xml:space="preserve"> </v>
      </c>
    </row>
    <row r="213" spans="2:6" x14ac:dyDescent="0.35">
      <c r="B213" s="189" t="str">
        <f t="shared" si="23"/>
        <v xml:space="preserve"> </v>
      </c>
      <c r="C213" s="190" t="str">
        <f t="shared" si="19"/>
        <v xml:space="preserve"> </v>
      </c>
      <c r="D213" s="190" t="str">
        <f t="shared" si="20"/>
        <v xml:space="preserve"> </v>
      </c>
      <c r="E213" s="190" t="str">
        <f t="shared" si="21"/>
        <v xml:space="preserve"> </v>
      </c>
      <c r="F213" s="190" t="str">
        <f t="shared" si="22"/>
        <v xml:space="preserve"> </v>
      </c>
    </row>
    <row r="214" spans="2:6" x14ac:dyDescent="0.35">
      <c r="B214" s="189" t="str">
        <f t="shared" si="23"/>
        <v xml:space="preserve"> </v>
      </c>
      <c r="C214" s="190" t="str">
        <f t="shared" si="19"/>
        <v xml:space="preserve"> </v>
      </c>
      <c r="D214" s="190" t="str">
        <f t="shared" si="20"/>
        <v xml:space="preserve"> </v>
      </c>
      <c r="E214" s="190" t="str">
        <f t="shared" si="21"/>
        <v xml:space="preserve"> </v>
      </c>
      <c r="F214" s="190" t="str">
        <f t="shared" si="22"/>
        <v xml:space="preserve"> </v>
      </c>
    </row>
    <row r="215" spans="2:6" x14ac:dyDescent="0.35">
      <c r="B215" s="189" t="str">
        <f t="shared" si="23"/>
        <v xml:space="preserve"> </v>
      </c>
      <c r="C215" s="190" t="str">
        <f t="shared" si="19"/>
        <v xml:space="preserve"> </v>
      </c>
      <c r="D215" s="190" t="str">
        <f t="shared" si="20"/>
        <v xml:space="preserve"> </v>
      </c>
      <c r="E215" s="190" t="str">
        <f t="shared" si="21"/>
        <v xml:space="preserve"> </v>
      </c>
      <c r="F215" s="190" t="str">
        <f t="shared" si="22"/>
        <v xml:space="preserve"> </v>
      </c>
    </row>
    <row r="216" spans="2:6" x14ac:dyDescent="0.35">
      <c r="B216" s="189" t="str">
        <f t="shared" si="23"/>
        <v xml:space="preserve"> </v>
      </c>
      <c r="C216" s="190" t="str">
        <f t="shared" si="19"/>
        <v xml:space="preserve"> </v>
      </c>
      <c r="D216" s="190" t="str">
        <f t="shared" si="20"/>
        <v xml:space="preserve"> </v>
      </c>
      <c r="E216" s="190" t="str">
        <f t="shared" si="21"/>
        <v xml:space="preserve"> </v>
      </c>
      <c r="F216" s="190" t="str">
        <f t="shared" si="22"/>
        <v xml:space="preserve"> </v>
      </c>
    </row>
    <row r="217" spans="2:6" x14ac:dyDescent="0.35">
      <c r="B217" s="189" t="str">
        <f t="shared" si="23"/>
        <v xml:space="preserve"> </v>
      </c>
      <c r="C217" s="190" t="str">
        <f t="shared" si="19"/>
        <v xml:space="preserve"> </v>
      </c>
      <c r="D217" s="190" t="str">
        <f t="shared" si="20"/>
        <v xml:space="preserve"> </v>
      </c>
      <c r="E217" s="190" t="str">
        <f t="shared" si="21"/>
        <v xml:space="preserve"> </v>
      </c>
      <c r="F217" s="190" t="str">
        <f t="shared" si="22"/>
        <v xml:space="preserve"> </v>
      </c>
    </row>
    <row r="218" spans="2:6" x14ac:dyDescent="0.35">
      <c r="B218" s="189" t="str">
        <f t="shared" si="23"/>
        <v xml:space="preserve"> </v>
      </c>
      <c r="C218" s="190" t="str">
        <f t="shared" si="19"/>
        <v xml:space="preserve"> </v>
      </c>
      <c r="D218" s="190" t="str">
        <f t="shared" si="20"/>
        <v xml:space="preserve"> </v>
      </c>
      <c r="E218" s="190" t="str">
        <f t="shared" si="21"/>
        <v xml:space="preserve"> </v>
      </c>
      <c r="F218" s="190" t="str">
        <f t="shared" si="22"/>
        <v xml:space="preserve"> </v>
      </c>
    </row>
    <row r="219" spans="2:6" x14ac:dyDescent="0.35">
      <c r="B219" s="189" t="str">
        <f t="shared" si="23"/>
        <v xml:space="preserve"> </v>
      </c>
      <c r="C219" s="190" t="str">
        <f t="shared" si="19"/>
        <v xml:space="preserve"> </v>
      </c>
      <c r="D219" s="190" t="str">
        <f t="shared" si="20"/>
        <v xml:space="preserve"> </v>
      </c>
      <c r="E219" s="190" t="str">
        <f t="shared" si="21"/>
        <v xml:space="preserve"> </v>
      </c>
      <c r="F219" s="190" t="str">
        <f t="shared" si="22"/>
        <v xml:space="preserve"> </v>
      </c>
    </row>
    <row r="220" spans="2:6" x14ac:dyDescent="0.35">
      <c r="B220" s="189" t="str">
        <f t="shared" si="23"/>
        <v xml:space="preserve"> </v>
      </c>
      <c r="C220" s="190" t="str">
        <f t="shared" si="19"/>
        <v xml:space="preserve"> </v>
      </c>
      <c r="D220" s="190" t="str">
        <f t="shared" si="20"/>
        <v xml:space="preserve"> </v>
      </c>
      <c r="E220" s="190" t="str">
        <f t="shared" si="21"/>
        <v xml:space="preserve"> </v>
      </c>
      <c r="F220" s="190" t="str">
        <f t="shared" si="22"/>
        <v xml:space="preserve"> </v>
      </c>
    </row>
    <row r="221" spans="2:6" x14ac:dyDescent="0.35">
      <c r="B221" s="189" t="str">
        <f t="shared" si="23"/>
        <v xml:space="preserve"> </v>
      </c>
      <c r="C221" s="190" t="str">
        <f t="shared" si="19"/>
        <v xml:space="preserve"> </v>
      </c>
      <c r="D221" s="190" t="str">
        <f t="shared" si="20"/>
        <v xml:space="preserve"> </v>
      </c>
      <c r="E221" s="190" t="str">
        <f t="shared" si="21"/>
        <v xml:space="preserve"> </v>
      </c>
      <c r="F221" s="190" t="str">
        <f t="shared" si="22"/>
        <v xml:space="preserve"> </v>
      </c>
    </row>
    <row r="222" spans="2:6" x14ac:dyDescent="0.35">
      <c r="B222" s="189" t="str">
        <f t="shared" si="23"/>
        <v xml:space="preserve"> </v>
      </c>
      <c r="C222" s="190" t="str">
        <f t="shared" si="19"/>
        <v xml:space="preserve"> </v>
      </c>
      <c r="D222" s="190" t="str">
        <f t="shared" si="20"/>
        <v xml:space="preserve"> </v>
      </c>
      <c r="E222" s="190" t="str">
        <f t="shared" si="21"/>
        <v xml:space="preserve"> </v>
      </c>
      <c r="F222" s="190" t="str">
        <f t="shared" si="22"/>
        <v xml:space="preserve"> </v>
      </c>
    </row>
    <row r="223" spans="2:6" x14ac:dyDescent="0.35">
      <c r="B223" s="189" t="str">
        <f t="shared" si="23"/>
        <v xml:space="preserve"> </v>
      </c>
      <c r="C223" s="190" t="str">
        <f t="shared" si="19"/>
        <v xml:space="preserve"> </v>
      </c>
      <c r="D223" s="190" t="str">
        <f t="shared" si="20"/>
        <v xml:space="preserve"> </v>
      </c>
      <c r="E223" s="190" t="str">
        <f t="shared" si="21"/>
        <v xml:space="preserve"> </v>
      </c>
      <c r="F223" s="190" t="str">
        <f t="shared" si="22"/>
        <v xml:space="preserve"> </v>
      </c>
    </row>
    <row r="224" spans="2:6" x14ac:dyDescent="0.35">
      <c r="B224" s="189" t="str">
        <f t="shared" si="23"/>
        <v xml:space="preserve"> </v>
      </c>
      <c r="C224" s="190" t="str">
        <f t="shared" si="19"/>
        <v xml:space="preserve"> </v>
      </c>
      <c r="D224" s="190" t="str">
        <f t="shared" si="20"/>
        <v xml:space="preserve"> </v>
      </c>
      <c r="E224" s="190" t="str">
        <f t="shared" si="21"/>
        <v xml:space="preserve"> </v>
      </c>
      <c r="F224" s="190" t="str">
        <f t="shared" si="22"/>
        <v xml:space="preserve"> </v>
      </c>
    </row>
    <row r="225" spans="2:6" x14ac:dyDescent="0.35">
      <c r="B225" s="189" t="str">
        <f t="shared" si="23"/>
        <v xml:space="preserve"> </v>
      </c>
      <c r="C225" s="190" t="str">
        <f t="shared" si="19"/>
        <v xml:space="preserve"> </v>
      </c>
      <c r="D225" s="190" t="str">
        <f t="shared" si="20"/>
        <v xml:space="preserve"> </v>
      </c>
      <c r="E225" s="190" t="str">
        <f t="shared" si="21"/>
        <v xml:space="preserve"> </v>
      </c>
      <c r="F225" s="190" t="str">
        <f t="shared" si="22"/>
        <v xml:space="preserve"> </v>
      </c>
    </row>
    <row r="226" spans="2:6" x14ac:dyDescent="0.35">
      <c r="B226" s="189" t="str">
        <f t="shared" si="23"/>
        <v xml:space="preserve"> </v>
      </c>
      <c r="C226" s="190" t="str">
        <f t="shared" si="19"/>
        <v xml:space="preserve"> </v>
      </c>
      <c r="D226" s="190" t="str">
        <f t="shared" si="20"/>
        <v xml:space="preserve"> </v>
      </c>
      <c r="E226" s="190" t="str">
        <f t="shared" si="21"/>
        <v xml:space="preserve"> </v>
      </c>
      <c r="F226" s="190" t="str">
        <f t="shared" si="22"/>
        <v xml:space="preserve"> </v>
      </c>
    </row>
    <row r="227" spans="2:6" x14ac:dyDescent="0.35">
      <c r="B227" s="189" t="str">
        <f t="shared" si="23"/>
        <v xml:space="preserve"> </v>
      </c>
      <c r="C227" s="190" t="str">
        <f t="shared" si="19"/>
        <v xml:space="preserve"> </v>
      </c>
      <c r="D227" s="190" t="str">
        <f t="shared" si="20"/>
        <v xml:space="preserve"> </v>
      </c>
      <c r="E227" s="190" t="str">
        <f t="shared" si="21"/>
        <v xml:space="preserve"> </v>
      </c>
      <c r="F227" s="190" t="str">
        <f t="shared" si="22"/>
        <v xml:space="preserve"> </v>
      </c>
    </row>
    <row r="228" spans="2:6" x14ac:dyDescent="0.35">
      <c r="B228" s="189" t="str">
        <f t="shared" si="23"/>
        <v xml:space="preserve"> </v>
      </c>
      <c r="C228" s="190" t="str">
        <f t="shared" si="19"/>
        <v xml:space="preserve"> </v>
      </c>
      <c r="D228" s="190" t="str">
        <f t="shared" si="20"/>
        <v xml:space="preserve"> </v>
      </c>
      <c r="E228" s="190" t="str">
        <f t="shared" si="21"/>
        <v xml:space="preserve"> </v>
      </c>
      <c r="F228" s="190" t="str">
        <f t="shared" si="22"/>
        <v xml:space="preserve"> </v>
      </c>
    </row>
    <row r="229" spans="2:6" x14ac:dyDescent="0.35">
      <c r="B229" s="189" t="str">
        <f t="shared" si="23"/>
        <v xml:space="preserve"> </v>
      </c>
      <c r="C229" s="190" t="str">
        <f t="shared" si="19"/>
        <v xml:space="preserve"> </v>
      </c>
      <c r="D229" s="190" t="str">
        <f t="shared" si="20"/>
        <v xml:space="preserve"> </v>
      </c>
      <c r="E229" s="190" t="str">
        <f t="shared" si="21"/>
        <v xml:space="preserve"> </v>
      </c>
      <c r="F229" s="190" t="str">
        <f t="shared" si="22"/>
        <v xml:space="preserve"> </v>
      </c>
    </row>
    <row r="230" spans="2:6" x14ac:dyDescent="0.35">
      <c r="B230" s="189" t="str">
        <f t="shared" si="23"/>
        <v xml:space="preserve"> </v>
      </c>
      <c r="C230" s="190" t="str">
        <f t="shared" si="19"/>
        <v xml:space="preserve"> </v>
      </c>
      <c r="D230" s="190" t="str">
        <f t="shared" si="20"/>
        <v xml:space="preserve"> </v>
      </c>
      <c r="E230" s="190" t="str">
        <f t="shared" si="21"/>
        <v xml:space="preserve"> </v>
      </c>
      <c r="F230" s="190" t="str">
        <f t="shared" si="22"/>
        <v xml:space="preserve"> </v>
      </c>
    </row>
    <row r="231" spans="2:6" x14ac:dyDescent="0.35">
      <c r="B231" s="189" t="str">
        <f t="shared" si="23"/>
        <v xml:space="preserve"> </v>
      </c>
      <c r="C231" s="190" t="str">
        <f t="shared" si="19"/>
        <v xml:space="preserve"> </v>
      </c>
      <c r="D231" s="190" t="str">
        <f t="shared" si="20"/>
        <v xml:space="preserve"> </v>
      </c>
      <c r="E231" s="190" t="str">
        <f t="shared" si="21"/>
        <v xml:space="preserve"> </v>
      </c>
      <c r="F231" s="190" t="str">
        <f t="shared" si="22"/>
        <v xml:space="preserve"> </v>
      </c>
    </row>
    <row r="232" spans="2:6" x14ac:dyDescent="0.35">
      <c r="B232" s="189" t="str">
        <f t="shared" si="23"/>
        <v xml:space="preserve"> </v>
      </c>
      <c r="C232" s="190" t="str">
        <f t="shared" si="19"/>
        <v xml:space="preserve"> </v>
      </c>
      <c r="D232" s="190" t="str">
        <f t="shared" si="20"/>
        <v xml:space="preserve"> </v>
      </c>
      <c r="E232" s="190" t="str">
        <f t="shared" si="21"/>
        <v xml:space="preserve"> </v>
      </c>
      <c r="F232" s="190" t="str">
        <f t="shared" si="22"/>
        <v xml:space="preserve"> </v>
      </c>
    </row>
    <row r="233" spans="2:6" x14ac:dyDescent="0.35">
      <c r="B233" s="189" t="str">
        <f t="shared" si="23"/>
        <v xml:space="preserve"> </v>
      </c>
      <c r="C233" s="190" t="str">
        <f t="shared" si="19"/>
        <v xml:space="preserve"> </v>
      </c>
      <c r="D233" s="190" t="str">
        <f t="shared" si="20"/>
        <v xml:space="preserve"> </v>
      </c>
      <c r="E233" s="190" t="str">
        <f t="shared" si="21"/>
        <v xml:space="preserve"> </v>
      </c>
      <c r="F233" s="190" t="str">
        <f t="shared" si="22"/>
        <v xml:space="preserve"> </v>
      </c>
    </row>
    <row r="234" spans="2:6" x14ac:dyDescent="0.35">
      <c r="B234" s="189" t="str">
        <f t="shared" si="23"/>
        <v xml:space="preserve"> </v>
      </c>
      <c r="C234" s="190" t="str">
        <f t="shared" si="19"/>
        <v xml:space="preserve"> </v>
      </c>
      <c r="D234" s="190" t="str">
        <f t="shared" si="20"/>
        <v xml:space="preserve"> </v>
      </c>
      <c r="E234" s="190" t="str">
        <f t="shared" si="21"/>
        <v xml:space="preserve"> </v>
      </c>
      <c r="F234" s="190" t="str">
        <f t="shared" si="22"/>
        <v xml:space="preserve"> </v>
      </c>
    </row>
    <row r="235" spans="2:6" x14ac:dyDescent="0.35">
      <c r="B235" s="189" t="str">
        <f t="shared" si="23"/>
        <v xml:space="preserve"> </v>
      </c>
      <c r="C235" s="190" t="str">
        <f t="shared" si="19"/>
        <v xml:space="preserve"> </v>
      </c>
      <c r="D235" s="190" t="str">
        <f t="shared" si="20"/>
        <v xml:space="preserve"> </v>
      </c>
      <c r="E235" s="190" t="str">
        <f t="shared" si="21"/>
        <v xml:space="preserve"> </v>
      </c>
      <c r="F235" s="190" t="str">
        <f t="shared" si="22"/>
        <v xml:space="preserve"> </v>
      </c>
    </row>
    <row r="236" spans="2:6" x14ac:dyDescent="0.35">
      <c r="B236" s="189" t="str">
        <f t="shared" si="23"/>
        <v xml:space="preserve"> </v>
      </c>
      <c r="C236" s="190" t="str">
        <f t="shared" si="19"/>
        <v xml:space="preserve"> </v>
      </c>
      <c r="D236" s="190" t="str">
        <f t="shared" si="20"/>
        <v xml:space="preserve"> </v>
      </c>
      <c r="E236" s="190" t="str">
        <f t="shared" si="21"/>
        <v xml:space="preserve"> </v>
      </c>
      <c r="F236" s="190" t="str">
        <f t="shared" si="22"/>
        <v xml:space="preserve"> </v>
      </c>
    </row>
    <row r="237" spans="2:6" x14ac:dyDescent="0.35">
      <c r="B237" s="189" t="str">
        <f t="shared" si="23"/>
        <v xml:space="preserve"> </v>
      </c>
      <c r="C237" s="190" t="str">
        <f t="shared" si="19"/>
        <v xml:space="preserve"> </v>
      </c>
      <c r="D237" s="190" t="str">
        <f t="shared" si="20"/>
        <v xml:space="preserve"> </v>
      </c>
      <c r="E237" s="190" t="str">
        <f t="shared" si="21"/>
        <v xml:space="preserve"> </v>
      </c>
      <c r="F237" s="190" t="str">
        <f t="shared" si="22"/>
        <v xml:space="preserve"> </v>
      </c>
    </row>
    <row r="238" spans="2:6" x14ac:dyDescent="0.35">
      <c r="B238" s="189" t="str">
        <f t="shared" si="23"/>
        <v xml:space="preserve"> </v>
      </c>
      <c r="C238" s="190" t="str">
        <f t="shared" si="19"/>
        <v xml:space="preserve"> </v>
      </c>
      <c r="D238" s="190" t="str">
        <f t="shared" si="20"/>
        <v xml:space="preserve"> </v>
      </c>
      <c r="E238" s="190" t="str">
        <f t="shared" si="21"/>
        <v xml:space="preserve"> </v>
      </c>
      <c r="F238" s="190" t="str">
        <f t="shared" si="22"/>
        <v xml:space="preserve"> </v>
      </c>
    </row>
    <row r="239" spans="2:6" x14ac:dyDescent="0.35">
      <c r="B239" s="189" t="str">
        <f t="shared" si="23"/>
        <v xml:space="preserve"> </v>
      </c>
      <c r="C239" s="190" t="str">
        <f t="shared" si="19"/>
        <v xml:space="preserve"> </v>
      </c>
      <c r="D239" s="190" t="str">
        <f t="shared" si="20"/>
        <v xml:space="preserve"> </v>
      </c>
      <c r="E239" s="190" t="str">
        <f t="shared" si="21"/>
        <v xml:space="preserve"> </v>
      </c>
      <c r="F239" s="190" t="str">
        <f t="shared" si="22"/>
        <v xml:space="preserve"> </v>
      </c>
    </row>
    <row r="240" spans="2:6" x14ac:dyDescent="0.35">
      <c r="B240" s="189" t="str">
        <f t="shared" si="23"/>
        <v xml:space="preserve"> </v>
      </c>
      <c r="C240" s="190" t="str">
        <f t="shared" si="19"/>
        <v xml:space="preserve"> </v>
      </c>
      <c r="D240" s="190" t="str">
        <f t="shared" si="20"/>
        <v xml:space="preserve"> </v>
      </c>
      <c r="E240" s="190" t="str">
        <f t="shared" si="21"/>
        <v xml:space="preserve"> </v>
      </c>
      <c r="F240" s="190" t="str">
        <f t="shared" si="22"/>
        <v xml:space="preserve"> </v>
      </c>
    </row>
    <row r="241" spans="2:6" x14ac:dyDescent="0.35">
      <c r="B241" s="189" t="str">
        <f t="shared" si="23"/>
        <v xml:space="preserve"> </v>
      </c>
      <c r="C241" s="190" t="str">
        <f t="shared" si="19"/>
        <v xml:space="preserve"> </v>
      </c>
      <c r="D241" s="190" t="str">
        <f t="shared" si="20"/>
        <v xml:space="preserve"> </v>
      </c>
      <c r="E241" s="190" t="str">
        <f t="shared" si="21"/>
        <v xml:space="preserve"> </v>
      </c>
      <c r="F241" s="190" t="str">
        <f t="shared" si="22"/>
        <v xml:space="preserve"> </v>
      </c>
    </row>
    <row r="242" spans="2:6" x14ac:dyDescent="0.35">
      <c r="B242" s="189" t="str">
        <f t="shared" si="23"/>
        <v xml:space="preserve"> </v>
      </c>
      <c r="C242" s="190" t="str">
        <f t="shared" si="19"/>
        <v xml:space="preserve"> </v>
      </c>
      <c r="D242" s="190" t="str">
        <f t="shared" si="20"/>
        <v xml:space="preserve"> </v>
      </c>
      <c r="E242" s="190" t="str">
        <f t="shared" si="21"/>
        <v xml:space="preserve"> </v>
      </c>
      <c r="F242" s="190" t="str">
        <f t="shared" si="22"/>
        <v xml:space="preserve"> </v>
      </c>
    </row>
    <row r="243" spans="2:6" x14ac:dyDescent="0.35">
      <c r="B243" s="189" t="str">
        <f t="shared" si="23"/>
        <v xml:space="preserve"> </v>
      </c>
      <c r="C243" s="190" t="str">
        <f t="shared" si="19"/>
        <v xml:space="preserve"> </v>
      </c>
      <c r="D243" s="190" t="str">
        <f t="shared" si="20"/>
        <v xml:space="preserve"> </v>
      </c>
      <c r="E243" s="190" t="str">
        <f t="shared" si="21"/>
        <v xml:space="preserve"> </v>
      </c>
      <c r="F243" s="190" t="str">
        <f t="shared" si="22"/>
        <v xml:space="preserve"> </v>
      </c>
    </row>
    <row r="244" spans="2:6" x14ac:dyDescent="0.35">
      <c r="B244" s="189" t="str">
        <f t="shared" si="23"/>
        <v xml:space="preserve"> </v>
      </c>
      <c r="C244" s="190" t="str">
        <f t="shared" si="19"/>
        <v xml:space="preserve"> </v>
      </c>
      <c r="D244" s="190" t="str">
        <f t="shared" si="20"/>
        <v xml:space="preserve"> </v>
      </c>
      <c r="E244" s="190" t="str">
        <f t="shared" si="21"/>
        <v xml:space="preserve"> </v>
      </c>
      <c r="F244" s="190" t="str">
        <f t="shared" si="22"/>
        <v xml:space="preserve"> </v>
      </c>
    </row>
    <row r="245" spans="2:6" x14ac:dyDescent="0.35">
      <c r="B245" s="189" t="str">
        <f t="shared" si="23"/>
        <v xml:space="preserve"> </v>
      </c>
      <c r="C245" s="190" t="str">
        <f t="shared" si="19"/>
        <v xml:space="preserve"> </v>
      </c>
      <c r="D245" s="190" t="str">
        <f t="shared" si="20"/>
        <v xml:space="preserve"> </v>
      </c>
      <c r="E245" s="190" t="str">
        <f t="shared" si="21"/>
        <v xml:space="preserve"> </v>
      </c>
      <c r="F245" s="190" t="str">
        <f t="shared" si="22"/>
        <v xml:space="preserve"> </v>
      </c>
    </row>
    <row r="246" spans="2:6" x14ac:dyDescent="0.35">
      <c r="B246" s="189" t="str">
        <f t="shared" si="23"/>
        <v xml:space="preserve"> </v>
      </c>
      <c r="C246" s="190" t="str">
        <f t="shared" si="19"/>
        <v xml:space="preserve"> </v>
      </c>
      <c r="D246" s="190" t="str">
        <f t="shared" si="20"/>
        <v xml:space="preserve"> </v>
      </c>
      <c r="E246" s="190" t="str">
        <f t="shared" si="21"/>
        <v xml:space="preserve"> </v>
      </c>
      <c r="F246" s="190" t="str">
        <f t="shared" si="22"/>
        <v xml:space="preserve"> </v>
      </c>
    </row>
    <row r="247" spans="2:6" x14ac:dyDescent="0.35">
      <c r="B247" s="189" t="str">
        <f t="shared" si="23"/>
        <v xml:space="preserve"> </v>
      </c>
      <c r="C247" s="190" t="str">
        <f t="shared" si="19"/>
        <v xml:space="preserve"> </v>
      </c>
      <c r="D247" s="190" t="str">
        <f t="shared" si="20"/>
        <v xml:space="preserve"> </v>
      </c>
      <c r="E247" s="190" t="str">
        <f t="shared" si="21"/>
        <v xml:space="preserve"> </v>
      </c>
      <c r="F247" s="190" t="str">
        <f t="shared" si="22"/>
        <v xml:space="preserve"> </v>
      </c>
    </row>
    <row r="248" spans="2:6" x14ac:dyDescent="0.35">
      <c r="B248" s="189" t="str">
        <f t="shared" si="23"/>
        <v xml:space="preserve"> </v>
      </c>
      <c r="C248" s="190" t="str">
        <f t="shared" si="19"/>
        <v xml:space="preserve"> </v>
      </c>
      <c r="D248" s="190" t="str">
        <f t="shared" si="20"/>
        <v xml:space="preserve"> </v>
      </c>
      <c r="E248" s="190" t="str">
        <f t="shared" si="21"/>
        <v xml:space="preserve"> </v>
      </c>
      <c r="F248" s="190" t="str">
        <f t="shared" si="22"/>
        <v xml:space="preserve"> </v>
      </c>
    </row>
    <row r="249" spans="2:6" x14ac:dyDescent="0.35">
      <c r="B249" s="189" t="str">
        <f t="shared" si="23"/>
        <v xml:space="preserve"> </v>
      </c>
      <c r="C249" s="190" t="str">
        <f t="shared" si="19"/>
        <v xml:space="preserve"> </v>
      </c>
      <c r="D249" s="190" t="str">
        <f t="shared" si="20"/>
        <v xml:space="preserve"> </v>
      </c>
      <c r="E249" s="190" t="str">
        <f t="shared" si="21"/>
        <v xml:space="preserve"> </v>
      </c>
      <c r="F249" s="190" t="str">
        <f t="shared" si="22"/>
        <v xml:space="preserve"> </v>
      </c>
    </row>
    <row r="250" spans="2:6" x14ac:dyDescent="0.35">
      <c r="B250" s="189" t="str">
        <f t="shared" si="23"/>
        <v xml:space="preserve"> </v>
      </c>
      <c r="C250" s="190" t="str">
        <f t="shared" si="19"/>
        <v xml:space="preserve"> </v>
      </c>
      <c r="D250" s="190" t="str">
        <f t="shared" si="20"/>
        <v xml:space="preserve"> </v>
      </c>
      <c r="E250" s="190" t="str">
        <f t="shared" si="21"/>
        <v xml:space="preserve"> </v>
      </c>
      <c r="F250" s="190" t="str">
        <f t="shared" si="22"/>
        <v xml:space="preserve"> </v>
      </c>
    </row>
    <row r="251" spans="2:6" x14ac:dyDescent="0.35">
      <c r="B251" s="189" t="str">
        <f t="shared" si="23"/>
        <v xml:space="preserve"> </v>
      </c>
      <c r="C251" s="190" t="str">
        <f t="shared" si="19"/>
        <v xml:space="preserve"> </v>
      </c>
      <c r="D251" s="190" t="str">
        <f t="shared" si="20"/>
        <v xml:space="preserve"> </v>
      </c>
      <c r="E251" s="190" t="str">
        <f t="shared" si="21"/>
        <v xml:space="preserve"> </v>
      </c>
      <c r="F251" s="190" t="str">
        <f t="shared" si="22"/>
        <v xml:space="preserve"> </v>
      </c>
    </row>
    <row r="252" spans="2:6" x14ac:dyDescent="0.35">
      <c r="B252" s="189" t="str">
        <f t="shared" si="23"/>
        <v xml:space="preserve"> </v>
      </c>
      <c r="C252" s="190" t="str">
        <f t="shared" si="19"/>
        <v xml:space="preserve"> </v>
      </c>
      <c r="D252" s="190" t="str">
        <f t="shared" si="20"/>
        <v xml:space="preserve"> </v>
      </c>
      <c r="E252" s="190" t="str">
        <f t="shared" si="21"/>
        <v xml:space="preserve"> </v>
      </c>
      <c r="F252" s="190" t="str">
        <f t="shared" si="22"/>
        <v xml:space="preserve"> </v>
      </c>
    </row>
    <row r="253" spans="2:6" x14ac:dyDescent="0.35">
      <c r="B253" s="189" t="str">
        <f t="shared" si="23"/>
        <v xml:space="preserve"> </v>
      </c>
      <c r="C253" s="190" t="str">
        <f t="shared" si="19"/>
        <v xml:space="preserve"> </v>
      </c>
      <c r="D253" s="190" t="str">
        <f t="shared" si="20"/>
        <v xml:space="preserve"> </v>
      </c>
      <c r="E253" s="190" t="str">
        <f t="shared" si="21"/>
        <v xml:space="preserve"> </v>
      </c>
      <c r="F253" s="190" t="str">
        <f t="shared" si="22"/>
        <v xml:space="preserve"> </v>
      </c>
    </row>
    <row r="254" spans="2:6" x14ac:dyDescent="0.35">
      <c r="B254" s="189" t="str">
        <f t="shared" si="23"/>
        <v xml:space="preserve"> </v>
      </c>
      <c r="C254" s="190" t="str">
        <f t="shared" si="19"/>
        <v xml:space="preserve"> </v>
      </c>
      <c r="D254" s="190" t="str">
        <f t="shared" si="20"/>
        <v xml:space="preserve"> </v>
      </c>
      <c r="E254" s="190" t="str">
        <f t="shared" si="21"/>
        <v xml:space="preserve"> </v>
      </c>
      <c r="F254" s="190" t="str">
        <f t="shared" si="22"/>
        <v xml:space="preserve"> </v>
      </c>
    </row>
    <row r="255" spans="2:6" x14ac:dyDescent="0.35">
      <c r="B255" s="189" t="str">
        <f t="shared" si="23"/>
        <v xml:space="preserve"> </v>
      </c>
      <c r="C255" s="190" t="str">
        <f t="shared" si="19"/>
        <v xml:space="preserve"> </v>
      </c>
      <c r="D255" s="190" t="str">
        <f t="shared" si="20"/>
        <v xml:space="preserve"> </v>
      </c>
      <c r="E255" s="190" t="str">
        <f t="shared" si="21"/>
        <v xml:space="preserve"> </v>
      </c>
      <c r="F255" s="190" t="str">
        <f t="shared" si="22"/>
        <v xml:space="preserve"> </v>
      </c>
    </row>
    <row r="256" spans="2:6" x14ac:dyDescent="0.35">
      <c r="B256" s="189" t="str">
        <f t="shared" si="23"/>
        <v xml:space="preserve"> </v>
      </c>
      <c r="C256" s="190" t="str">
        <f t="shared" si="19"/>
        <v xml:space="preserve"> </v>
      </c>
      <c r="D256" s="190" t="str">
        <f t="shared" si="20"/>
        <v xml:space="preserve"> </v>
      </c>
      <c r="E256" s="190" t="str">
        <f t="shared" si="21"/>
        <v xml:space="preserve"> </v>
      </c>
      <c r="F256" s="190" t="str">
        <f t="shared" si="22"/>
        <v xml:space="preserve"> </v>
      </c>
    </row>
    <row r="257" spans="2:6" x14ac:dyDescent="0.35">
      <c r="B257" s="189" t="str">
        <f t="shared" si="23"/>
        <v xml:space="preserve"> </v>
      </c>
      <c r="C257" s="190" t="str">
        <f t="shared" si="19"/>
        <v xml:space="preserve"> </v>
      </c>
      <c r="D257" s="190" t="str">
        <f t="shared" si="20"/>
        <v xml:space="preserve"> </v>
      </c>
      <c r="E257" s="190" t="str">
        <f t="shared" si="21"/>
        <v xml:space="preserve"> </v>
      </c>
      <c r="F257" s="190" t="str">
        <f t="shared" si="22"/>
        <v xml:space="preserve"> </v>
      </c>
    </row>
    <row r="258" spans="2:6" x14ac:dyDescent="0.35">
      <c r="B258" s="189" t="str">
        <f t="shared" si="23"/>
        <v xml:space="preserve"> </v>
      </c>
      <c r="C258" s="190" t="str">
        <f t="shared" si="19"/>
        <v xml:space="preserve"> </v>
      </c>
      <c r="D258" s="190" t="str">
        <f t="shared" si="20"/>
        <v xml:space="preserve"> </v>
      </c>
      <c r="E258" s="190" t="str">
        <f t="shared" si="21"/>
        <v xml:space="preserve"> </v>
      </c>
      <c r="F258" s="190" t="str">
        <f t="shared" si="22"/>
        <v xml:space="preserve"> </v>
      </c>
    </row>
    <row r="259" spans="2:6" x14ac:dyDescent="0.35">
      <c r="B259" s="189" t="str">
        <f t="shared" si="23"/>
        <v xml:space="preserve"> </v>
      </c>
      <c r="C259" s="190" t="str">
        <f t="shared" si="19"/>
        <v xml:space="preserve"> </v>
      </c>
      <c r="D259" s="190" t="str">
        <f t="shared" si="20"/>
        <v xml:space="preserve"> </v>
      </c>
      <c r="E259" s="190" t="str">
        <f t="shared" si="21"/>
        <v xml:space="preserve"> </v>
      </c>
      <c r="F259" s="190" t="str">
        <f t="shared" si="22"/>
        <v xml:space="preserve"> </v>
      </c>
    </row>
    <row r="260" spans="2:6" x14ac:dyDescent="0.35">
      <c r="B260" s="189" t="str">
        <f t="shared" si="23"/>
        <v xml:space="preserve"> </v>
      </c>
      <c r="C260" s="190" t="str">
        <f t="shared" si="19"/>
        <v xml:space="preserve"> </v>
      </c>
      <c r="D260" s="190" t="str">
        <f t="shared" si="20"/>
        <v xml:space="preserve"> </v>
      </c>
      <c r="E260" s="190" t="str">
        <f t="shared" si="21"/>
        <v xml:space="preserve"> </v>
      </c>
      <c r="F260" s="190" t="str">
        <f t="shared" si="22"/>
        <v xml:space="preserve"> </v>
      </c>
    </row>
    <row r="261" spans="2:6" x14ac:dyDescent="0.35">
      <c r="B261" s="189" t="str">
        <f t="shared" si="23"/>
        <v xml:space="preserve"> </v>
      </c>
      <c r="C261" s="190" t="str">
        <f t="shared" si="19"/>
        <v xml:space="preserve"> </v>
      </c>
      <c r="D261" s="190" t="str">
        <f t="shared" si="20"/>
        <v xml:space="preserve"> </v>
      </c>
      <c r="E261" s="190" t="str">
        <f t="shared" si="21"/>
        <v xml:space="preserve"> </v>
      </c>
      <c r="F261" s="190" t="str">
        <f t="shared" si="22"/>
        <v xml:space="preserve"> </v>
      </c>
    </row>
    <row r="262" spans="2:6" x14ac:dyDescent="0.35">
      <c r="B262" s="189" t="str">
        <f t="shared" si="23"/>
        <v xml:space="preserve"> </v>
      </c>
      <c r="C262" s="190" t="str">
        <f t="shared" si="19"/>
        <v xml:space="preserve"> </v>
      </c>
      <c r="D262" s="190" t="str">
        <f t="shared" si="20"/>
        <v xml:space="preserve"> </v>
      </c>
      <c r="E262" s="190" t="str">
        <f t="shared" si="21"/>
        <v xml:space="preserve"> </v>
      </c>
      <c r="F262" s="190" t="str">
        <f t="shared" si="22"/>
        <v xml:space="preserve"> </v>
      </c>
    </row>
    <row r="263" spans="2:6" x14ac:dyDescent="0.35">
      <c r="B263" s="189" t="str">
        <f t="shared" si="23"/>
        <v xml:space="preserve"> </v>
      </c>
      <c r="C263" s="190" t="str">
        <f t="shared" si="19"/>
        <v xml:space="preserve"> </v>
      </c>
      <c r="D263" s="190" t="str">
        <f t="shared" si="20"/>
        <v xml:space="preserve"> </v>
      </c>
      <c r="E263" s="190" t="str">
        <f t="shared" si="21"/>
        <v xml:space="preserve"> </v>
      </c>
      <c r="F263" s="190" t="str">
        <f t="shared" si="22"/>
        <v xml:space="preserve"> </v>
      </c>
    </row>
    <row r="264" spans="2:6" x14ac:dyDescent="0.35">
      <c r="B264" s="189" t="str">
        <f t="shared" si="23"/>
        <v xml:space="preserve"> </v>
      </c>
      <c r="C264" s="190" t="str">
        <f t="shared" si="19"/>
        <v xml:space="preserve"> </v>
      </c>
      <c r="D264" s="190" t="str">
        <f t="shared" si="20"/>
        <v xml:space="preserve"> </v>
      </c>
      <c r="E264" s="190" t="str">
        <f t="shared" si="21"/>
        <v xml:space="preserve"> </v>
      </c>
      <c r="F264" s="190" t="str">
        <f t="shared" si="22"/>
        <v xml:space="preserve"> </v>
      </c>
    </row>
    <row r="265" spans="2:6" x14ac:dyDescent="0.35">
      <c r="B265" s="189" t="str">
        <f t="shared" si="23"/>
        <v xml:space="preserve"> </v>
      </c>
      <c r="C265" s="190" t="str">
        <f t="shared" si="19"/>
        <v xml:space="preserve"> </v>
      </c>
      <c r="D265" s="190" t="str">
        <f t="shared" si="20"/>
        <v xml:space="preserve"> </v>
      </c>
      <c r="E265" s="190" t="str">
        <f t="shared" si="21"/>
        <v xml:space="preserve"> </v>
      </c>
      <c r="F265" s="190" t="str">
        <f t="shared" si="22"/>
        <v xml:space="preserve"> </v>
      </c>
    </row>
    <row r="266" spans="2:6" x14ac:dyDescent="0.35">
      <c r="B266" s="189" t="str">
        <f t="shared" si="23"/>
        <v xml:space="preserve"> </v>
      </c>
      <c r="C266" s="190" t="str">
        <f t="shared" si="19"/>
        <v xml:space="preserve"> </v>
      </c>
      <c r="D266" s="190" t="str">
        <f t="shared" si="20"/>
        <v xml:space="preserve"> </v>
      </c>
      <c r="E266" s="190" t="str">
        <f t="shared" si="21"/>
        <v xml:space="preserve"> </v>
      </c>
      <c r="F266" s="190" t="str">
        <f t="shared" si="22"/>
        <v xml:space="preserve"> </v>
      </c>
    </row>
    <row r="267" spans="2:6" x14ac:dyDescent="0.35">
      <c r="B267" s="189" t="str">
        <f t="shared" si="23"/>
        <v xml:space="preserve"> </v>
      </c>
      <c r="C267" s="190" t="str">
        <f t="shared" si="19"/>
        <v xml:space="preserve"> </v>
      </c>
      <c r="D267" s="190" t="str">
        <f t="shared" si="20"/>
        <v xml:space="preserve"> </v>
      </c>
      <c r="E267" s="190" t="str">
        <f t="shared" si="21"/>
        <v xml:space="preserve"> </v>
      </c>
      <c r="F267" s="190" t="str">
        <f t="shared" si="22"/>
        <v xml:space="preserve"> </v>
      </c>
    </row>
    <row r="268" spans="2:6" x14ac:dyDescent="0.35">
      <c r="B268" s="189" t="str">
        <f t="shared" si="23"/>
        <v xml:space="preserve"> </v>
      </c>
      <c r="C268" s="190" t="str">
        <f t="shared" ref="C268:C331" si="24">IF(($B268&lt;=$F$8),IF($AK$14=1,PMT($G$6,$F$8,-MONTO),D268+E268)," ")</f>
        <v xml:space="preserve"> </v>
      </c>
      <c r="D268" s="190" t="str">
        <f t="shared" ref="D268:D331" si="25">IF(($B268&lt;=$F$8),$F267*INTERES," ")</f>
        <v xml:space="preserve"> </v>
      </c>
      <c r="E268" s="190" t="str">
        <f t="shared" ref="E268:E331" si="26">IF(($B268&lt;=$F$8),IF($AK$14=1,C268-D268,$F$5/$F$8)," ")</f>
        <v xml:space="preserve"> </v>
      </c>
      <c r="F268" s="190" t="str">
        <f t="shared" ref="F268:F331" si="27">IF(($B268&lt;=$F$8),F267-E268," ")</f>
        <v xml:space="preserve"> </v>
      </c>
    </row>
    <row r="269" spans="2:6" x14ac:dyDescent="0.35">
      <c r="B269" s="189" t="str">
        <f t="shared" ref="B269:B332" si="28">IF((B268&lt;$F$8),B268+1," ")</f>
        <v xml:space="preserve"> </v>
      </c>
      <c r="C269" s="190" t="str">
        <f t="shared" si="24"/>
        <v xml:space="preserve"> </v>
      </c>
      <c r="D269" s="190" t="str">
        <f t="shared" si="25"/>
        <v xml:space="preserve"> </v>
      </c>
      <c r="E269" s="190" t="str">
        <f t="shared" si="26"/>
        <v xml:space="preserve"> </v>
      </c>
      <c r="F269" s="190" t="str">
        <f t="shared" si="27"/>
        <v xml:space="preserve"> </v>
      </c>
    </row>
    <row r="270" spans="2:6" x14ac:dyDescent="0.35">
      <c r="B270" s="189" t="str">
        <f t="shared" si="28"/>
        <v xml:space="preserve"> </v>
      </c>
      <c r="C270" s="190" t="str">
        <f t="shared" si="24"/>
        <v xml:space="preserve"> </v>
      </c>
      <c r="D270" s="190" t="str">
        <f t="shared" si="25"/>
        <v xml:space="preserve"> </v>
      </c>
      <c r="E270" s="190" t="str">
        <f t="shared" si="26"/>
        <v xml:space="preserve"> </v>
      </c>
      <c r="F270" s="190" t="str">
        <f t="shared" si="27"/>
        <v xml:space="preserve"> </v>
      </c>
    </row>
    <row r="271" spans="2:6" x14ac:dyDescent="0.35">
      <c r="B271" s="189" t="str">
        <f t="shared" si="28"/>
        <v xml:space="preserve"> </v>
      </c>
      <c r="C271" s="190" t="str">
        <f t="shared" si="24"/>
        <v xml:space="preserve"> </v>
      </c>
      <c r="D271" s="190" t="str">
        <f t="shared" si="25"/>
        <v xml:space="preserve"> </v>
      </c>
      <c r="E271" s="190" t="str">
        <f t="shared" si="26"/>
        <v xml:space="preserve"> </v>
      </c>
      <c r="F271" s="190" t="str">
        <f t="shared" si="27"/>
        <v xml:space="preserve"> </v>
      </c>
    </row>
    <row r="272" spans="2:6" x14ac:dyDescent="0.35">
      <c r="B272" s="189" t="str">
        <f t="shared" si="28"/>
        <v xml:space="preserve"> </v>
      </c>
      <c r="C272" s="190" t="str">
        <f t="shared" si="24"/>
        <v xml:space="preserve"> </v>
      </c>
      <c r="D272" s="190" t="str">
        <f t="shared" si="25"/>
        <v xml:space="preserve"> </v>
      </c>
      <c r="E272" s="190" t="str">
        <f t="shared" si="26"/>
        <v xml:space="preserve"> </v>
      </c>
      <c r="F272" s="190" t="str">
        <f t="shared" si="27"/>
        <v xml:space="preserve"> </v>
      </c>
    </row>
    <row r="273" spans="2:6" x14ac:dyDescent="0.35">
      <c r="B273" s="189" t="str">
        <f t="shared" si="28"/>
        <v xml:space="preserve"> </v>
      </c>
      <c r="C273" s="190" t="str">
        <f t="shared" si="24"/>
        <v xml:space="preserve"> </v>
      </c>
      <c r="D273" s="190" t="str">
        <f t="shared" si="25"/>
        <v xml:space="preserve"> </v>
      </c>
      <c r="E273" s="190" t="str">
        <f t="shared" si="26"/>
        <v xml:space="preserve"> </v>
      </c>
      <c r="F273" s="190" t="str">
        <f t="shared" si="27"/>
        <v xml:space="preserve"> </v>
      </c>
    </row>
    <row r="274" spans="2:6" x14ac:dyDescent="0.35">
      <c r="B274" s="189" t="str">
        <f t="shared" si="28"/>
        <v xml:space="preserve"> </v>
      </c>
      <c r="C274" s="190" t="str">
        <f t="shared" si="24"/>
        <v xml:space="preserve"> </v>
      </c>
      <c r="D274" s="190" t="str">
        <f t="shared" si="25"/>
        <v xml:space="preserve"> </v>
      </c>
      <c r="E274" s="190" t="str">
        <f t="shared" si="26"/>
        <v xml:space="preserve"> </v>
      </c>
      <c r="F274" s="190" t="str">
        <f t="shared" si="27"/>
        <v xml:space="preserve"> </v>
      </c>
    </row>
    <row r="275" spans="2:6" x14ac:dyDescent="0.35">
      <c r="B275" s="189" t="str">
        <f t="shared" si="28"/>
        <v xml:space="preserve"> </v>
      </c>
      <c r="C275" s="190" t="str">
        <f t="shared" si="24"/>
        <v xml:space="preserve"> </v>
      </c>
      <c r="D275" s="190" t="str">
        <f t="shared" si="25"/>
        <v xml:space="preserve"> </v>
      </c>
      <c r="E275" s="190" t="str">
        <f t="shared" si="26"/>
        <v xml:space="preserve"> </v>
      </c>
      <c r="F275" s="190" t="str">
        <f t="shared" si="27"/>
        <v xml:space="preserve"> </v>
      </c>
    </row>
    <row r="276" spans="2:6" x14ac:dyDescent="0.35">
      <c r="B276" s="189" t="str">
        <f t="shared" si="28"/>
        <v xml:space="preserve"> </v>
      </c>
      <c r="C276" s="190" t="str">
        <f t="shared" si="24"/>
        <v xml:space="preserve"> </v>
      </c>
      <c r="D276" s="190" t="str">
        <f t="shared" si="25"/>
        <v xml:space="preserve"> </v>
      </c>
      <c r="E276" s="190" t="str">
        <f t="shared" si="26"/>
        <v xml:space="preserve"> </v>
      </c>
      <c r="F276" s="190" t="str">
        <f t="shared" si="27"/>
        <v xml:space="preserve"> </v>
      </c>
    </row>
    <row r="277" spans="2:6" x14ac:dyDescent="0.35">
      <c r="B277" s="189" t="str">
        <f t="shared" si="28"/>
        <v xml:space="preserve"> </v>
      </c>
      <c r="C277" s="190" t="str">
        <f t="shared" si="24"/>
        <v xml:space="preserve"> </v>
      </c>
      <c r="D277" s="190" t="str">
        <f t="shared" si="25"/>
        <v xml:space="preserve"> </v>
      </c>
      <c r="E277" s="190" t="str">
        <f t="shared" si="26"/>
        <v xml:space="preserve"> </v>
      </c>
      <c r="F277" s="190" t="str">
        <f t="shared" si="27"/>
        <v xml:space="preserve"> </v>
      </c>
    </row>
    <row r="278" spans="2:6" x14ac:dyDescent="0.35">
      <c r="B278" s="189" t="str">
        <f t="shared" si="28"/>
        <v xml:space="preserve"> </v>
      </c>
      <c r="C278" s="190" t="str">
        <f t="shared" si="24"/>
        <v xml:space="preserve"> </v>
      </c>
      <c r="D278" s="190" t="str">
        <f t="shared" si="25"/>
        <v xml:space="preserve"> </v>
      </c>
      <c r="E278" s="190" t="str">
        <f t="shared" si="26"/>
        <v xml:space="preserve"> </v>
      </c>
      <c r="F278" s="190" t="str">
        <f t="shared" si="27"/>
        <v xml:space="preserve"> </v>
      </c>
    </row>
    <row r="279" spans="2:6" x14ac:dyDescent="0.35">
      <c r="B279" s="189" t="str">
        <f t="shared" si="28"/>
        <v xml:space="preserve"> </v>
      </c>
      <c r="C279" s="190" t="str">
        <f t="shared" si="24"/>
        <v xml:space="preserve"> </v>
      </c>
      <c r="D279" s="190" t="str">
        <f t="shared" si="25"/>
        <v xml:space="preserve"> </v>
      </c>
      <c r="E279" s="190" t="str">
        <f t="shared" si="26"/>
        <v xml:space="preserve"> </v>
      </c>
      <c r="F279" s="190" t="str">
        <f t="shared" si="27"/>
        <v xml:space="preserve"> </v>
      </c>
    </row>
    <row r="280" spans="2:6" x14ac:dyDescent="0.35">
      <c r="B280" s="189" t="str">
        <f t="shared" si="28"/>
        <v xml:space="preserve"> </v>
      </c>
      <c r="C280" s="190" t="str">
        <f t="shared" si="24"/>
        <v xml:space="preserve"> </v>
      </c>
      <c r="D280" s="190" t="str">
        <f t="shared" si="25"/>
        <v xml:space="preserve"> </v>
      </c>
      <c r="E280" s="190" t="str">
        <f t="shared" si="26"/>
        <v xml:space="preserve"> </v>
      </c>
      <c r="F280" s="190" t="str">
        <f t="shared" si="27"/>
        <v xml:space="preserve"> </v>
      </c>
    </row>
    <row r="281" spans="2:6" x14ac:dyDescent="0.35">
      <c r="B281" s="189" t="str">
        <f t="shared" si="28"/>
        <v xml:space="preserve"> </v>
      </c>
      <c r="C281" s="190" t="str">
        <f t="shared" si="24"/>
        <v xml:space="preserve"> </v>
      </c>
      <c r="D281" s="190" t="str">
        <f t="shared" si="25"/>
        <v xml:space="preserve"> </v>
      </c>
      <c r="E281" s="190" t="str">
        <f t="shared" si="26"/>
        <v xml:space="preserve"> </v>
      </c>
      <c r="F281" s="190" t="str">
        <f t="shared" si="27"/>
        <v xml:space="preserve"> </v>
      </c>
    </row>
    <row r="282" spans="2:6" x14ac:dyDescent="0.35">
      <c r="B282" s="189" t="str">
        <f t="shared" si="28"/>
        <v xml:space="preserve"> </v>
      </c>
      <c r="C282" s="190" t="str">
        <f t="shared" si="24"/>
        <v xml:space="preserve"> </v>
      </c>
      <c r="D282" s="190" t="str">
        <f t="shared" si="25"/>
        <v xml:space="preserve"> </v>
      </c>
      <c r="E282" s="190" t="str">
        <f t="shared" si="26"/>
        <v xml:space="preserve"> </v>
      </c>
      <c r="F282" s="190" t="str">
        <f t="shared" si="27"/>
        <v xml:space="preserve"> </v>
      </c>
    </row>
    <row r="283" spans="2:6" x14ac:dyDescent="0.35">
      <c r="B283" s="189" t="str">
        <f t="shared" si="28"/>
        <v xml:space="preserve"> </v>
      </c>
      <c r="C283" s="190" t="str">
        <f t="shared" si="24"/>
        <v xml:space="preserve"> </v>
      </c>
      <c r="D283" s="190" t="str">
        <f t="shared" si="25"/>
        <v xml:space="preserve"> </v>
      </c>
      <c r="E283" s="190" t="str">
        <f t="shared" si="26"/>
        <v xml:space="preserve"> </v>
      </c>
      <c r="F283" s="190" t="str">
        <f t="shared" si="27"/>
        <v xml:space="preserve"> </v>
      </c>
    </row>
    <row r="284" spans="2:6" x14ac:dyDescent="0.35">
      <c r="B284" s="189" t="str">
        <f t="shared" si="28"/>
        <v xml:space="preserve"> </v>
      </c>
      <c r="C284" s="190" t="str">
        <f t="shared" si="24"/>
        <v xml:space="preserve"> </v>
      </c>
      <c r="D284" s="190" t="str">
        <f t="shared" si="25"/>
        <v xml:space="preserve"> </v>
      </c>
      <c r="E284" s="190" t="str">
        <f t="shared" si="26"/>
        <v xml:space="preserve"> </v>
      </c>
      <c r="F284" s="190" t="str">
        <f t="shared" si="27"/>
        <v xml:space="preserve"> </v>
      </c>
    </row>
    <row r="285" spans="2:6" x14ac:dyDescent="0.35">
      <c r="B285" s="189" t="str">
        <f t="shared" si="28"/>
        <v xml:space="preserve"> </v>
      </c>
      <c r="C285" s="190" t="str">
        <f t="shared" si="24"/>
        <v xml:space="preserve"> </v>
      </c>
      <c r="D285" s="190" t="str">
        <f t="shared" si="25"/>
        <v xml:space="preserve"> </v>
      </c>
      <c r="E285" s="190" t="str">
        <f t="shared" si="26"/>
        <v xml:space="preserve"> </v>
      </c>
      <c r="F285" s="190" t="str">
        <f t="shared" si="27"/>
        <v xml:space="preserve"> </v>
      </c>
    </row>
    <row r="286" spans="2:6" x14ac:dyDescent="0.35">
      <c r="B286" s="189" t="str">
        <f t="shared" si="28"/>
        <v xml:space="preserve"> </v>
      </c>
      <c r="C286" s="190" t="str">
        <f t="shared" si="24"/>
        <v xml:space="preserve"> </v>
      </c>
      <c r="D286" s="190" t="str">
        <f t="shared" si="25"/>
        <v xml:space="preserve"> </v>
      </c>
      <c r="E286" s="190" t="str">
        <f t="shared" si="26"/>
        <v xml:space="preserve"> </v>
      </c>
      <c r="F286" s="190" t="str">
        <f t="shared" si="27"/>
        <v xml:space="preserve"> </v>
      </c>
    </row>
    <row r="287" spans="2:6" x14ac:dyDescent="0.35">
      <c r="B287" s="189" t="str">
        <f t="shared" si="28"/>
        <v xml:space="preserve"> </v>
      </c>
      <c r="C287" s="190" t="str">
        <f t="shared" si="24"/>
        <v xml:space="preserve"> </v>
      </c>
      <c r="D287" s="190" t="str">
        <f t="shared" si="25"/>
        <v xml:space="preserve"> </v>
      </c>
      <c r="E287" s="190" t="str">
        <f t="shared" si="26"/>
        <v xml:space="preserve"> </v>
      </c>
      <c r="F287" s="190" t="str">
        <f t="shared" si="27"/>
        <v xml:space="preserve"> </v>
      </c>
    </row>
    <row r="288" spans="2:6" x14ac:dyDescent="0.35">
      <c r="B288" s="189" t="str">
        <f t="shared" si="28"/>
        <v xml:space="preserve"> </v>
      </c>
      <c r="C288" s="190" t="str">
        <f t="shared" si="24"/>
        <v xml:space="preserve"> </v>
      </c>
      <c r="D288" s="190" t="str">
        <f t="shared" si="25"/>
        <v xml:space="preserve"> </v>
      </c>
      <c r="E288" s="190" t="str">
        <f t="shared" si="26"/>
        <v xml:space="preserve"> </v>
      </c>
      <c r="F288" s="190" t="str">
        <f t="shared" si="27"/>
        <v xml:space="preserve"> </v>
      </c>
    </row>
    <row r="289" spans="2:6" x14ac:dyDescent="0.35">
      <c r="B289" s="189" t="str">
        <f t="shared" si="28"/>
        <v xml:space="preserve"> </v>
      </c>
      <c r="C289" s="190" t="str">
        <f t="shared" si="24"/>
        <v xml:space="preserve"> </v>
      </c>
      <c r="D289" s="190" t="str">
        <f t="shared" si="25"/>
        <v xml:space="preserve"> </v>
      </c>
      <c r="E289" s="190" t="str">
        <f t="shared" si="26"/>
        <v xml:space="preserve"> </v>
      </c>
      <c r="F289" s="190" t="str">
        <f t="shared" si="27"/>
        <v xml:space="preserve"> </v>
      </c>
    </row>
    <row r="290" spans="2:6" x14ac:dyDescent="0.35">
      <c r="B290" s="189" t="str">
        <f t="shared" si="28"/>
        <v xml:space="preserve"> </v>
      </c>
      <c r="C290" s="190" t="str">
        <f t="shared" si="24"/>
        <v xml:space="preserve"> </v>
      </c>
      <c r="D290" s="190" t="str">
        <f t="shared" si="25"/>
        <v xml:space="preserve"> </v>
      </c>
      <c r="E290" s="190" t="str">
        <f t="shared" si="26"/>
        <v xml:space="preserve"> </v>
      </c>
      <c r="F290" s="190" t="str">
        <f t="shared" si="27"/>
        <v xml:space="preserve"> </v>
      </c>
    </row>
    <row r="291" spans="2:6" x14ac:dyDescent="0.35">
      <c r="B291" s="189" t="str">
        <f t="shared" si="28"/>
        <v xml:space="preserve"> </v>
      </c>
      <c r="C291" s="190" t="str">
        <f t="shared" si="24"/>
        <v xml:space="preserve"> </v>
      </c>
      <c r="D291" s="190" t="str">
        <f t="shared" si="25"/>
        <v xml:space="preserve"> </v>
      </c>
      <c r="E291" s="190" t="str">
        <f t="shared" si="26"/>
        <v xml:space="preserve"> </v>
      </c>
      <c r="F291" s="190" t="str">
        <f t="shared" si="27"/>
        <v xml:space="preserve"> </v>
      </c>
    </row>
    <row r="292" spans="2:6" x14ac:dyDescent="0.35">
      <c r="B292" s="189" t="str">
        <f t="shared" si="28"/>
        <v xml:space="preserve"> </v>
      </c>
      <c r="C292" s="190" t="str">
        <f t="shared" si="24"/>
        <v xml:space="preserve"> </v>
      </c>
      <c r="D292" s="190" t="str">
        <f t="shared" si="25"/>
        <v xml:space="preserve"> </v>
      </c>
      <c r="E292" s="190" t="str">
        <f t="shared" si="26"/>
        <v xml:space="preserve"> </v>
      </c>
      <c r="F292" s="190" t="str">
        <f t="shared" si="27"/>
        <v xml:space="preserve"> </v>
      </c>
    </row>
    <row r="293" spans="2:6" x14ac:dyDescent="0.35">
      <c r="B293" s="189" t="str">
        <f t="shared" si="28"/>
        <v xml:space="preserve"> </v>
      </c>
      <c r="C293" s="190" t="str">
        <f t="shared" si="24"/>
        <v xml:space="preserve"> </v>
      </c>
      <c r="D293" s="190" t="str">
        <f t="shared" si="25"/>
        <v xml:space="preserve"> </v>
      </c>
      <c r="E293" s="190" t="str">
        <f t="shared" si="26"/>
        <v xml:space="preserve"> </v>
      </c>
      <c r="F293" s="190" t="str">
        <f t="shared" si="27"/>
        <v xml:space="preserve"> </v>
      </c>
    </row>
    <row r="294" spans="2:6" x14ac:dyDescent="0.35">
      <c r="B294" s="189" t="str">
        <f t="shared" si="28"/>
        <v xml:space="preserve"> </v>
      </c>
      <c r="C294" s="190" t="str">
        <f t="shared" si="24"/>
        <v xml:space="preserve"> </v>
      </c>
      <c r="D294" s="190" t="str">
        <f t="shared" si="25"/>
        <v xml:space="preserve"> </v>
      </c>
      <c r="E294" s="190" t="str">
        <f t="shared" si="26"/>
        <v xml:space="preserve"> </v>
      </c>
      <c r="F294" s="190" t="str">
        <f t="shared" si="27"/>
        <v xml:space="preserve"> </v>
      </c>
    </row>
    <row r="295" spans="2:6" x14ac:dyDescent="0.35">
      <c r="B295" s="189" t="str">
        <f t="shared" si="28"/>
        <v xml:space="preserve"> </v>
      </c>
      <c r="C295" s="190" t="str">
        <f t="shared" si="24"/>
        <v xml:space="preserve"> </v>
      </c>
      <c r="D295" s="190" t="str">
        <f t="shared" si="25"/>
        <v xml:space="preserve"> </v>
      </c>
      <c r="E295" s="190" t="str">
        <f t="shared" si="26"/>
        <v xml:space="preserve"> </v>
      </c>
      <c r="F295" s="190" t="str">
        <f t="shared" si="27"/>
        <v xml:space="preserve"> </v>
      </c>
    </row>
    <row r="296" spans="2:6" x14ac:dyDescent="0.35">
      <c r="B296" s="189" t="str">
        <f t="shared" si="28"/>
        <v xml:space="preserve"> </v>
      </c>
      <c r="C296" s="190" t="str">
        <f t="shared" si="24"/>
        <v xml:space="preserve"> </v>
      </c>
      <c r="D296" s="190" t="str">
        <f t="shared" si="25"/>
        <v xml:space="preserve"> </v>
      </c>
      <c r="E296" s="190" t="str">
        <f t="shared" si="26"/>
        <v xml:space="preserve"> </v>
      </c>
      <c r="F296" s="190" t="str">
        <f t="shared" si="27"/>
        <v xml:space="preserve"> </v>
      </c>
    </row>
    <row r="297" spans="2:6" x14ac:dyDescent="0.35">
      <c r="B297" s="189" t="str">
        <f t="shared" si="28"/>
        <v xml:space="preserve"> </v>
      </c>
      <c r="C297" s="190" t="str">
        <f t="shared" si="24"/>
        <v xml:space="preserve"> </v>
      </c>
      <c r="D297" s="190" t="str">
        <f t="shared" si="25"/>
        <v xml:space="preserve"> </v>
      </c>
      <c r="E297" s="190" t="str">
        <f t="shared" si="26"/>
        <v xml:space="preserve"> </v>
      </c>
      <c r="F297" s="190" t="str">
        <f t="shared" si="27"/>
        <v xml:space="preserve"> </v>
      </c>
    </row>
    <row r="298" spans="2:6" x14ac:dyDescent="0.35">
      <c r="B298" s="189" t="str">
        <f t="shared" si="28"/>
        <v xml:space="preserve"> </v>
      </c>
      <c r="C298" s="190" t="str">
        <f t="shared" si="24"/>
        <v xml:space="preserve"> </v>
      </c>
      <c r="D298" s="190" t="str">
        <f t="shared" si="25"/>
        <v xml:space="preserve"> </v>
      </c>
      <c r="E298" s="190" t="str">
        <f t="shared" si="26"/>
        <v xml:space="preserve"> </v>
      </c>
      <c r="F298" s="190" t="str">
        <f t="shared" si="27"/>
        <v xml:space="preserve"> </v>
      </c>
    </row>
    <row r="299" spans="2:6" x14ac:dyDescent="0.35">
      <c r="B299" s="189" t="str">
        <f t="shared" si="28"/>
        <v xml:space="preserve"> </v>
      </c>
      <c r="C299" s="190" t="str">
        <f t="shared" si="24"/>
        <v xml:space="preserve"> </v>
      </c>
      <c r="D299" s="190" t="str">
        <f t="shared" si="25"/>
        <v xml:space="preserve"> </v>
      </c>
      <c r="E299" s="190" t="str">
        <f t="shared" si="26"/>
        <v xml:space="preserve"> </v>
      </c>
      <c r="F299" s="190" t="str">
        <f t="shared" si="27"/>
        <v xml:space="preserve"> </v>
      </c>
    </row>
    <row r="300" spans="2:6" x14ac:dyDescent="0.35">
      <c r="B300" s="189" t="str">
        <f t="shared" si="28"/>
        <v xml:space="preserve"> </v>
      </c>
      <c r="C300" s="190" t="str">
        <f t="shared" si="24"/>
        <v xml:space="preserve"> </v>
      </c>
      <c r="D300" s="190" t="str">
        <f t="shared" si="25"/>
        <v xml:space="preserve"> </v>
      </c>
      <c r="E300" s="190" t="str">
        <f t="shared" si="26"/>
        <v xml:space="preserve"> </v>
      </c>
      <c r="F300" s="190" t="str">
        <f t="shared" si="27"/>
        <v xml:space="preserve"> </v>
      </c>
    </row>
    <row r="301" spans="2:6" x14ac:dyDescent="0.35">
      <c r="B301" s="189" t="str">
        <f t="shared" si="28"/>
        <v xml:space="preserve"> </v>
      </c>
      <c r="C301" s="190" t="str">
        <f t="shared" si="24"/>
        <v xml:space="preserve"> </v>
      </c>
      <c r="D301" s="190" t="str">
        <f t="shared" si="25"/>
        <v xml:space="preserve"> </v>
      </c>
      <c r="E301" s="190" t="str">
        <f t="shared" si="26"/>
        <v xml:space="preserve"> </v>
      </c>
      <c r="F301" s="190" t="str">
        <f t="shared" si="27"/>
        <v xml:space="preserve"> </v>
      </c>
    </row>
    <row r="302" spans="2:6" x14ac:dyDescent="0.35">
      <c r="B302" s="189" t="str">
        <f t="shared" si="28"/>
        <v xml:space="preserve"> </v>
      </c>
      <c r="C302" s="190" t="str">
        <f t="shared" si="24"/>
        <v xml:space="preserve"> </v>
      </c>
      <c r="D302" s="190" t="str">
        <f t="shared" si="25"/>
        <v xml:space="preserve"> </v>
      </c>
      <c r="E302" s="190" t="str">
        <f t="shared" si="26"/>
        <v xml:space="preserve"> </v>
      </c>
      <c r="F302" s="190" t="str">
        <f t="shared" si="27"/>
        <v xml:space="preserve"> </v>
      </c>
    </row>
    <row r="303" spans="2:6" x14ac:dyDescent="0.35">
      <c r="B303" s="189" t="str">
        <f t="shared" si="28"/>
        <v xml:space="preserve"> </v>
      </c>
      <c r="C303" s="190" t="str">
        <f t="shared" si="24"/>
        <v xml:space="preserve"> </v>
      </c>
      <c r="D303" s="190" t="str">
        <f t="shared" si="25"/>
        <v xml:space="preserve"> </v>
      </c>
      <c r="E303" s="190" t="str">
        <f t="shared" si="26"/>
        <v xml:space="preserve"> </v>
      </c>
      <c r="F303" s="190" t="str">
        <f t="shared" si="27"/>
        <v xml:space="preserve"> </v>
      </c>
    </row>
    <row r="304" spans="2:6" x14ac:dyDescent="0.35">
      <c r="B304" s="189" t="str">
        <f t="shared" si="28"/>
        <v xml:space="preserve"> </v>
      </c>
      <c r="C304" s="190" t="str">
        <f t="shared" si="24"/>
        <v xml:space="preserve"> </v>
      </c>
      <c r="D304" s="190" t="str">
        <f t="shared" si="25"/>
        <v xml:space="preserve"> </v>
      </c>
      <c r="E304" s="190" t="str">
        <f t="shared" si="26"/>
        <v xml:space="preserve"> </v>
      </c>
      <c r="F304" s="190" t="str">
        <f t="shared" si="27"/>
        <v xml:space="preserve"> </v>
      </c>
    </row>
    <row r="305" spans="2:6" x14ac:dyDescent="0.35">
      <c r="B305" s="189" t="str">
        <f t="shared" si="28"/>
        <v xml:space="preserve"> </v>
      </c>
      <c r="C305" s="190" t="str">
        <f t="shared" si="24"/>
        <v xml:space="preserve"> </v>
      </c>
      <c r="D305" s="190" t="str">
        <f t="shared" si="25"/>
        <v xml:space="preserve"> </v>
      </c>
      <c r="E305" s="190" t="str">
        <f t="shared" si="26"/>
        <v xml:space="preserve"> </v>
      </c>
      <c r="F305" s="190" t="str">
        <f t="shared" si="27"/>
        <v xml:space="preserve"> </v>
      </c>
    </row>
    <row r="306" spans="2:6" x14ac:dyDescent="0.35">
      <c r="B306" s="189" t="str">
        <f t="shared" si="28"/>
        <v xml:space="preserve"> </v>
      </c>
      <c r="C306" s="190" t="str">
        <f t="shared" si="24"/>
        <v xml:space="preserve"> </v>
      </c>
      <c r="D306" s="190" t="str">
        <f t="shared" si="25"/>
        <v xml:space="preserve"> </v>
      </c>
      <c r="E306" s="190" t="str">
        <f t="shared" si="26"/>
        <v xml:space="preserve"> </v>
      </c>
      <c r="F306" s="190" t="str">
        <f t="shared" si="27"/>
        <v xml:space="preserve"> </v>
      </c>
    </row>
    <row r="307" spans="2:6" x14ac:dyDescent="0.35">
      <c r="B307" s="189" t="str">
        <f t="shared" si="28"/>
        <v xml:space="preserve"> </v>
      </c>
      <c r="C307" s="190" t="str">
        <f t="shared" si="24"/>
        <v xml:space="preserve"> </v>
      </c>
      <c r="D307" s="190" t="str">
        <f t="shared" si="25"/>
        <v xml:space="preserve"> </v>
      </c>
      <c r="E307" s="190" t="str">
        <f t="shared" si="26"/>
        <v xml:space="preserve"> </v>
      </c>
      <c r="F307" s="190" t="str">
        <f t="shared" si="27"/>
        <v xml:space="preserve"> </v>
      </c>
    </row>
    <row r="308" spans="2:6" x14ac:dyDescent="0.35">
      <c r="B308" s="189" t="str">
        <f t="shared" si="28"/>
        <v xml:space="preserve"> </v>
      </c>
      <c r="C308" s="190" t="str">
        <f t="shared" si="24"/>
        <v xml:space="preserve"> </v>
      </c>
      <c r="D308" s="190" t="str">
        <f t="shared" si="25"/>
        <v xml:space="preserve"> </v>
      </c>
      <c r="E308" s="190" t="str">
        <f t="shared" si="26"/>
        <v xml:space="preserve"> </v>
      </c>
      <c r="F308" s="190" t="str">
        <f t="shared" si="27"/>
        <v xml:space="preserve"> </v>
      </c>
    </row>
    <row r="309" spans="2:6" x14ac:dyDescent="0.35">
      <c r="B309" s="189" t="str">
        <f t="shared" si="28"/>
        <v xml:space="preserve"> </v>
      </c>
      <c r="C309" s="190" t="str">
        <f t="shared" si="24"/>
        <v xml:space="preserve"> </v>
      </c>
      <c r="D309" s="190" t="str">
        <f t="shared" si="25"/>
        <v xml:space="preserve"> </v>
      </c>
      <c r="E309" s="190" t="str">
        <f t="shared" si="26"/>
        <v xml:space="preserve"> </v>
      </c>
      <c r="F309" s="190" t="str">
        <f t="shared" si="27"/>
        <v xml:space="preserve"> </v>
      </c>
    </row>
    <row r="310" spans="2:6" x14ac:dyDescent="0.35">
      <c r="B310" s="189" t="str">
        <f t="shared" si="28"/>
        <v xml:space="preserve"> </v>
      </c>
      <c r="C310" s="190" t="str">
        <f t="shared" si="24"/>
        <v xml:space="preserve"> </v>
      </c>
      <c r="D310" s="190" t="str">
        <f t="shared" si="25"/>
        <v xml:space="preserve"> </v>
      </c>
      <c r="E310" s="190" t="str">
        <f t="shared" si="26"/>
        <v xml:space="preserve"> </v>
      </c>
      <c r="F310" s="190" t="str">
        <f t="shared" si="27"/>
        <v xml:space="preserve"> </v>
      </c>
    </row>
    <row r="311" spans="2:6" x14ac:dyDescent="0.35">
      <c r="B311" s="189" t="str">
        <f t="shared" si="28"/>
        <v xml:space="preserve"> </v>
      </c>
      <c r="C311" s="190" t="str">
        <f t="shared" si="24"/>
        <v xml:space="preserve"> </v>
      </c>
      <c r="D311" s="190" t="str">
        <f t="shared" si="25"/>
        <v xml:space="preserve"> </v>
      </c>
      <c r="E311" s="190" t="str">
        <f t="shared" si="26"/>
        <v xml:space="preserve"> </v>
      </c>
      <c r="F311" s="190" t="str">
        <f t="shared" si="27"/>
        <v xml:space="preserve"> </v>
      </c>
    </row>
    <row r="312" spans="2:6" x14ac:dyDescent="0.35">
      <c r="B312" s="189" t="str">
        <f t="shared" si="28"/>
        <v xml:space="preserve"> </v>
      </c>
      <c r="C312" s="190" t="str">
        <f t="shared" si="24"/>
        <v xml:space="preserve"> </v>
      </c>
      <c r="D312" s="190" t="str">
        <f t="shared" si="25"/>
        <v xml:space="preserve"> </v>
      </c>
      <c r="E312" s="190" t="str">
        <f t="shared" si="26"/>
        <v xml:space="preserve"> </v>
      </c>
      <c r="F312" s="190" t="str">
        <f t="shared" si="27"/>
        <v xml:space="preserve"> </v>
      </c>
    </row>
    <row r="313" spans="2:6" x14ac:dyDescent="0.35">
      <c r="B313" s="189" t="str">
        <f t="shared" si="28"/>
        <v xml:space="preserve"> </v>
      </c>
      <c r="C313" s="190" t="str">
        <f t="shared" si="24"/>
        <v xml:space="preserve"> </v>
      </c>
      <c r="D313" s="190" t="str">
        <f t="shared" si="25"/>
        <v xml:space="preserve"> </v>
      </c>
      <c r="E313" s="190" t="str">
        <f t="shared" si="26"/>
        <v xml:space="preserve"> </v>
      </c>
      <c r="F313" s="190" t="str">
        <f t="shared" si="27"/>
        <v xml:space="preserve"> </v>
      </c>
    </row>
    <row r="314" spans="2:6" x14ac:dyDescent="0.35">
      <c r="B314" s="189" t="str">
        <f t="shared" si="28"/>
        <v xml:space="preserve"> </v>
      </c>
      <c r="C314" s="190" t="str">
        <f t="shared" si="24"/>
        <v xml:space="preserve"> </v>
      </c>
      <c r="D314" s="190" t="str">
        <f t="shared" si="25"/>
        <v xml:space="preserve"> </v>
      </c>
      <c r="E314" s="190" t="str">
        <f t="shared" si="26"/>
        <v xml:space="preserve"> </v>
      </c>
      <c r="F314" s="190" t="str">
        <f t="shared" si="27"/>
        <v xml:space="preserve"> </v>
      </c>
    </row>
    <row r="315" spans="2:6" x14ac:dyDescent="0.35">
      <c r="B315" s="189" t="str">
        <f t="shared" si="28"/>
        <v xml:space="preserve"> </v>
      </c>
      <c r="C315" s="190" t="str">
        <f t="shared" si="24"/>
        <v xml:space="preserve"> </v>
      </c>
      <c r="D315" s="190" t="str">
        <f t="shared" si="25"/>
        <v xml:space="preserve"> </v>
      </c>
      <c r="E315" s="190" t="str">
        <f t="shared" si="26"/>
        <v xml:space="preserve"> </v>
      </c>
      <c r="F315" s="190" t="str">
        <f t="shared" si="27"/>
        <v xml:space="preserve"> </v>
      </c>
    </row>
    <row r="316" spans="2:6" x14ac:dyDescent="0.35">
      <c r="B316" s="189" t="str">
        <f t="shared" si="28"/>
        <v xml:space="preserve"> </v>
      </c>
      <c r="C316" s="190" t="str">
        <f t="shared" si="24"/>
        <v xml:space="preserve"> </v>
      </c>
      <c r="D316" s="190" t="str">
        <f t="shared" si="25"/>
        <v xml:space="preserve"> </v>
      </c>
      <c r="E316" s="190" t="str">
        <f t="shared" si="26"/>
        <v xml:space="preserve"> </v>
      </c>
      <c r="F316" s="190" t="str">
        <f t="shared" si="27"/>
        <v xml:space="preserve"> </v>
      </c>
    </row>
    <row r="317" spans="2:6" x14ac:dyDescent="0.35">
      <c r="B317" s="189" t="str">
        <f t="shared" si="28"/>
        <v xml:space="preserve"> </v>
      </c>
      <c r="C317" s="190" t="str">
        <f t="shared" si="24"/>
        <v xml:space="preserve"> </v>
      </c>
      <c r="D317" s="190" t="str">
        <f t="shared" si="25"/>
        <v xml:space="preserve"> </v>
      </c>
      <c r="E317" s="190" t="str">
        <f t="shared" si="26"/>
        <v xml:space="preserve"> </v>
      </c>
      <c r="F317" s="190" t="str">
        <f t="shared" si="27"/>
        <v xml:space="preserve"> </v>
      </c>
    </row>
    <row r="318" spans="2:6" x14ac:dyDescent="0.35">
      <c r="B318" s="189" t="str">
        <f t="shared" si="28"/>
        <v xml:space="preserve"> </v>
      </c>
      <c r="C318" s="190" t="str">
        <f t="shared" si="24"/>
        <v xml:space="preserve"> </v>
      </c>
      <c r="D318" s="190" t="str">
        <f t="shared" si="25"/>
        <v xml:space="preserve"> </v>
      </c>
      <c r="E318" s="190" t="str">
        <f t="shared" si="26"/>
        <v xml:space="preserve"> </v>
      </c>
      <c r="F318" s="190" t="str">
        <f t="shared" si="27"/>
        <v xml:space="preserve"> </v>
      </c>
    </row>
    <row r="319" spans="2:6" x14ac:dyDescent="0.35">
      <c r="B319" s="189" t="str">
        <f t="shared" si="28"/>
        <v xml:space="preserve"> </v>
      </c>
      <c r="C319" s="190" t="str">
        <f t="shared" si="24"/>
        <v xml:space="preserve"> </v>
      </c>
      <c r="D319" s="190" t="str">
        <f t="shared" si="25"/>
        <v xml:space="preserve"> </v>
      </c>
      <c r="E319" s="190" t="str">
        <f t="shared" si="26"/>
        <v xml:space="preserve"> </v>
      </c>
      <c r="F319" s="190" t="str">
        <f t="shared" si="27"/>
        <v xml:space="preserve"> </v>
      </c>
    </row>
    <row r="320" spans="2:6" x14ac:dyDescent="0.35">
      <c r="B320" s="189" t="str">
        <f t="shared" si="28"/>
        <v xml:space="preserve"> </v>
      </c>
      <c r="C320" s="190" t="str">
        <f t="shared" si="24"/>
        <v xml:space="preserve"> </v>
      </c>
      <c r="D320" s="190" t="str">
        <f t="shared" si="25"/>
        <v xml:space="preserve"> </v>
      </c>
      <c r="E320" s="190" t="str">
        <f t="shared" si="26"/>
        <v xml:space="preserve"> </v>
      </c>
      <c r="F320" s="190" t="str">
        <f t="shared" si="27"/>
        <v xml:space="preserve"> </v>
      </c>
    </row>
    <row r="321" spans="2:6" x14ac:dyDescent="0.35">
      <c r="B321" s="189" t="str">
        <f t="shared" si="28"/>
        <v xml:space="preserve"> </v>
      </c>
      <c r="C321" s="190" t="str">
        <f t="shared" si="24"/>
        <v xml:space="preserve"> </v>
      </c>
      <c r="D321" s="190" t="str">
        <f t="shared" si="25"/>
        <v xml:space="preserve"> </v>
      </c>
      <c r="E321" s="190" t="str">
        <f t="shared" si="26"/>
        <v xml:space="preserve"> </v>
      </c>
      <c r="F321" s="190" t="str">
        <f t="shared" si="27"/>
        <v xml:space="preserve"> </v>
      </c>
    </row>
    <row r="322" spans="2:6" x14ac:dyDescent="0.35">
      <c r="B322" s="189" t="str">
        <f t="shared" si="28"/>
        <v xml:space="preserve"> </v>
      </c>
      <c r="C322" s="190" t="str">
        <f t="shared" si="24"/>
        <v xml:space="preserve"> </v>
      </c>
      <c r="D322" s="190" t="str">
        <f t="shared" si="25"/>
        <v xml:space="preserve"> </v>
      </c>
      <c r="E322" s="190" t="str">
        <f t="shared" si="26"/>
        <v xml:space="preserve"> </v>
      </c>
      <c r="F322" s="190" t="str">
        <f t="shared" si="27"/>
        <v xml:space="preserve"> </v>
      </c>
    </row>
    <row r="323" spans="2:6" x14ac:dyDescent="0.35">
      <c r="B323" s="189" t="str">
        <f t="shared" si="28"/>
        <v xml:space="preserve"> </v>
      </c>
      <c r="C323" s="190" t="str">
        <f t="shared" si="24"/>
        <v xml:space="preserve"> </v>
      </c>
      <c r="D323" s="190" t="str">
        <f t="shared" si="25"/>
        <v xml:space="preserve"> </v>
      </c>
      <c r="E323" s="190" t="str">
        <f t="shared" si="26"/>
        <v xml:space="preserve"> </v>
      </c>
      <c r="F323" s="190" t="str">
        <f t="shared" si="27"/>
        <v xml:space="preserve"> </v>
      </c>
    </row>
    <row r="324" spans="2:6" x14ac:dyDescent="0.35">
      <c r="B324" s="189" t="str">
        <f t="shared" si="28"/>
        <v xml:space="preserve"> </v>
      </c>
      <c r="C324" s="190" t="str">
        <f t="shared" si="24"/>
        <v xml:space="preserve"> </v>
      </c>
      <c r="D324" s="190" t="str">
        <f t="shared" si="25"/>
        <v xml:space="preserve"> </v>
      </c>
      <c r="E324" s="190" t="str">
        <f t="shared" si="26"/>
        <v xml:space="preserve"> </v>
      </c>
      <c r="F324" s="190" t="str">
        <f t="shared" si="27"/>
        <v xml:space="preserve"> </v>
      </c>
    </row>
    <row r="325" spans="2:6" x14ac:dyDescent="0.35">
      <c r="B325" s="189" t="str">
        <f t="shared" si="28"/>
        <v xml:space="preserve"> </v>
      </c>
      <c r="C325" s="190" t="str">
        <f t="shared" si="24"/>
        <v xml:space="preserve"> </v>
      </c>
      <c r="D325" s="190" t="str">
        <f t="shared" si="25"/>
        <v xml:space="preserve"> </v>
      </c>
      <c r="E325" s="190" t="str">
        <f t="shared" si="26"/>
        <v xml:space="preserve"> </v>
      </c>
      <c r="F325" s="190" t="str">
        <f t="shared" si="27"/>
        <v xml:space="preserve"> </v>
      </c>
    </row>
    <row r="326" spans="2:6" x14ac:dyDescent="0.35">
      <c r="B326" s="189" t="str">
        <f t="shared" si="28"/>
        <v xml:space="preserve"> </v>
      </c>
      <c r="C326" s="190" t="str">
        <f t="shared" si="24"/>
        <v xml:space="preserve"> </v>
      </c>
      <c r="D326" s="190" t="str">
        <f t="shared" si="25"/>
        <v xml:space="preserve"> </v>
      </c>
      <c r="E326" s="190" t="str">
        <f t="shared" si="26"/>
        <v xml:space="preserve"> </v>
      </c>
      <c r="F326" s="190" t="str">
        <f t="shared" si="27"/>
        <v xml:space="preserve"> </v>
      </c>
    </row>
    <row r="327" spans="2:6" x14ac:dyDescent="0.35">
      <c r="B327" s="189" t="str">
        <f t="shared" si="28"/>
        <v xml:space="preserve"> </v>
      </c>
      <c r="C327" s="190" t="str">
        <f t="shared" si="24"/>
        <v xml:space="preserve"> </v>
      </c>
      <c r="D327" s="190" t="str">
        <f t="shared" si="25"/>
        <v xml:space="preserve"> </v>
      </c>
      <c r="E327" s="190" t="str">
        <f t="shared" si="26"/>
        <v xml:space="preserve"> </v>
      </c>
      <c r="F327" s="190" t="str">
        <f t="shared" si="27"/>
        <v xml:space="preserve"> </v>
      </c>
    </row>
    <row r="328" spans="2:6" x14ac:dyDescent="0.35">
      <c r="B328" s="189" t="str">
        <f t="shared" si="28"/>
        <v xml:space="preserve"> </v>
      </c>
      <c r="C328" s="190" t="str">
        <f t="shared" si="24"/>
        <v xml:space="preserve"> </v>
      </c>
      <c r="D328" s="190" t="str">
        <f t="shared" si="25"/>
        <v xml:space="preserve"> </v>
      </c>
      <c r="E328" s="190" t="str">
        <f t="shared" si="26"/>
        <v xml:space="preserve"> </v>
      </c>
      <c r="F328" s="190" t="str">
        <f t="shared" si="27"/>
        <v xml:space="preserve"> </v>
      </c>
    </row>
    <row r="329" spans="2:6" x14ac:dyDescent="0.35">
      <c r="B329" s="189" t="str">
        <f t="shared" si="28"/>
        <v xml:space="preserve"> </v>
      </c>
      <c r="C329" s="190" t="str">
        <f t="shared" si="24"/>
        <v xml:space="preserve"> </v>
      </c>
      <c r="D329" s="190" t="str">
        <f t="shared" si="25"/>
        <v xml:space="preserve"> </v>
      </c>
      <c r="E329" s="190" t="str">
        <f t="shared" si="26"/>
        <v xml:space="preserve"> </v>
      </c>
      <c r="F329" s="190" t="str">
        <f t="shared" si="27"/>
        <v xml:space="preserve"> </v>
      </c>
    </row>
    <row r="330" spans="2:6" x14ac:dyDescent="0.35">
      <c r="B330" s="189" t="str">
        <f t="shared" si="28"/>
        <v xml:space="preserve"> </v>
      </c>
      <c r="C330" s="190" t="str">
        <f t="shared" si="24"/>
        <v xml:space="preserve"> </v>
      </c>
      <c r="D330" s="190" t="str">
        <f t="shared" si="25"/>
        <v xml:space="preserve"> </v>
      </c>
      <c r="E330" s="190" t="str">
        <f t="shared" si="26"/>
        <v xml:space="preserve"> </v>
      </c>
      <c r="F330" s="190" t="str">
        <f t="shared" si="27"/>
        <v xml:space="preserve"> </v>
      </c>
    </row>
    <row r="331" spans="2:6" x14ac:dyDescent="0.35">
      <c r="B331" s="189" t="str">
        <f t="shared" si="28"/>
        <v xml:space="preserve"> </v>
      </c>
      <c r="C331" s="190" t="str">
        <f t="shared" si="24"/>
        <v xml:space="preserve"> </v>
      </c>
      <c r="D331" s="190" t="str">
        <f t="shared" si="25"/>
        <v xml:space="preserve"> </v>
      </c>
      <c r="E331" s="190" t="str">
        <f t="shared" si="26"/>
        <v xml:space="preserve"> </v>
      </c>
      <c r="F331" s="190" t="str">
        <f t="shared" si="27"/>
        <v xml:space="preserve"> </v>
      </c>
    </row>
    <row r="332" spans="2:6" x14ac:dyDescent="0.35">
      <c r="B332" s="189" t="str">
        <f t="shared" si="28"/>
        <v xml:space="preserve"> </v>
      </c>
      <c r="C332" s="190" t="str">
        <f t="shared" ref="C332:C371" si="29">IF(($B332&lt;=$F$8),IF($AK$14=1,PMT($G$6,$F$8,-MONTO),D332+E332)," ")</f>
        <v xml:space="preserve"> </v>
      </c>
      <c r="D332" s="190" t="str">
        <f t="shared" ref="D332:D371" si="30">IF(($B332&lt;=$F$8),$F331*INTERES," ")</f>
        <v xml:space="preserve"> </v>
      </c>
      <c r="E332" s="190" t="str">
        <f t="shared" ref="E332:E371" si="31">IF(($B332&lt;=$F$8),IF($AK$14=1,C332-D332,$F$5/$F$8)," ")</f>
        <v xml:space="preserve"> </v>
      </c>
      <c r="F332" s="190" t="str">
        <f t="shared" ref="F332:F371" si="32">IF(($B332&lt;=$F$8),F331-E332," ")</f>
        <v xml:space="preserve"> </v>
      </c>
    </row>
    <row r="333" spans="2:6" x14ac:dyDescent="0.35">
      <c r="B333" s="189" t="str">
        <f t="shared" ref="B333:B371" si="33">IF((B332&lt;$F$8),B332+1," ")</f>
        <v xml:space="preserve"> </v>
      </c>
      <c r="C333" s="190" t="str">
        <f t="shared" si="29"/>
        <v xml:space="preserve"> </v>
      </c>
      <c r="D333" s="190" t="str">
        <f t="shared" si="30"/>
        <v xml:space="preserve"> </v>
      </c>
      <c r="E333" s="190" t="str">
        <f t="shared" si="31"/>
        <v xml:space="preserve"> </v>
      </c>
      <c r="F333" s="190" t="str">
        <f t="shared" si="32"/>
        <v xml:space="preserve"> </v>
      </c>
    </row>
    <row r="334" spans="2:6" x14ac:dyDescent="0.35">
      <c r="B334" s="189" t="str">
        <f t="shared" si="33"/>
        <v xml:space="preserve"> </v>
      </c>
      <c r="C334" s="190" t="str">
        <f t="shared" si="29"/>
        <v xml:space="preserve"> </v>
      </c>
      <c r="D334" s="190" t="str">
        <f t="shared" si="30"/>
        <v xml:space="preserve"> </v>
      </c>
      <c r="E334" s="190" t="str">
        <f t="shared" si="31"/>
        <v xml:space="preserve"> </v>
      </c>
      <c r="F334" s="190" t="str">
        <f t="shared" si="32"/>
        <v xml:space="preserve"> </v>
      </c>
    </row>
    <row r="335" spans="2:6" x14ac:dyDescent="0.35">
      <c r="B335" s="189" t="str">
        <f t="shared" si="33"/>
        <v xml:space="preserve"> </v>
      </c>
      <c r="C335" s="190" t="str">
        <f t="shared" si="29"/>
        <v xml:space="preserve"> </v>
      </c>
      <c r="D335" s="190" t="str">
        <f t="shared" si="30"/>
        <v xml:space="preserve"> </v>
      </c>
      <c r="E335" s="190" t="str">
        <f t="shared" si="31"/>
        <v xml:space="preserve"> </v>
      </c>
      <c r="F335" s="190" t="str">
        <f t="shared" si="32"/>
        <v xml:space="preserve"> </v>
      </c>
    </row>
    <row r="336" spans="2:6" x14ac:dyDescent="0.35">
      <c r="B336" s="189" t="str">
        <f t="shared" si="33"/>
        <v xml:space="preserve"> </v>
      </c>
      <c r="C336" s="190" t="str">
        <f t="shared" si="29"/>
        <v xml:space="preserve"> </v>
      </c>
      <c r="D336" s="190" t="str">
        <f t="shared" si="30"/>
        <v xml:space="preserve"> </v>
      </c>
      <c r="E336" s="190" t="str">
        <f t="shared" si="31"/>
        <v xml:space="preserve"> </v>
      </c>
      <c r="F336" s="190" t="str">
        <f t="shared" si="32"/>
        <v xml:space="preserve"> </v>
      </c>
    </row>
    <row r="337" spans="2:6" x14ac:dyDescent="0.35">
      <c r="B337" s="189" t="str">
        <f t="shared" si="33"/>
        <v xml:space="preserve"> </v>
      </c>
      <c r="C337" s="190" t="str">
        <f t="shared" si="29"/>
        <v xml:space="preserve"> </v>
      </c>
      <c r="D337" s="190" t="str">
        <f t="shared" si="30"/>
        <v xml:space="preserve"> </v>
      </c>
      <c r="E337" s="190" t="str">
        <f t="shared" si="31"/>
        <v xml:space="preserve"> </v>
      </c>
      <c r="F337" s="190" t="str">
        <f t="shared" si="32"/>
        <v xml:space="preserve"> </v>
      </c>
    </row>
    <row r="338" spans="2:6" x14ac:dyDescent="0.35">
      <c r="B338" s="189" t="str">
        <f t="shared" si="33"/>
        <v xml:space="preserve"> </v>
      </c>
      <c r="C338" s="190" t="str">
        <f t="shared" si="29"/>
        <v xml:space="preserve"> </v>
      </c>
      <c r="D338" s="190" t="str">
        <f t="shared" si="30"/>
        <v xml:space="preserve"> </v>
      </c>
      <c r="E338" s="190" t="str">
        <f t="shared" si="31"/>
        <v xml:space="preserve"> </v>
      </c>
      <c r="F338" s="190" t="str">
        <f t="shared" si="32"/>
        <v xml:space="preserve"> </v>
      </c>
    </row>
    <row r="339" spans="2:6" x14ac:dyDescent="0.35">
      <c r="B339" s="189" t="str">
        <f t="shared" si="33"/>
        <v xml:space="preserve"> </v>
      </c>
      <c r="C339" s="190" t="str">
        <f t="shared" si="29"/>
        <v xml:space="preserve"> </v>
      </c>
      <c r="D339" s="190" t="str">
        <f t="shared" si="30"/>
        <v xml:space="preserve"> </v>
      </c>
      <c r="E339" s="190" t="str">
        <f t="shared" si="31"/>
        <v xml:space="preserve"> </v>
      </c>
      <c r="F339" s="190" t="str">
        <f t="shared" si="32"/>
        <v xml:space="preserve"> </v>
      </c>
    </row>
    <row r="340" spans="2:6" x14ac:dyDescent="0.35">
      <c r="B340" s="189" t="str">
        <f t="shared" si="33"/>
        <v xml:space="preserve"> </v>
      </c>
      <c r="C340" s="190" t="str">
        <f t="shared" si="29"/>
        <v xml:space="preserve"> </v>
      </c>
      <c r="D340" s="190" t="str">
        <f t="shared" si="30"/>
        <v xml:space="preserve"> </v>
      </c>
      <c r="E340" s="190" t="str">
        <f t="shared" si="31"/>
        <v xml:space="preserve"> </v>
      </c>
      <c r="F340" s="190" t="str">
        <f t="shared" si="32"/>
        <v xml:space="preserve"> </v>
      </c>
    </row>
    <row r="341" spans="2:6" x14ac:dyDescent="0.35">
      <c r="B341" s="189" t="str">
        <f t="shared" si="33"/>
        <v xml:space="preserve"> </v>
      </c>
      <c r="C341" s="190" t="str">
        <f t="shared" si="29"/>
        <v xml:space="preserve"> </v>
      </c>
      <c r="D341" s="190" t="str">
        <f t="shared" si="30"/>
        <v xml:space="preserve"> </v>
      </c>
      <c r="E341" s="190" t="str">
        <f t="shared" si="31"/>
        <v xml:space="preserve"> </v>
      </c>
      <c r="F341" s="190" t="str">
        <f t="shared" si="32"/>
        <v xml:space="preserve"> </v>
      </c>
    </row>
    <row r="342" spans="2:6" x14ac:dyDescent="0.35">
      <c r="B342" s="189" t="str">
        <f t="shared" si="33"/>
        <v xml:space="preserve"> </v>
      </c>
      <c r="C342" s="190" t="str">
        <f t="shared" si="29"/>
        <v xml:space="preserve"> </v>
      </c>
      <c r="D342" s="190" t="str">
        <f t="shared" si="30"/>
        <v xml:space="preserve"> </v>
      </c>
      <c r="E342" s="190" t="str">
        <f t="shared" si="31"/>
        <v xml:space="preserve"> </v>
      </c>
      <c r="F342" s="190" t="str">
        <f t="shared" si="32"/>
        <v xml:space="preserve"> </v>
      </c>
    </row>
    <row r="343" spans="2:6" x14ac:dyDescent="0.35">
      <c r="B343" s="189" t="str">
        <f t="shared" si="33"/>
        <v xml:space="preserve"> </v>
      </c>
      <c r="C343" s="190" t="str">
        <f t="shared" si="29"/>
        <v xml:space="preserve"> </v>
      </c>
      <c r="D343" s="190" t="str">
        <f t="shared" si="30"/>
        <v xml:space="preserve"> </v>
      </c>
      <c r="E343" s="190" t="str">
        <f t="shared" si="31"/>
        <v xml:space="preserve"> </v>
      </c>
      <c r="F343" s="190" t="str">
        <f t="shared" si="32"/>
        <v xml:space="preserve"> </v>
      </c>
    </row>
    <row r="344" spans="2:6" x14ac:dyDescent="0.35">
      <c r="B344" s="189" t="str">
        <f t="shared" si="33"/>
        <v xml:space="preserve"> </v>
      </c>
      <c r="C344" s="190" t="str">
        <f t="shared" si="29"/>
        <v xml:space="preserve"> </v>
      </c>
      <c r="D344" s="190" t="str">
        <f t="shared" si="30"/>
        <v xml:space="preserve"> </v>
      </c>
      <c r="E344" s="190" t="str">
        <f t="shared" si="31"/>
        <v xml:space="preserve"> </v>
      </c>
      <c r="F344" s="190" t="str">
        <f t="shared" si="32"/>
        <v xml:space="preserve"> </v>
      </c>
    </row>
    <row r="345" spans="2:6" x14ac:dyDescent="0.35">
      <c r="B345" s="189" t="str">
        <f t="shared" si="33"/>
        <v xml:space="preserve"> </v>
      </c>
      <c r="C345" s="190" t="str">
        <f t="shared" si="29"/>
        <v xml:space="preserve"> </v>
      </c>
      <c r="D345" s="190" t="str">
        <f t="shared" si="30"/>
        <v xml:space="preserve"> </v>
      </c>
      <c r="E345" s="190" t="str">
        <f t="shared" si="31"/>
        <v xml:space="preserve"> </v>
      </c>
      <c r="F345" s="190" t="str">
        <f t="shared" si="32"/>
        <v xml:space="preserve"> </v>
      </c>
    </row>
    <row r="346" spans="2:6" x14ac:dyDescent="0.35">
      <c r="B346" s="189" t="str">
        <f t="shared" si="33"/>
        <v xml:space="preserve"> </v>
      </c>
      <c r="C346" s="190" t="str">
        <f t="shared" si="29"/>
        <v xml:space="preserve"> </v>
      </c>
      <c r="D346" s="190" t="str">
        <f t="shared" si="30"/>
        <v xml:space="preserve"> </v>
      </c>
      <c r="E346" s="190" t="str">
        <f t="shared" si="31"/>
        <v xml:space="preserve"> </v>
      </c>
      <c r="F346" s="190" t="str">
        <f t="shared" si="32"/>
        <v xml:space="preserve"> </v>
      </c>
    </row>
    <row r="347" spans="2:6" x14ac:dyDescent="0.35">
      <c r="B347" s="189" t="str">
        <f t="shared" si="33"/>
        <v xml:space="preserve"> </v>
      </c>
      <c r="C347" s="190" t="str">
        <f t="shared" si="29"/>
        <v xml:space="preserve"> </v>
      </c>
      <c r="D347" s="190" t="str">
        <f t="shared" si="30"/>
        <v xml:space="preserve"> </v>
      </c>
      <c r="E347" s="190" t="str">
        <f t="shared" si="31"/>
        <v xml:space="preserve"> </v>
      </c>
      <c r="F347" s="190" t="str">
        <f t="shared" si="32"/>
        <v xml:space="preserve"> </v>
      </c>
    </row>
    <row r="348" spans="2:6" x14ac:dyDescent="0.35">
      <c r="B348" s="189" t="str">
        <f t="shared" si="33"/>
        <v xml:space="preserve"> </v>
      </c>
      <c r="C348" s="190" t="str">
        <f t="shared" si="29"/>
        <v xml:space="preserve"> </v>
      </c>
      <c r="D348" s="190" t="str">
        <f t="shared" si="30"/>
        <v xml:space="preserve"> </v>
      </c>
      <c r="E348" s="190" t="str">
        <f t="shared" si="31"/>
        <v xml:space="preserve"> </v>
      </c>
      <c r="F348" s="190" t="str">
        <f t="shared" si="32"/>
        <v xml:space="preserve"> </v>
      </c>
    </row>
    <row r="349" spans="2:6" x14ac:dyDescent="0.35">
      <c r="B349" s="189" t="str">
        <f t="shared" si="33"/>
        <v xml:space="preserve"> </v>
      </c>
      <c r="C349" s="190" t="str">
        <f t="shared" si="29"/>
        <v xml:space="preserve"> </v>
      </c>
      <c r="D349" s="190" t="str">
        <f t="shared" si="30"/>
        <v xml:space="preserve"> </v>
      </c>
      <c r="E349" s="190" t="str">
        <f t="shared" si="31"/>
        <v xml:space="preserve"> </v>
      </c>
      <c r="F349" s="190" t="str">
        <f t="shared" si="32"/>
        <v xml:space="preserve"> </v>
      </c>
    </row>
    <row r="350" spans="2:6" x14ac:dyDescent="0.35">
      <c r="B350" s="189" t="str">
        <f t="shared" si="33"/>
        <v xml:space="preserve"> </v>
      </c>
      <c r="C350" s="190" t="str">
        <f t="shared" si="29"/>
        <v xml:space="preserve"> </v>
      </c>
      <c r="D350" s="190" t="str">
        <f t="shared" si="30"/>
        <v xml:space="preserve"> </v>
      </c>
      <c r="E350" s="190" t="str">
        <f t="shared" si="31"/>
        <v xml:space="preserve"> </v>
      </c>
      <c r="F350" s="190" t="str">
        <f t="shared" si="32"/>
        <v xml:space="preserve"> </v>
      </c>
    </row>
    <row r="351" spans="2:6" x14ac:dyDescent="0.35">
      <c r="B351" s="189" t="str">
        <f t="shared" si="33"/>
        <v xml:space="preserve"> </v>
      </c>
      <c r="C351" s="190" t="str">
        <f t="shared" si="29"/>
        <v xml:space="preserve"> </v>
      </c>
      <c r="D351" s="190" t="str">
        <f t="shared" si="30"/>
        <v xml:space="preserve"> </v>
      </c>
      <c r="E351" s="190" t="str">
        <f t="shared" si="31"/>
        <v xml:space="preserve"> </v>
      </c>
      <c r="F351" s="190" t="str">
        <f t="shared" si="32"/>
        <v xml:space="preserve"> </v>
      </c>
    </row>
    <row r="352" spans="2:6" x14ac:dyDescent="0.35">
      <c r="B352" s="189" t="str">
        <f t="shared" si="33"/>
        <v xml:space="preserve"> </v>
      </c>
      <c r="C352" s="190" t="str">
        <f t="shared" si="29"/>
        <v xml:space="preserve"> </v>
      </c>
      <c r="D352" s="190" t="str">
        <f t="shared" si="30"/>
        <v xml:space="preserve"> </v>
      </c>
      <c r="E352" s="190" t="str">
        <f t="shared" si="31"/>
        <v xml:space="preserve"> </v>
      </c>
      <c r="F352" s="190" t="str">
        <f t="shared" si="32"/>
        <v xml:space="preserve"> </v>
      </c>
    </row>
    <row r="353" spans="2:6" x14ac:dyDescent="0.35">
      <c r="B353" s="189" t="str">
        <f t="shared" si="33"/>
        <v xml:space="preserve"> </v>
      </c>
      <c r="C353" s="190" t="str">
        <f t="shared" si="29"/>
        <v xml:space="preserve"> </v>
      </c>
      <c r="D353" s="190" t="str">
        <f t="shared" si="30"/>
        <v xml:space="preserve"> </v>
      </c>
      <c r="E353" s="190" t="str">
        <f t="shared" si="31"/>
        <v xml:space="preserve"> </v>
      </c>
      <c r="F353" s="190" t="str">
        <f t="shared" si="32"/>
        <v xml:space="preserve"> </v>
      </c>
    </row>
    <row r="354" spans="2:6" x14ac:dyDescent="0.35">
      <c r="B354" s="189" t="str">
        <f t="shared" si="33"/>
        <v xml:space="preserve"> </v>
      </c>
      <c r="C354" s="190" t="str">
        <f t="shared" si="29"/>
        <v xml:space="preserve"> </v>
      </c>
      <c r="D354" s="190" t="str">
        <f t="shared" si="30"/>
        <v xml:space="preserve"> </v>
      </c>
      <c r="E354" s="190" t="str">
        <f t="shared" si="31"/>
        <v xml:space="preserve"> </v>
      </c>
      <c r="F354" s="190" t="str">
        <f t="shared" si="32"/>
        <v xml:space="preserve"> </v>
      </c>
    </row>
    <row r="355" spans="2:6" x14ac:dyDescent="0.35">
      <c r="B355" s="189" t="str">
        <f t="shared" si="33"/>
        <v xml:space="preserve"> </v>
      </c>
      <c r="C355" s="190" t="str">
        <f t="shared" si="29"/>
        <v xml:space="preserve"> </v>
      </c>
      <c r="D355" s="190" t="str">
        <f t="shared" si="30"/>
        <v xml:space="preserve"> </v>
      </c>
      <c r="E355" s="190" t="str">
        <f t="shared" si="31"/>
        <v xml:space="preserve"> </v>
      </c>
      <c r="F355" s="190" t="str">
        <f t="shared" si="32"/>
        <v xml:space="preserve"> </v>
      </c>
    </row>
    <row r="356" spans="2:6" x14ac:dyDescent="0.35">
      <c r="B356" s="189" t="str">
        <f t="shared" si="33"/>
        <v xml:space="preserve"> </v>
      </c>
      <c r="C356" s="190" t="str">
        <f t="shared" si="29"/>
        <v xml:space="preserve"> </v>
      </c>
      <c r="D356" s="190" t="str">
        <f t="shared" si="30"/>
        <v xml:space="preserve"> </v>
      </c>
      <c r="E356" s="190" t="str">
        <f t="shared" si="31"/>
        <v xml:space="preserve"> </v>
      </c>
      <c r="F356" s="190" t="str">
        <f t="shared" si="32"/>
        <v xml:space="preserve"> </v>
      </c>
    </row>
    <row r="357" spans="2:6" x14ac:dyDescent="0.35">
      <c r="B357" s="189" t="str">
        <f t="shared" si="33"/>
        <v xml:space="preserve"> </v>
      </c>
      <c r="C357" s="190" t="str">
        <f t="shared" si="29"/>
        <v xml:space="preserve"> </v>
      </c>
      <c r="D357" s="190" t="str">
        <f t="shared" si="30"/>
        <v xml:space="preserve"> </v>
      </c>
      <c r="E357" s="190" t="str">
        <f t="shared" si="31"/>
        <v xml:space="preserve"> </v>
      </c>
      <c r="F357" s="190" t="str">
        <f t="shared" si="32"/>
        <v xml:space="preserve"> </v>
      </c>
    </row>
    <row r="358" spans="2:6" x14ac:dyDescent="0.35">
      <c r="B358" s="189" t="str">
        <f t="shared" si="33"/>
        <v xml:space="preserve"> </v>
      </c>
      <c r="C358" s="190" t="str">
        <f t="shared" si="29"/>
        <v xml:space="preserve"> </v>
      </c>
      <c r="D358" s="190" t="str">
        <f t="shared" si="30"/>
        <v xml:space="preserve"> </v>
      </c>
      <c r="E358" s="190" t="str">
        <f t="shared" si="31"/>
        <v xml:space="preserve"> </v>
      </c>
      <c r="F358" s="190" t="str">
        <f t="shared" si="32"/>
        <v xml:space="preserve"> </v>
      </c>
    </row>
    <row r="359" spans="2:6" x14ac:dyDescent="0.35">
      <c r="B359" s="189" t="str">
        <f t="shared" si="33"/>
        <v xml:space="preserve"> </v>
      </c>
      <c r="C359" s="190" t="str">
        <f t="shared" si="29"/>
        <v xml:space="preserve"> </v>
      </c>
      <c r="D359" s="190" t="str">
        <f t="shared" si="30"/>
        <v xml:space="preserve"> </v>
      </c>
      <c r="E359" s="190" t="str">
        <f t="shared" si="31"/>
        <v xml:space="preserve"> </v>
      </c>
      <c r="F359" s="190" t="str">
        <f t="shared" si="32"/>
        <v xml:space="preserve"> </v>
      </c>
    </row>
    <row r="360" spans="2:6" x14ac:dyDescent="0.35">
      <c r="B360" s="189" t="str">
        <f t="shared" si="33"/>
        <v xml:space="preserve"> </v>
      </c>
      <c r="C360" s="190" t="str">
        <f t="shared" si="29"/>
        <v xml:space="preserve"> </v>
      </c>
      <c r="D360" s="190" t="str">
        <f t="shared" si="30"/>
        <v xml:space="preserve"> </v>
      </c>
      <c r="E360" s="190" t="str">
        <f t="shared" si="31"/>
        <v xml:space="preserve"> </v>
      </c>
      <c r="F360" s="190" t="str">
        <f t="shared" si="32"/>
        <v xml:space="preserve"> </v>
      </c>
    </row>
    <row r="361" spans="2:6" x14ac:dyDescent="0.35">
      <c r="B361" s="189" t="str">
        <f t="shared" si="33"/>
        <v xml:space="preserve"> </v>
      </c>
      <c r="C361" s="190" t="str">
        <f t="shared" si="29"/>
        <v xml:space="preserve"> </v>
      </c>
      <c r="D361" s="190" t="str">
        <f t="shared" si="30"/>
        <v xml:space="preserve"> </v>
      </c>
      <c r="E361" s="190" t="str">
        <f t="shared" si="31"/>
        <v xml:space="preserve"> </v>
      </c>
      <c r="F361" s="190" t="str">
        <f t="shared" si="32"/>
        <v xml:space="preserve"> </v>
      </c>
    </row>
    <row r="362" spans="2:6" x14ac:dyDescent="0.35">
      <c r="B362" s="189" t="str">
        <f t="shared" si="33"/>
        <v xml:space="preserve"> </v>
      </c>
      <c r="C362" s="190" t="str">
        <f t="shared" si="29"/>
        <v xml:space="preserve"> </v>
      </c>
      <c r="D362" s="190" t="str">
        <f t="shared" si="30"/>
        <v xml:space="preserve"> </v>
      </c>
      <c r="E362" s="190" t="str">
        <f t="shared" si="31"/>
        <v xml:space="preserve"> </v>
      </c>
      <c r="F362" s="190" t="str">
        <f t="shared" si="32"/>
        <v xml:space="preserve"> </v>
      </c>
    </row>
    <row r="363" spans="2:6" x14ac:dyDescent="0.35">
      <c r="B363" s="189" t="str">
        <f t="shared" si="33"/>
        <v xml:space="preserve"> </v>
      </c>
      <c r="C363" s="190" t="str">
        <f t="shared" si="29"/>
        <v xml:space="preserve"> </v>
      </c>
      <c r="D363" s="190" t="str">
        <f t="shared" si="30"/>
        <v xml:space="preserve"> </v>
      </c>
      <c r="E363" s="190" t="str">
        <f t="shared" si="31"/>
        <v xml:space="preserve"> </v>
      </c>
      <c r="F363" s="190" t="str">
        <f t="shared" si="32"/>
        <v xml:space="preserve"> </v>
      </c>
    </row>
    <row r="364" spans="2:6" x14ac:dyDescent="0.35">
      <c r="B364" s="189" t="str">
        <f t="shared" si="33"/>
        <v xml:space="preserve"> </v>
      </c>
      <c r="C364" s="190" t="str">
        <f t="shared" si="29"/>
        <v xml:space="preserve"> </v>
      </c>
      <c r="D364" s="190" t="str">
        <f t="shared" si="30"/>
        <v xml:space="preserve"> </v>
      </c>
      <c r="E364" s="190" t="str">
        <f t="shared" si="31"/>
        <v xml:space="preserve"> </v>
      </c>
      <c r="F364" s="190" t="str">
        <f t="shared" si="32"/>
        <v xml:space="preserve"> </v>
      </c>
    </row>
    <row r="365" spans="2:6" x14ac:dyDescent="0.35">
      <c r="B365" s="189" t="str">
        <f t="shared" si="33"/>
        <v xml:space="preserve"> </v>
      </c>
      <c r="C365" s="190" t="str">
        <f t="shared" si="29"/>
        <v xml:space="preserve"> </v>
      </c>
      <c r="D365" s="190" t="str">
        <f t="shared" si="30"/>
        <v xml:space="preserve"> </v>
      </c>
      <c r="E365" s="190" t="str">
        <f t="shared" si="31"/>
        <v xml:space="preserve"> </v>
      </c>
      <c r="F365" s="190" t="str">
        <f t="shared" si="32"/>
        <v xml:space="preserve"> </v>
      </c>
    </row>
    <row r="366" spans="2:6" x14ac:dyDescent="0.35">
      <c r="B366" s="189" t="str">
        <f t="shared" si="33"/>
        <v xml:space="preserve"> </v>
      </c>
      <c r="C366" s="190" t="str">
        <f t="shared" si="29"/>
        <v xml:space="preserve"> </v>
      </c>
      <c r="D366" s="190" t="str">
        <f t="shared" si="30"/>
        <v xml:space="preserve"> </v>
      </c>
      <c r="E366" s="190" t="str">
        <f t="shared" si="31"/>
        <v xml:space="preserve"> </v>
      </c>
      <c r="F366" s="190" t="str">
        <f t="shared" si="32"/>
        <v xml:space="preserve"> </v>
      </c>
    </row>
    <row r="367" spans="2:6" x14ac:dyDescent="0.35">
      <c r="B367" s="189" t="str">
        <f t="shared" si="33"/>
        <v xml:space="preserve"> </v>
      </c>
      <c r="C367" s="190" t="str">
        <f t="shared" si="29"/>
        <v xml:space="preserve"> </v>
      </c>
      <c r="D367" s="190" t="str">
        <f t="shared" si="30"/>
        <v xml:space="preserve"> </v>
      </c>
      <c r="E367" s="190" t="str">
        <f t="shared" si="31"/>
        <v xml:space="preserve"> </v>
      </c>
      <c r="F367" s="190" t="str">
        <f t="shared" si="32"/>
        <v xml:space="preserve"> </v>
      </c>
    </row>
    <row r="368" spans="2:6" x14ac:dyDescent="0.35">
      <c r="B368" s="189" t="str">
        <f t="shared" si="33"/>
        <v xml:space="preserve"> </v>
      </c>
      <c r="C368" s="190" t="str">
        <f t="shared" si="29"/>
        <v xml:space="preserve"> </v>
      </c>
      <c r="D368" s="190" t="str">
        <f t="shared" si="30"/>
        <v xml:space="preserve"> </v>
      </c>
      <c r="E368" s="190" t="str">
        <f t="shared" si="31"/>
        <v xml:space="preserve"> </v>
      </c>
      <c r="F368" s="190" t="str">
        <f t="shared" si="32"/>
        <v xml:space="preserve"> </v>
      </c>
    </row>
    <row r="369" spans="2:22" x14ac:dyDescent="0.35">
      <c r="B369" s="189" t="str">
        <f t="shared" si="33"/>
        <v xml:space="preserve"> </v>
      </c>
      <c r="C369" s="190" t="str">
        <f t="shared" si="29"/>
        <v xml:space="preserve"> </v>
      </c>
      <c r="D369" s="190" t="str">
        <f t="shared" si="30"/>
        <v xml:space="preserve"> </v>
      </c>
      <c r="E369" s="190" t="str">
        <f t="shared" si="31"/>
        <v xml:space="preserve"> </v>
      </c>
      <c r="F369" s="190" t="str">
        <f t="shared" si="32"/>
        <v xml:space="preserve"> </v>
      </c>
    </row>
    <row r="370" spans="2:22" x14ac:dyDescent="0.35">
      <c r="B370" s="189" t="str">
        <f t="shared" si="33"/>
        <v xml:space="preserve"> </v>
      </c>
      <c r="C370" s="190" t="str">
        <f t="shared" si="29"/>
        <v xml:space="preserve"> </v>
      </c>
      <c r="D370" s="190" t="str">
        <f t="shared" si="30"/>
        <v xml:space="preserve"> </v>
      </c>
      <c r="E370" s="190" t="str">
        <f t="shared" si="31"/>
        <v xml:space="preserve"> </v>
      </c>
      <c r="F370" s="190" t="str">
        <f t="shared" si="32"/>
        <v xml:space="preserve"> </v>
      </c>
    </row>
    <row r="371" spans="2:22" x14ac:dyDescent="0.35">
      <c r="B371" s="189" t="str">
        <f t="shared" si="33"/>
        <v xml:space="preserve"> </v>
      </c>
      <c r="C371" s="190" t="str">
        <f t="shared" si="29"/>
        <v xml:space="preserve"> </v>
      </c>
      <c r="D371" s="190" t="str">
        <f t="shared" si="30"/>
        <v xml:space="preserve"> </v>
      </c>
      <c r="E371" s="190" t="str">
        <f t="shared" si="31"/>
        <v xml:space="preserve"> </v>
      </c>
      <c r="F371" s="190" t="str">
        <f t="shared" si="32"/>
        <v xml:space="preserve"> </v>
      </c>
    </row>
    <row r="372" spans="2:22" x14ac:dyDescent="0.35">
      <c r="C372" s="191"/>
      <c r="D372" s="191"/>
      <c r="E372" s="191"/>
      <c r="F372" s="191"/>
    </row>
    <row r="373" spans="2:22" x14ac:dyDescent="0.35">
      <c r="C373" s="191"/>
      <c r="D373" s="191"/>
      <c r="E373" s="191"/>
      <c r="F373" s="191"/>
    </row>
    <row r="374" spans="2:22" x14ac:dyDescent="0.35">
      <c r="C374" s="191"/>
      <c r="D374" s="191"/>
      <c r="E374" s="191"/>
      <c r="F374" s="191"/>
    </row>
    <row r="375" spans="2:22" x14ac:dyDescent="0.35">
      <c r="C375" s="191"/>
      <c r="D375" s="191"/>
      <c r="E375" s="191"/>
      <c r="F375" s="191"/>
    </row>
    <row r="376" spans="2:22" x14ac:dyDescent="0.35">
      <c r="C376" s="191"/>
      <c r="D376" s="191"/>
      <c r="E376" s="191"/>
      <c r="F376" s="191"/>
    </row>
    <row r="377" spans="2:22" x14ac:dyDescent="0.35">
      <c r="C377" s="191"/>
      <c r="D377" s="191"/>
      <c r="E377" s="191"/>
      <c r="F377" s="191"/>
    </row>
    <row r="378" spans="2:22" x14ac:dyDescent="0.35">
      <c r="C378" s="191"/>
      <c r="D378" s="191"/>
      <c r="E378" s="191"/>
      <c r="F378" s="191"/>
      <c r="V378">
        <f>30*12</f>
        <v>360</v>
      </c>
    </row>
    <row r="379" spans="2:22" x14ac:dyDescent="0.35">
      <c r="C379" s="191"/>
      <c r="D379" s="191"/>
      <c r="E379" s="191"/>
      <c r="F379" s="191"/>
    </row>
    <row r="380" spans="2:22" x14ac:dyDescent="0.35">
      <c r="C380" s="191"/>
      <c r="D380" s="191"/>
      <c r="E380" s="191"/>
      <c r="F380" s="191"/>
    </row>
    <row r="381" spans="2:22" x14ac:dyDescent="0.35">
      <c r="C381" s="191"/>
      <c r="D381" s="191"/>
      <c r="E381" s="191"/>
      <c r="F381" s="191"/>
    </row>
    <row r="405" spans="3:6" x14ac:dyDescent="0.35">
      <c r="C405" s="192"/>
      <c r="D405" s="192"/>
      <c r="E405" s="192"/>
      <c r="F405" s="192"/>
    </row>
    <row r="406" spans="3:6" x14ac:dyDescent="0.35">
      <c r="C406" s="192"/>
      <c r="D406" s="192"/>
      <c r="E406" s="192"/>
      <c r="F406" s="192"/>
    </row>
    <row r="407" spans="3:6" x14ac:dyDescent="0.35">
      <c r="C407" s="192"/>
      <c r="D407" s="192"/>
      <c r="E407" s="192"/>
      <c r="F407" s="192"/>
    </row>
    <row r="408" spans="3:6" x14ac:dyDescent="0.35">
      <c r="C408" s="192"/>
      <c r="D408" s="192"/>
      <c r="E408" s="192"/>
      <c r="F408" s="192"/>
    </row>
    <row r="409" spans="3:6" x14ac:dyDescent="0.35">
      <c r="C409" s="192"/>
      <c r="D409" s="192"/>
      <c r="E409" s="192"/>
      <c r="F409" s="192"/>
    </row>
    <row r="410" spans="3:6" x14ac:dyDescent="0.35">
      <c r="C410" s="192"/>
      <c r="D410" s="192"/>
      <c r="E410" s="192"/>
      <c r="F410" s="192"/>
    </row>
    <row r="411" spans="3:6" x14ac:dyDescent="0.35">
      <c r="C411" s="192"/>
      <c r="D411" s="192"/>
      <c r="E411" s="192"/>
      <c r="F411" s="192"/>
    </row>
    <row r="412" spans="3:6" x14ac:dyDescent="0.35">
      <c r="C412" s="192"/>
      <c r="D412" s="192"/>
      <c r="E412" s="192"/>
      <c r="F412" s="192"/>
    </row>
    <row r="413" spans="3:6" x14ac:dyDescent="0.35">
      <c r="C413" s="192"/>
      <c r="D413" s="192"/>
      <c r="E413" s="192"/>
      <c r="F413" s="192"/>
    </row>
    <row r="414" spans="3:6" x14ac:dyDescent="0.35">
      <c r="C414" s="192"/>
      <c r="D414" s="192"/>
      <c r="E414" s="192"/>
      <c r="F414" s="192"/>
    </row>
    <row r="415" spans="3:6" x14ac:dyDescent="0.35">
      <c r="C415" s="192"/>
      <c r="D415" s="192"/>
      <c r="E415" s="192"/>
      <c r="F415" s="192"/>
    </row>
    <row r="416" spans="3:6" x14ac:dyDescent="0.35">
      <c r="C416" s="192"/>
      <c r="D416" s="192"/>
      <c r="E416" s="192"/>
      <c r="F416" s="192"/>
    </row>
    <row r="417" spans="3:6" x14ac:dyDescent="0.35">
      <c r="C417" s="192"/>
      <c r="D417" s="192"/>
      <c r="E417" s="192"/>
      <c r="F417" s="192"/>
    </row>
    <row r="418" spans="3:6" x14ac:dyDescent="0.35">
      <c r="C418" s="192"/>
      <c r="D418" s="192"/>
      <c r="E418" s="192"/>
      <c r="F418" s="192"/>
    </row>
    <row r="419" spans="3:6" x14ac:dyDescent="0.35">
      <c r="C419" s="192"/>
      <c r="D419" s="192"/>
      <c r="E419" s="192"/>
      <c r="F419" s="192"/>
    </row>
    <row r="420" spans="3:6" x14ac:dyDescent="0.35">
      <c r="C420" s="192"/>
      <c r="D420" s="192"/>
      <c r="E420" s="192"/>
      <c r="F420" s="192"/>
    </row>
    <row r="421" spans="3:6" x14ac:dyDescent="0.35">
      <c r="C421" s="192"/>
      <c r="D421" s="192"/>
      <c r="E421" s="192"/>
      <c r="F421" s="192"/>
    </row>
    <row r="422" spans="3:6" x14ac:dyDescent="0.35">
      <c r="C422" s="192"/>
      <c r="D422" s="192"/>
      <c r="E422" s="192"/>
      <c r="F422" s="192"/>
    </row>
    <row r="423" spans="3:6" x14ac:dyDescent="0.35">
      <c r="C423" s="192"/>
      <c r="D423" s="192"/>
      <c r="E423" s="192"/>
      <c r="F423" s="192"/>
    </row>
    <row r="424" spans="3:6" x14ac:dyDescent="0.35">
      <c r="C424" s="192"/>
      <c r="D424" s="192"/>
      <c r="E424" s="192"/>
      <c r="F424" s="192"/>
    </row>
    <row r="425" spans="3:6" x14ac:dyDescent="0.35">
      <c r="C425" s="192"/>
      <c r="D425" s="192"/>
      <c r="E425" s="192"/>
      <c r="F425" s="192"/>
    </row>
    <row r="426" spans="3:6" x14ac:dyDescent="0.35">
      <c r="C426" s="192"/>
      <c r="D426" s="192"/>
      <c r="E426" s="192"/>
      <c r="F426" s="192"/>
    </row>
    <row r="427" spans="3:6" x14ac:dyDescent="0.35">
      <c r="C427" s="192"/>
      <c r="D427" s="192"/>
      <c r="E427" s="192"/>
      <c r="F427" s="192"/>
    </row>
    <row r="428" spans="3:6" x14ac:dyDescent="0.35">
      <c r="C428" s="192"/>
      <c r="D428" s="192"/>
      <c r="E428" s="192"/>
      <c r="F428" s="192"/>
    </row>
    <row r="429" spans="3:6" x14ac:dyDescent="0.35">
      <c r="C429" s="192"/>
      <c r="D429" s="192"/>
      <c r="E429" s="192"/>
      <c r="F429" s="192"/>
    </row>
    <row r="430" spans="3:6" x14ac:dyDescent="0.35">
      <c r="C430" s="192"/>
      <c r="D430" s="192"/>
      <c r="E430" s="192"/>
      <c r="F430" s="192"/>
    </row>
    <row r="431" spans="3:6" x14ac:dyDescent="0.35">
      <c r="C431" s="192"/>
      <c r="D431" s="192"/>
      <c r="E431" s="192"/>
      <c r="F431" s="192"/>
    </row>
    <row r="432" spans="3:6" x14ac:dyDescent="0.35">
      <c r="C432" s="192"/>
      <c r="D432" s="192"/>
      <c r="E432" s="192"/>
      <c r="F432" s="192"/>
    </row>
    <row r="433" spans="3:6" x14ac:dyDescent="0.35">
      <c r="C433" s="192"/>
      <c r="D433" s="192"/>
      <c r="E433" s="192"/>
      <c r="F433" s="192"/>
    </row>
    <row r="434" spans="3:6" x14ac:dyDescent="0.35">
      <c r="C434" s="192"/>
      <c r="D434" s="192"/>
      <c r="E434" s="192"/>
      <c r="F434" s="192"/>
    </row>
    <row r="435" spans="3:6" x14ac:dyDescent="0.35">
      <c r="C435" s="192"/>
      <c r="D435" s="192"/>
      <c r="E435" s="192"/>
      <c r="F435" s="192"/>
    </row>
    <row r="436" spans="3:6" x14ac:dyDescent="0.35">
      <c r="C436" s="192"/>
      <c r="D436" s="192"/>
      <c r="E436" s="192"/>
      <c r="F436" s="192"/>
    </row>
    <row r="437" spans="3:6" x14ac:dyDescent="0.35">
      <c r="C437" s="192"/>
      <c r="D437" s="192"/>
      <c r="E437" s="192"/>
      <c r="F437" s="192"/>
    </row>
    <row r="438" spans="3:6" x14ac:dyDescent="0.35">
      <c r="C438" s="192"/>
      <c r="D438" s="192"/>
      <c r="E438" s="192"/>
      <c r="F438" s="192"/>
    </row>
    <row r="439" spans="3:6" x14ac:dyDescent="0.35">
      <c r="C439" s="192"/>
      <c r="D439" s="192"/>
      <c r="E439" s="192"/>
      <c r="F439" s="192"/>
    </row>
    <row r="440" spans="3:6" x14ac:dyDescent="0.35">
      <c r="C440" s="192"/>
      <c r="D440" s="192"/>
      <c r="E440" s="192"/>
      <c r="F440" s="192"/>
    </row>
    <row r="441" spans="3:6" x14ac:dyDescent="0.35">
      <c r="C441" s="192"/>
      <c r="D441" s="192"/>
      <c r="E441" s="192"/>
      <c r="F441" s="192"/>
    </row>
    <row r="442" spans="3:6" x14ac:dyDescent="0.35">
      <c r="C442" s="192"/>
      <c r="D442" s="192"/>
      <c r="E442" s="192"/>
      <c r="F442" s="192"/>
    </row>
  </sheetData>
  <mergeCells count="1">
    <mergeCell ref="B2:F3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>
                <anchor moveWithCells="1">
                  <from>
                    <xdr:col>2</xdr:col>
                    <xdr:colOff>12700</xdr:colOff>
                    <xdr:row>4</xdr:row>
                    <xdr:rowOff>12700</xdr:rowOff>
                  </from>
                  <to>
                    <xdr:col>2</xdr:col>
                    <xdr:colOff>1200150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Drop Down 2">
              <controlPr defaultSize="0" autoLine="0" autoPict="0">
                <anchor moveWithCells="1">
                  <from>
                    <xdr:col>2</xdr:col>
                    <xdr:colOff>12700</xdr:colOff>
                    <xdr:row>5</xdr:row>
                    <xdr:rowOff>25400</xdr:rowOff>
                  </from>
                  <to>
                    <xdr:col>2</xdr:col>
                    <xdr:colOff>1200150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2</xdr:col>
                    <xdr:colOff>12700</xdr:colOff>
                    <xdr:row>6</xdr:row>
                    <xdr:rowOff>12700</xdr:rowOff>
                  </from>
                  <to>
                    <xdr:col>2</xdr:col>
                    <xdr:colOff>1200150</xdr:colOff>
                    <xdr:row>6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579FA-66E8-487E-A9DB-C22EB8AD0574}">
  <sheetPr codeName="Hoja16">
    <tabColor theme="8" tint="0.79998168889431442"/>
  </sheetPr>
  <dimension ref="B1:AO442"/>
  <sheetViews>
    <sheetView showGridLines="0" topLeftCell="A6" zoomScale="75" zoomScaleNormal="100" workbookViewId="0">
      <selection activeCell="I13" sqref="I13"/>
    </sheetView>
  </sheetViews>
  <sheetFormatPr baseColWidth="10" defaultRowHeight="15.5" x14ac:dyDescent="0.35"/>
  <cols>
    <col min="1" max="1" width="2.6328125" customWidth="1"/>
    <col min="2" max="2" width="19.1796875" style="6" customWidth="1"/>
    <col min="3" max="3" width="17.453125" style="6" customWidth="1"/>
    <col min="4" max="4" width="15.6328125" style="6" customWidth="1"/>
    <col min="5" max="5" width="19.90625" style="6" customWidth="1"/>
    <col min="6" max="6" width="15.6328125" style="6" customWidth="1"/>
    <col min="7" max="7" width="7.36328125" bestFit="1" customWidth="1"/>
    <col min="8" max="8" width="7.453125" customWidth="1"/>
    <col min="9" max="21" width="16.6328125" customWidth="1"/>
    <col min="37" max="37" width="10.90625" customWidth="1"/>
    <col min="38" max="38" width="24" customWidth="1"/>
  </cols>
  <sheetData>
    <row r="1" spans="2:41" ht="16" thickBot="1" x14ac:dyDescent="0.4"/>
    <row r="2" spans="2:41" ht="25" customHeight="1" x14ac:dyDescent="0.35">
      <c r="B2" s="984" t="s">
        <v>242</v>
      </c>
      <c r="C2" s="985"/>
      <c r="D2" s="985"/>
      <c r="E2" s="985"/>
      <c r="F2" s="986"/>
    </row>
    <row r="3" spans="2:41" ht="14.5" customHeight="1" thickBot="1" x14ac:dyDescent="0.4">
      <c r="B3" s="987"/>
      <c r="C3" s="988"/>
      <c r="D3" s="988"/>
      <c r="E3" s="988"/>
      <c r="F3" s="989"/>
      <c r="G3" s="59"/>
      <c r="H3" s="59"/>
      <c r="I3" s="59"/>
      <c r="J3" s="59"/>
      <c r="K3" s="59"/>
      <c r="L3" s="59"/>
    </row>
    <row r="4" spans="2:41" ht="14.5" customHeight="1" x14ac:dyDescent="0.35">
      <c r="G4" s="59"/>
      <c r="H4" s="59"/>
      <c r="I4" s="59"/>
      <c r="J4" s="59"/>
      <c r="K4" s="59"/>
      <c r="L4" s="59"/>
    </row>
    <row r="5" spans="2:41" ht="29.5" customHeight="1" x14ac:dyDescent="0.35">
      <c r="B5" s="184" t="s">
        <v>89</v>
      </c>
      <c r="C5" s="185"/>
      <c r="E5" s="186" t="s">
        <v>302</v>
      </c>
      <c r="F5" s="602">
        <f>EF!G37</f>
        <v>0</v>
      </c>
      <c r="G5" s="230"/>
      <c r="H5" s="230"/>
    </row>
    <row r="6" spans="2:41" ht="29.5" customHeight="1" x14ac:dyDescent="0.35">
      <c r="B6" s="186" t="s">
        <v>90</v>
      </c>
      <c r="C6" s="185"/>
      <c r="E6" s="186" t="s">
        <v>91</v>
      </c>
      <c r="F6" s="603">
        <f>DP!C15</f>
        <v>0.11</v>
      </c>
      <c r="G6" s="604">
        <f>IF(AK18=AK19,AM19,IF(AK18=AK20,AM20,IF(AK18=AK21,AM21,IF(AK18=AK22,AM22,"ERROR"))))</f>
        <v>0.11</v>
      </c>
      <c r="H6" s="604" t="str">
        <f>IF(AK18=AK19,AL19,IF(AK18=AK20,AL20,IF(AK18=AK21,AL21,IF(AK18=AK22,AL22,"ERROR"))))</f>
        <v>ANUAL</v>
      </c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</row>
    <row r="7" spans="2:41" ht="27.5" customHeight="1" x14ac:dyDescent="0.35">
      <c r="B7" s="186" t="s">
        <v>92</v>
      </c>
      <c r="C7" s="185"/>
      <c r="E7" s="186" t="s">
        <v>93</v>
      </c>
      <c r="F7" s="859">
        <v>10</v>
      </c>
      <c r="G7" s="230"/>
      <c r="H7" s="605" t="str">
        <f>IF(F7&gt;30,"   Paso limite de años. Max. 30"," ")</f>
        <v xml:space="preserve"> </v>
      </c>
      <c r="I7" s="48"/>
      <c r="J7" s="601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</row>
    <row r="8" spans="2:41" ht="30" customHeight="1" thickBot="1" x14ac:dyDescent="0.4">
      <c r="E8" s="186" t="s">
        <v>94</v>
      </c>
      <c r="F8" s="606">
        <f>IF(AK18=1,F7*1,IF(AK18=2,F7*2,IF(AK18=3,F7*4,IF(AK18=4,F7*12,"ERROR"))))</f>
        <v>10</v>
      </c>
      <c r="G8" s="230"/>
      <c r="H8" s="230"/>
    </row>
    <row r="9" spans="2:41" ht="16" thickBot="1" x14ac:dyDescent="0.4">
      <c r="G9" s="49"/>
      <c r="AK9" s="50">
        <v>2</v>
      </c>
      <c r="AL9" s="51"/>
    </row>
    <row r="10" spans="2:41" ht="41.5" customHeight="1" thickBot="1" x14ac:dyDescent="0.4">
      <c r="B10" s="600" t="str">
        <f>IF($AK$18=1,"PERIODO"&amp;" ("&amp;AL19&amp;")",IF($AK$18=2,"PERIODO"&amp;" ("&amp;AL20&amp;")",IF($AK$18=3,"PERIODO"&amp;" ("&amp;AL21&amp;")","PERIODO"&amp;" ("&amp;AL22&amp;")")))</f>
        <v>PERIODO (ANUAL)</v>
      </c>
      <c r="C10" s="57" t="s">
        <v>95</v>
      </c>
      <c r="D10" s="57" t="s">
        <v>96</v>
      </c>
      <c r="E10" s="57" t="s">
        <v>97</v>
      </c>
      <c r="F10" s="58" t="s">
        <v>98</v>
      </c>
      <c r="H10" s="49"/>
      <c r="I10" s="860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AK10" s="52">
        <v>1</v>
      </c>
      <c r="AL10" s="52" t="s">
        <v>99</v>
      </c>
      <c r="AN10" s="30"/>
    </row>
    <row r="11" spans="2:41" ht="16" thickBot="1" x14ac:dyDescent="0.4">
      <c r="B11" s="187">
        <v>0</v>
      </c>
      <c r="C11" s="194"/>
      <c r="D11" s="193"/>
      <c r="E11" s="193"/>
      <c r="F11" s="193">
        <f>MONTO</f>
        <v>0</v>
      </c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AK11" s="51">
        <v>2</v>
      </c>
      <c r="AL11" s="51" t="s">
        <v>100</v>
      </c>
    </row>
    <row r="12" spans="2:41" ht="16" thickBot="1" x14ac:dyDescent="0.4">
      <c r="B12" s="188">
        <v>1</v>
      </c>
      <c r="C12" s="195">
        <f t="shared" ref="C12:C75" si="0">IF(($B12&lt;=$F$8),IF($AK$14=1,PMT($G$6,$F$8,-MONTO),D12+E12)," ")</f>
        <v>0</v>
      </c>
      <c r="D12" s="195">
        <f t="shared" ref="D12:D75" si="1">IF(($B12&lt;=$F$8),$F11*INTERES," ")</f>
        <v>0</v>
      </c>
      <c r="E12" s="195">
        <f>IF(($B12&lt;=$F$8),IF($AK$14=1,C12-D12,$F$5/$F$8),0*1)</f>
        <v>0</v>
      </c>
      <c r="F12" s="195">
        <f t="shared" ref="F12:F21" si="2">IF(($B12&lt;=$F$8),F11-E12,0*1)</f>
        <v>0</v>
      </c>
      <c r="AK12" s="51">
        <v>3</v>
      </c>
      <c r="AL12" s="51" t="s">
        <v>10</v>
      </c>
      <c r="AO12" s="53"/>
    </row>
    <row r="13" spans="2:41" x14ac:dyDescent="0.35">
      <c r="B13" s="188">
        <f t="shared" ref="B13:B76" si="3">IF((B12&lt;$F$8),B12+1," ")</f>
        <v>2</v>
      </c>
      <c r="C13" s="195">
        <f t="shared" ref="C13:C21" si="4">IF(($B13&lt;=$F$8),IF($AK$14=1,PMT($G$6,$F$8,-MONTO),D13+E13),0*1)</f>
        <v>0</v>
      </c>
      <c r="D13" s="195">
        <f t="shared" ref="D13:D21" si="5">IF(($B13&lt;=$F$8),$F12*INTERES,0*1)</f>
        <v>0</v>
      </c>
      <c r="E13" s="195">
        <f t="shared" ref="E13:E21" si="6">IF(($B13&lt;=$F$8),IF($AK$14=1,C13-D13,$F$5/$F$8),0*1)</f>
        <v>0</v>
      </c>
      <c r="F13" s="195">
        <f t="shared" si="2"/>
        <v>0</v>
      </c>
      <c r="AO13" s="53"/>
    </row>
    <row r="14" spans="2:41" x14ac:dyDescent="0.35">
      <c r="B14" s="188">
        <f t="shared" si="3"/>
        <v>3</v>
      </c>
      <c r="C14" s="195">
        <f t="shared" si="4"/>
        <v>0</v>
      </c>
      <c r="D14" s="195">
        <f t="shared" si="5"/>
        <v>0</v>
      </c>
      <c r="E14" s="195">
        <f t="shared" si="6"/>
        <v>0</v>
      </c>
      <c r="F14" s="195">
        <f t="shared" si="2"/>
        <v>0</v>
      </c>
      <c r="AK14" s="54">
        <v>2</v>
      </c>
      <c r="AL14" s="11"/>
      <c r="AO14" s="53"/>
    </row>
    <row r="15" spans="2:41" x14ac:dyDescent="0.35">
      <c r="B15" s="188">
        <f t="shared" si="3"/>
        <v>4</v>
      </c>
      <c r="C15" s="195">
        <f t="shared" si="4"/>
        <v>0</v>
      </c>
      <c r="D15" s="195">
        <f t="shared" si="5"/>
        <v>0</v>
      </c>
      <c r="E15" s="195">
        <f t="shared" si="6"/>
        <v>0</v>
      </c>
      <c r="F15" s="195">
        <f t="shared" si="2"/>
        <v>0</v>
      </c>
      <c r="AK15" s="11">
        <v>1</v>
      </c>
      <c r="AL15" s="11" t="s">
        <v>101</v>
      </c>
      <c r="AO15" s="53"/>
    </row>
    <row r="16" spans="2:41" x14ac:dyDescent="0.35">
      <c r="B16" s="188">
        <f t="shared" si="3"/>
        <v>5</v>
      </c>
      <c r="C16" s="195">
        <f t="shared" si="4"/>
        <v>0</v>
      </c>
      <c r="D16" s="195">
        <f t="shared" si="5"/>
        <v>0</v>
      </c>
      <c r="E16" s="195">
        <f t="shared" si="6"/>
        <v>0</v>
      </c>
      <c r="F16" s="195">
        <f t="shared" si="2"/>
        <v>0</v>
      </c>
      <c r="AK16" s="11">
        <v>2</v>
      </c>
      <c r="AL16" s="11" t="s">
        <v>102</v>
      </c>
      <c r="AO16" s="53"/>
    </row>
    <row r="17" spans="2:41" x14ac:dyDescent="0.35">
      <c r="B17" s="188">
        <f t="shared" si="3"/>
        <v>6</v>
      </c>
      <c r="C17" s="195">
        <f t="shared" si="4"/>
        <v>0</v>
      </c>
      <c r="D17" s="195">
        <f t="shared" si="5"/>
        <v>0</v>
      </c>
      <c r="E17" s="195">
        <f t="shared" si="6"/>
        <v>0</v>
      </c>
      <c r="F17" s="195">
        <f t="shared" si="2"/>
        <v>0</v>
      </c>
      <c r="AO17" s="53"/>
    </row>
    <row r="18" spans="2:41" x14ac:dyDescent="0.35">
      <c r="B18" s="188">
        <f t="shared" si="3"/>
        <v>7</v>
      </c>
      <c r="C18" s="195">
        <f t="shared" si="4"/>
        <v>0</v>
      </c>
      <c r="D18" s="195">
        <f t="shared" si="5"/>
        <v>0</v>
      </c>
      <c r="E18" s="195">
        <f t="shared" si="6"/>
        <v>0</v>
      </c>
      <c r="F18" s="195">
        <f t="shared" si="2"/>
        <v>0</v>
      </c>
      <c r="AK18" s="54">
        <v>1</v>
      </c>
      <c r="AL18" s="11"/>
      <c r="AM18" t="s">
        <v>103</v>
      </c>
      <c r="AO18" s="53"/>
    </row>
    <row r="19" spans="2:41" x14ac:dyDescent="0.35">
      <c r="B19" s="188">
        <f t="shared" si="3"/>
        <v>8</v>
      </c>
      <c r="C19" s="195">
        <f t="shared" si="4"/>
        <v>0</v>
      </c>
      <c r="D19" s="195">
        <f t="shared" si="5"/>
        <v>0</v>
      </c>
      <c r="E19" s="195">
        <f t="shared" si="6"/>
        <v>0</v>
      </c>
      <c r="F19" s="195">
        <f t="shared" si="2"/>
        <v>0</v>
      </c>
      <c r="AK19" s="11">
        <v>1</v>
      </c>
      <c r="AL19" s="10" t="s">
        <v>104</v>
      </c>
      <c r="AM19" s="55">
        <f>TASA/1</f>
        <v>0.11</v>
      </c>
      <c r="AO19" s="53"/>
    </row>
    <row r="20" spans="2:41" x14ac:dyDescent="0.35">
      <c r="B20" s="188">
        <f t="shared" si="3"/>
        <v>9</v>
      </c>
      <c r="C20" s="195">
        <f t="shared" si="4"/>
        <v>0</v>
      </c>
      <c r="D20" s="195">
        <f t="shared" si="5"/>
        <v>0</v>
      </c>
      <c r="E20" s="195">
        <f t="shared" si="6"/>
        <v>0</v>
      </c>
      <c r="F20" s="195">
        <f t="shared" si="2"/>
        <v>0</v>
      </c>
      <c r="AK20" s="11">
        <v>2</v>
      </c>
      <c r="AL20" s="10" t="s">
        <v>105</v>
      </c>
      <c r="AM20" s="55">
        <f>TASA/2</f>
        <v>5.5E-2</v>
      </c>
      <c r="AO20" s="53"/>
    </row>
    <row r="21" spans="2:41" x14ac:dyDescent="0.35">
      <c r="B21" s="188">
        <f t="shared" si="3"/>
        <v>10</v>
      </c>
      <c r="C21" s="195">
        <f t="shared" si="4"/>
        <v>0</v>
      </c>
      <c r="D21" s="195">
        <f t="shared" si="5"/>
        <v>0</v>
      </c>
      <c r="E21" s="195">
        <f t="shared" si="6"/>
        <v>0</v>
      </c>
      <c r="F21" s="195">
        <f t="shared" si="2"/>
        <v>0</v>
      </c>
      <c r="AK21" s="11">
        <v>3</v>
      </c>
      <c r="AL21" s="10" t="s">
        <v>106</v>
      </c>
      <c r="AM21" s="55">
        <f>TASA/4</f>
        <v>2.75E-2</v>
      </c>
      <c r="AO21" s="53"/>
    </row>
    <row r="22" spans="2:41" x14ac:dyDescent="0.35">
      <c r="B22" s="189" t="str">
        <f t="shared" si="3"/>
        <v xml:space="preserve"> </v>
      </c>
      <c r="C22" s="196" t="str">
        <f t="shared" si="0"/>
        <v xml:space="preserve"> </v>
      </c>
      <c r="D22" s="196" t="str">
        <f t="shared" si="1"/>
        <v xml:space="preserve"> </v>
      </c>
      <c r="E22" s="196" t="str">
        <f t="shared" ref="E22:E85" si="7">IF(($B22&lt;=$F$8),IF($AK$14=1,C22-D22,$F$5/$F$8)," ")</f>
        <v xml:space="preserve"> </v>
      </c>
      <c r="F22" s="196" t="str">
        <f t="shared" ref="F22:F85" si="8">IF(($B22&lt;=$F$8),F21-E22," ")</f>
        <v xml:space="preserve"> </v>
      </c>
      <c r="AK22" s="11">
        <v>4</v>
      </c>
      <c r="AL22" s="10" t="s">
        <v>107</v>
      </c>
      <c r="AM22" s="55">
        <f>TASA/12</f>
        <v>9.1666666666666667E-3</v>
      </c>
      <c r="AO22" s="53"/>
    </row>
    <row r="23" spans="2:41" x14ac:dyDescent="0.35">
      <c r="B23" s="189" t="str">
        <f>IF((B22&lt;$F$8),B22+1," ")</f>
        <v xml:space="preserve"> </v>
      </c>
      <c r="C23" s="196" t="str">
        <f t="shared" si="0"/>
        <v xml:space="preserve"> </v>
      </c>
      <c r="D23" s="196" t="str">
        <f t="shared" si="1"/>
        <v xml:space="preserve"> </v>
      </c>
      <c r="E23" s="196" t="str">
        <f t="shared" si="7"/>
        <v xml:space="preserve"> </v>
      </c>
      <c r="F23" s="196" t="str">
        <f t="shared" si="8"/>
        <v xml:space="preserve"> </v>
      </c>
      <c r="AO23" s="53"/>
    </row>
    <row r="24" spans="2:41" x14ac:dyDescent="0.35">
      <c r="B24" s="189" t="str">
        <f t="shared" si="3"/>
        <v xml:space="preserve"> </v>
      </c>
      <c r="C24" s="196" t="str">
        <f t="shared" si="0"/>
        <v xml:space="preserve"> </v>
      </c>
      <c r="D24" s="196" t="str">
        <f t="shared" si="1"/>
        <v xml:space="preserve"> </v>
      </c>
      <c r="E24" s="196" t="str">
        <f t="shared" si="7"/>
        <v xml:space="preserve"> </v>
      </c>
      <c r="F24" s="196" t="str">
        <f t="shared" si="8"/>
        <v xml:space="preserve"> </v>
      </c>
      <c r="AO24" s="53"/>
    </row>
    <row r="25" spans="2:41" x14ac:dyDescent="0.35">
      <c r="B25" s="189" t="str">
        <f t="shared" si="3"/>
        <v xml:space="preserve"> </v>
      </c>
      <c r="C25" s="196" t="str">
        <f t="shared" si="0"/>
        <v xml:space="preserve"> </v>
      </c>
      <c r="D25" s="196" t="str">
        <f t="shared" si="1"/>
        <v xml:space="preserve"> </v>
      </c>
      <c r="E25" s="196" t="str">
        <f t="shared" si="7"/>
        <v xml:space="preserve"> </v>
      </c>
      <c r="F25" s="196" t="str">
        <f t="shared" si="8"/>
        <v xml:space="preserve"> </v>
      </c>
      <c r="AO25" s="53"/>
    </row>
    <row r="26" spans="2:41" x14ac:dyDescent="0.35">
      <c r="B26" s="189" t="str">
        <f t="shared" si="3"/>
        <v xml:space="preserve"> </v>
      </c>
      <c r="C26" s="196" t="str">
        <f t="shared" si="0"/>
        <v xml:space="preserve"> </v>
      </c>
      <c r="D26" s="196" t="str">
        <f t="shared" si="1"/>
        <v xml:space="preserve"> </v>
      </c>
      <c r="E26" s="196" t="str">
        <f t="shared" si="7"/>
        <v xml:space="preserve"> </v>
      </c>
      <c r="F26" s="196" t="str">
        <f t="shared" si="8"/>
        <v xml:space="preserve"> </v>
      </c>
      <c r="AO26" s="53"/>
    </row>
    <row r="27" spans="2:41" x14ac:dyDescent="0.35">
      <c r="B27" s="189" t="str">
        <f t="shared" si="3"/>
        <v xml:space="preserve"> </v>
      </c>
      <c r="C27" s="196" t="str">
        <f t="shared" si="0"/>
        <v xml:space="preserve"> </v>
      </c>
      <c r="D27" s="196" t="str">
        <f t="shared" si="1"/>
        <v xml:space="preserve"> </v>
      </c>
      <c r="E27" s="196" t="str">
        <f t="shared" si="7"/>
        <v xml:space="preserve"> </v>
      </c>
      <c r="F27" s="196" t="str">
        <f t="shared" si="8"/>
        <v xml:space="preserve"> </v>
      </c>
      <c r="AO27" s="53"/>
    </row>
    <row r="28" spans="2:41" x14ac:dyDescent="0.35">
      <c r="B28" s="189" t="str">
        <f t="shared" si="3"/>
        <v xml:space="preserve"> </v>
      </c>
      <c r="C28" s="196" t="str">
        <f t="shared" si="0"/>
        <v xml:space="preserve"> </v>
      </c>
      <c r="D28" s="196" t="str">
        <f t="shared" si="1"/>
        <v xml:space="preserve"> </v>
      </c>
      <c r="E28" s="196" t="str">
        <f t="shared" si="7"/>
        <v xml:space="preserve"> </v>
      </c>
      <c r="F28" s="196" t="str">
        <f t="shared" si="8"/>
        <v xml:space="preserve"> </v>
      </c>
      <c r="V28" s="53"/>
      <c r="AO28" s="53"/>
    </row>
    <row r="29" spans="2:41" x14ac:dyDescent="0.35">
      <c r="B29" s="189" t="str">
        <f t="shared" si="3"/>
        <v xml:space="preserve"> </v>
      </c>
      <c r="C29" s="196" t="str">
        <f t="shared" si="0"/>
        <v xml:space="preserve"> </v>
      </c>
      <c r="D29" s="196" t="str">
        <f t="shared" si="1"/>
        <v xml:space="preserve"> </v>
      </c>
      <c r="E29" s="196" t="str">
        <f t="shared" si="7"/>
        <v xml:space="preserve"> </v>
      </c>
      <c r="F29" s="196" t="str">
        <f t="shared" si="8"/>
        <v xml:space="preserve"> </v>
      </c>
      <c r="AO29" s="53"/>
    </row>
    <row r="30" spans="2:41" x14ac:dyDescent="0.35">
      <c r="B30" s="189" t="str">
        <f t="shared" si="3"/>
        <v xml:space="preserve"> </v>
      </c>
      <c r="C30" s="196" t="str">
        <f t="shared" si="0"/>
        <v xml:space="preserve"> </v>
      </c>
      <c r="D30" s="196" t="str">
        <f t="shared" si="1"/>
        <v xml:space="preserve"> </v>
      </c>
      <c r="E30" s="196" t="str">
        <f t="shared" si="7"/>
        <v xml:space="preserve"> </v>
      </c>
      <c r="F30" s="196" t="str">
        <f t="shared" si="8"/>
        <v xml:space="preserve"> </v>
      </c>
      <c r="AO30" s="53"/>
    </row>
    <row r="31" spans="2:41" x14ac:dyDescent="0.35">
      <c r="B31" s="189" t="str">
        <f t="shared" si="3"/>
        <v xml:space="preserve"> </v>
      </c>
      <c r="C31" s="196" t="str">
        <f t="shared" si="0"/>
        <v xml:space="preserve"> </v>
      </c>
      <c r="D31" s="196" t="str">
        <f t="shared" si="1"/>
        <v xml:space="preserve"> </v>
      </c>
      <c r="E31" s="196" t="str">
        <f t="shared" si="7"/>
        <v xml:space="preserve"> </v>
      </c>
      <c r="F31" s="196" t="str">
        <f t="shared" si="8"/>
        <v xml:space="preserve"> </v>
      </c>
      <c r="AO31" s="53"/>
    </row>
    <row r="32" spans="2:41" x14ac:dyDescent="0.35">
      <c r="B32" s="189" t="str">
        <f t="shared" si="3"/>
        <v xml:space="preserve"> </v>
      </c>
      <c r="C32" s="196" t="str">
        <f t="shared" si="0"/>
        <v xml:space="preserve"> </v>
      </c>
      <c r="D32" s="196" t="str">
        <f t="shared" si="1"/>
        <v xml:space="preserve"> </v>
      </c>
      <c r="E32" s="196" t="str">
        <f t="shared" si="7"/>
        <v xml:space="preserve"> </v>
      </c>
      <c r="F32" s="196" t="str">
        <f t="shared" si="8"/>
        <v xml:space="preserve"> </v>
      </c>
      <c r="AO32" s="53"/>
    </row>
    <row r="33" spans="2:6" x14ac:dyDescent="0.35">
      <c r="B33" s="189" t="str">
        <f t="shared" si="3"/>
        <v xml:space="preserve"> </v>
      </c>
      <c r="C33" s="196" t="str">
        <f t="shared" si="0"/>
        <v xml:space="preserve"> </v>
      </c>
      <c r="D33" s="196" t="str">
        <f t="shared" si="1"/>
        <v xml:space="preserve"> </v>
      </c>
      <c r="E33" s="196" t="str">
        <f t="shared" si="7"/>
        <v xml:space="preserve"> </v>
      </c>
      <c r="F33" s="196" t="str">
        <f t="shared" si="8"/>
        <v xml:space="preserve"> </v>
      </c>
    </row>
    <row r="34" spans="2:6" x14ac:dyDescent="0.35">
      <c r="B34" s="189" t="str">
        <f t="shared" si="3"/>
        <v xml:space="preserve"> </v>
      </c>
      <c r="C34" s="196" t="str">
        <f t="shared" si="0"/>
        <v xml:space="preserve"> </v>
      </c>
      <c r="D34" s="196" t="str">
        <f t="shared" si="1"/>
        <v xml:space="preserve"> </v>
      </c>
      <c r="E34" s="196" t="str">
        <f t="shared" si="7"/>
        <v xml:space="preserve"> </v>
      </c>
      <c r="F34" s="196" t="str">
        <f t="shared" si="8"/>
        <v xml:space="preserve"> </v>
      </c>
    </row>
    <row r="35" spans="2:6" x14ac:dyDescent="0.35">
      <c r="B35" s="189" t="str">
        <f t="shared" si="3"/>
        <v xml:space="preserve"> </v>
      </c>
      <c r="C35" s="196" t="str">
        <f t="shared" si="0"/>
        <v xml:space="preserve"> </v>
      </c>
      <c r="D35" s="196" t="str">
        <f t="shared" si="1"/>
        <v xml:space="preserve"> </v>
      </c>
      <c r="E35" s="196" t="str">
        <f t="shared" si="7"/>
        <v xml:space="preserve"> </v>
      </c>
      <c r="F35" s="196" t="str">
        <f t="shared" si="8"/>
        <v xml:space="preserve"> </v>
      </c>
    </row>
    <row r="36" spans="2:6" x14ac:dyDescent="0.35">
      <c r="B36" s="189" t="str">
        <f t="shared" si="3"/>
        <v xml:space="preserve"> </v>
      </c>
      <c r="C36" s="196" t="str">
        <f t="shared" si="0"/>
        <v xml:space="preserve"> </v>
      </c>
      <c r="D36" s="196" t="str">
        <f t="shared" si="1"/>
        <v xml:space="preserve"> </v>
      </c>
      <c r="E36" s="196" t="str">
        <f t="shared" si="7"/>
        <v xml:space="preserve"> </v>
      </c>
      <c r="F36" s="196" t="str">
        <f t="shared" si="8"/>
        <v xml:space="preserve"> </v>
      </c>
    </row>
    <row r="37" spans="2:6" x14ac:dyDescent="0.35">
      <c r="B37" s="189" t="str">
        <f t="shared" si="3"/>
        <v xml:space="preserve"> </v>
      </c>
      <c r="C37" s="196" t="str">
        <f t="shared" si="0"/>
        <v xml:space="preserve"> </v>
      </c>
      <c r="D37" s="196" t="str">
        <f t="shared" si="1"/>
        <v xml:space="preserve"> </v>
      </c>
      <c r="E37" s="196" t="str">
        <f t="shared" si="7"/>
        <v xml:space="preserve"> </v>
      </c>
      <c r="F37" s="196" t="str">
        <f t="shared" si="8"/>
        <v xml:space="preserve"> </v>
      </c>
    </row>
    <row r="38" spans="2:6" x14ac:dyDescent="0.35">
      <c r="B38" s="189" t="str">
        <f t="shared" si="3"/>
        <v xml:space="preserve"> </v>
      </c>
      <c r="C38" s="196" t="str">
        <f t="shared" si="0"/>
        <v xml:space="preserve"> </v>
      </c>
      <c r="D38" s="196" t="str">
        <f t="shared" si="1"/>
        <v xml:space="preserve"> </v>
      </c>
      <c r="E38" s="196" t="str">
        <f t="shared" si="7"/>
        <v xml:space="preserve"> </v>
      </c>
      <c r="F38" s="196" t="str">
        <f t="shared" si="8"/>
        <v xml:space="preserve"> </v>
      </c>
    </row>
    <row r="39" spans="2:6" x14ac:dyDescent="0.35">
      <c r="B39" s="189" t="str">
        <f t="shared" si="3"/>
        <v xml:space="preserve"> </v>
      </c>
      <c r="C39" s="196" t="str">
        <f t="shared" si="0"/>
        <v xml:space="preserve"> </v>
      </c>
      <c r="D39" s="196" t="str">
        <f t="shared" si="1"/>
        <v xml:space="preserve"> </v>
      </c>
      <c r="E39" s="196" t="str">
        <f t="shared" si="7"/>
        <v xml:space="preserve"> </v>
      </c>
      <c r="F39" s="196" t="str">
        <f t="shared" si="8"/>
        <v xml:space="preserve"> </v>
      </c>
    </row>
    <row r="40" spans="2:6" x14ac:dyDescent="0.35">
      <c r="B40" s="189" t="str">
        <f t="shared" si="3"/>
        <v xml:space="preserve"> </v>
      </c>
      <c r="C40" s="196" t="str">
        <f t="shared" si="0"/>
        <v xml:space="preserve"> </v>
      </c>
      <c r="D40" s="196" t="str">
        <f t="shared" si="1"/>
        <v xml:space="preserve"> </v>
      </c>
      <c r="E40" s="196" t="str">
        <f t="shared" si="7"/>
        <v xml:space="preserve"> </v>
      </c>
      <c r="F40" s="196" t="str">
        <f t="shared" si="8"/>
        <v xml:space="preserve"> </v>
      </c>
    </row>
    <row r="41" spans="2:6" x14ac:dyDescent="0.35">
      <c r="B41" s="189" t="str">
        <f t="shared" si="3"/>
        <v xml:space="preserve"> </v>
      </c>
      <c r="C41" s="196" t="str">
        <f t="shared" si="0"/>
        <v xml:space="preserve"> </v>
      </c>
      <c r="D41" s="196" t="str">
        <f t="shared" si="1"/>
        <v xml:space="preserve"> </v>
      </c>
      <c r="E41" s="196" t="str">
        <f t="shared" si="7"/>
        <v xml:space="preserve"> </v>
      </c>
      <c r="F41" s="196" t="str">
        <f t="shared" si="8"/>
        <v xml:space="preserve"> </v>
      </c>
    </row>
    <row r="42" spans="2:6" x14ac:dyDescent="0.35">
      <c r="B42" s="189" t="str">
        <f t="shared" si="3"/>
        <v xml:space="preserve"> </v>
      </c>
      <c r="C42" s="196" t="str">
        <f t="shared" si="0"/>
        <v xml:space="preserve"> </v>
      </c>
      <c r="D42" s="196" t="str">
        <f t="shared" si="1"/>
        <v xml:space="preserve"> </v>
      </c>
      <c r="E42" s="196" t="str">
        <f t="shared" si="7"/>
        <v xml:space="preserve"> </v>
      </c>
      <c r="F42" s="196" t="str">
        <f t="shared" si="8"/>
        <v xml:space="preserve"> </v>
      </c>
    </row>
    <row r="43" spans="2:6" x14ac:dyDescent="0.35">
      <c r="B43" s="189" t="str">
        <f t="shared" si="3"/>
        <v xml:space="preserve"> </v>
      </c>
      <c r="C43" s="190" t="str">
        <f t="shared" si="0"/>
        <v xml:space="preserve"> </v>
      </c>
      <c r="D43" s="190" t="str">
        <f t="shared" si="1"/>
        <v xml:space="preserve"> </v>
      </c>
      <c r="E43" s="190" t="str">
        <f t="shared" si="7"/>
        <v xml:space="preserve"> </v>
      </c>
      <c r="F43" s="190" t="str">
        <f t="shared" si="8"/>
        <v xml:space="preserve"> </v>
      </c>
    </row>
    <row r="44" spans="2:6" x14ac:dyDescent="0.35">
      <c r="B44" s="189" t="str">
        <f t="shared" si="3"/>
        <v xml:space="preserve"> </v>
      </c>
      <c r="C44" s="190" t="str">
        <f t="shared" si="0"/>
        <v xml:space="preserve"> </v>
      </c>
      <c r="D44" s="190" t="str">
        <f t="shared" si="1"/>
        <v xml:space="preserve"> </v>
      </c>
      <c r="E44" s="190" t="str">
        <f t="shared" si="7"/>
        <v xml:space="preserve"> </v>
      </c>
      <c r="F44" s="190" t="str">
        <f t="shared" si="8"/>
        <v xml:space="preserve"> </v>
      </c>
    </row>
    <row r="45" spans="2:6" x14ac:dyDescent="0.35">
      <c r="B45" s="189" t="str">
        <f t="shared" si="3"/>
        <v xml:space="preserve"> </v>
      </c>
      <c r="C45" s="190" t="str">
        <f t="shared" si="0"/>
        <v xml:space="preserve"> </v>
      </c>
      <c r="D45" s="190" t="str">
        <f t="shared" si="1"/>
        <v xml:space="preserve"> </v>
      </c>
      <c r="E45" s="190" t="str">
        <f t="shared" si="7"/>
        <v xml:space="preserve"> </v>
      </c>
      <c r="F45" s="190" t="str">
        <f t="shared" si="8"/>
        <v xml:space="preserve"> </v>
      </c>
    </row>
    <row r="46" spans="2:6" x14ac:dyDescent="0.35">
      <c r="B46" s="189" t="str">
        <f t="shared" si="3"/>
        <v xml:space="preserve"> </v>
      </c>
      <c r="C46" s="190" t="str">
        <f t="shared" si="0"/>
        <v xml:space="preserve"> </v>
      </c>
      <c r="D46" s="190" t="str">
        <f t="shared" si="1"/>
        <v xml:space="preserve"> </v>
      </c>
      <c r="E46" s="190" t="str">
        <f t="shared" si="7"/>
        <v xml:space="preserve"> </v>
      </c>
      <c r="F46" s="190" t="str">
        <f t="shared" si="8"/>
        <v xml:space="preserve"> </v>
      </c>
    </row>
    <row r="47" spans="2:6" x14ac:dyDescent="0.35">
      <c r="B47" s="189" t="str">
        <f t="shared" si="3"/>
        <v xml:space="preserve"> </v>
      </c>
      <c r="C47" s="190" t="str">
        <f t="shared" si="0"/>
        <v xml:space="preserve"> </v>
      </c>
      <c r="D47" s="190" t="str">
        <f t="shared" si="1"/>
        <v xml:space="preserve"> </v>
      </c>
      <c r="E47" s="190" t="str">
        <f t="shared" si="7"/>
        <v xml:space="preserve"> </v>
      </c>
      <c r="F47" s="190" t="str">
        <f t="shared" si="8"/>
        <v xml:space="preserve"> </v>
      </c>
    </row>
    <row r="48" spans="2:6" x14ac:dyDescent="0.35">
      <c r="B48" s="189" t="str">
        <f t="shared" si="3"/>
        <v xml:space="preserve"> </v>
      </c>
      <c r="C48" s="190" t="str">
        <f t="shared" si="0"/>
        <v xml:space="preserve"> </v>
      </c>
      <c r="D48" s="190" t="str">
        <f t="shared" si="1"/>
        <v xml:space="preserve"> </v>
      </c>
      <c r="E48" s="190" t="str">
        <f t="shared" si="7"/>
        <v xml:space="preserve"> </v>
      </c>
      <c r="F48" s="190" t="str">
        <f t="shared" si="8"/>
        <v xml:space="preserve"> </v>
      </c>
    </row>
    <row r="49" spans="2:6" x14ac:dyDescent="0.35">
      <c r="B49" s="189" t="str">
        <f t="shared" si="3"/>
        <v xml:space="preserve"> </v>
      </c>
      <c r="C49" s="190" t="str">
        <f t="shared" si="0"/>
        <v xml:space="preserve"> </v>
      </c>
      <c r="D49" s="190" t="str">
        <f t="shared" si="1"/>
        <v xml:space="preserve"> </v>
      </c>
      <c r="E49" s="190" t="str">
        <f t="shared" si="7"/>
        <v xml:space="preserve"> </v>
      </c>
      <c r="F49" s="190" t="str">
        <f t="shared" si="8"/>
        <v xml:space="preserve"> </v>
      </c>
    </row>
    <row r="50" spans="2:6" x14ac:dyDescent="0.35">
      <c r="B50" s="189" t="str">
        <f t="shared" si="3"/>
        <v xml:space="preserve"> </v>
      </c>
      <c r="C50" s="190" t="str">
        <f t="shared" si="0"/>
        <v xml:space="preserve"> </v>
      </c>
      <c r="D50" s="190" t="str">
        <f t="shared" si="1"/>
        <v xml:space="preserve"> </v>
      </c>
      <c r="E50" s="190" t="str">
        <f t="shared" si="7"/>
        <v xml:space="preserve"> </v>
      </c>
      <c r="F50" s="190" t="str">
        <f t="shared" si="8"/>
        <v xml:space="preserve"> </v>
      </c>
    </row>
    <row r="51" spans="2:6" x14ac:dyDescent="0.35">
      <c r="B51" s="189" t="str">
        <f t="shared" si="3"/>
        <v xml:space="preserve"> </v>
      </c>
      <c r="C51" s="190" t="str">
        <f t="shared" si="0"/>
        <v xml:space="preserve"> </v>
      </c>
      <c r="D51" s="190" t="str">
        <f t="shared" si="1"/>
        <v xml:space="preserve"> </v>
      </c>
      <c r="E51" s="190" t="str">
        <f t="shared" si="7"/>
        <v xml:space="preserve"> </v>
      </c>
      <c r="F51" s="190" t="str">
        <f t="shared" si="8"/>
        <v xml:space="preserve"> </v>
      </c>
    </row>
    <row r="52" spans="2:6" x14ac:dyDescent="0.35">
      <c r="B52" s="189" t="str">
        <f t="shared" si="3"/>
        <v xml:space="preserve"> </v>
      </c>
      <c r="C52" s="190" t="str">
        <f t="shared" si="0"/>
        <v xml:space="preserve"> </v>
      </c>
      <c r="D52" s="190" t="str">
        <f t="shared" si="1"/>
        <v xml:space="preserve"> </v>
      </c>
      <c r="E52" s="190" t="str">
        <f t="shared" si="7"/>
        <v xml:space="preserve"> </v>
      </c>
      <c r="F52" s="190" t="str">
        <f t="shared" si="8"/>
        <v xml:space="preserve"> </v>
      </c>
    </row>
    <row r="53" spans="2:6" x14ac:dyDescent="0.35">
      <c r="B53" s="189" t="str">
        <f t="shared" si="3"/>
        <v xml:space="preserve"> </v>
      </c>
      <c r="C53" s="190" t="str">
        <f t="shared" si="0"/>
        <v xml:space="preserve"> </v>
      </c>
      <c r="D53" s="190" t="str">
        <f t="shared" si="1"/>
        <v xml:space="preserve"> </v>
      </c>
      <c r="E53" s="190" t="str">
        <f t="shared" si="7"/>
        <v xml:space="preserve"> </v>
      </c>
      <c r="F53" s="190" t="str">
        <f t="shared" si="8"/>
        <v xml:space="preserve"> </v>
      </c>
    </row>
    <row r="54" spans="2:6" x14ac:dyDescent="0.35">
      <c r="B54" s="189" t="str">
        <f t="shared" si="3"/>
        <v xml:space="preserve"> </v>
      </c>
      <c r="C54" s="190" t="str">
        <f t="shared" si="0"/>
        <v xml:space="preserve"> </v>
      </c>
      <c r="D54" s="190" t="str">
        <f t="shared" si="1"/>
        <v xml:space="preserve"> </v>
      </c>
      <c r="E54" s="190" t="str">
        <f t="shared" si="7"/>
        <v xml:space="preserve"> </v>
      </c>
      <c r="F54" s="190" t="str">
        <f t="shared" si="8"/>
        <v xml:space="preserve"> </v>
      </c>
    </row>
    <row r="55" spans="2:6" x14ac:dyDescent="0.35">
      <c r="B55" s="189" t="str">
        <f t="shared" si="3"/>
        <v xml:space="preserve"> </v>
      </c>
      <c r="C55" s="190" t="str">
        <f t="shared" si="0"/>
        <v xml:space="preserve"> </v>
      </c>
      <c r="D55" s="190" t="str">
        <f t="shared" si="1"/>
        <v xml:space="preserve"> </v>
      </c>
      <c r="E55" s="190" t="str">
        <f t="shared" si="7"/>
        <v xml:space="preserve"> </v>
      </c>
      <c r="F55" s="190" t="str">
        <f t="shared" si="8"/>
        <v xml:space="preserve"> </v>
      </c>
    </row>
    <row r="56" spans="2:6" x14ac:dyDescent="0.35">
      <c r="B56" s="189" t="str">
        <f t="shared" si="3"/>
        <v xml:space="preserve"> </v>
      </c>
      <c r="C56" s="190" t="str">
        <f t="shared" si="0"/>
        <v xml:space="preserve"> </v>
      </c>
      <c r="D56" s="190" t="str">
        <f t="shared" si="1"/>
        <v xml:space="preserve"> </v>
      </c>
      <c r="E56" s="190" t="str">
        <f t="shared" si="7"/>
        <v xml:space="preserve"> </v>
      </c>
      <c r="F56" s="190" t="str">
        <f t="shared" si="8"/>
        <v xml:space="preserve"> </v>
      </c>
    </row>
    <row r="57" spans="2:6" x14ac:dyDescent="0.35">
      <c r="B57" s="189" t="str">
        <f t="shared" si="3"/>
        <v xml:space="preserve"> </v>
      </c>
      <c r="C57" s="190" t="str">
        <f t="shared" si="0"/>
        <v xml:space="preserve"> </v>
      </c>
      <c r="D57" s="190" t="str">
        <f t="shared" si="1"/>
        <v xml:space="preserve"> </v>
      </c>
      <c r="E57" s="190" t="str">
        <f t="shared" si="7"/>
        <v xml:space="preserve"> </v>
      </c>
      <c r="F57" s="190" t="str">
        <f t="shared" si="8"/>
        <v xml:space="preserve"> </v>
      </c>
    </row>
    <row r="58" spans="2:6" x14ac:dyDescent="0.35">
      <c r="B58" s="189" t="str">
        <f t="shared" si="3"/>
        <v xml:space="preserve"> </v>
      </c>
      <c r="C58" s="190" t="str">
        <f t="shared" si="0"/>
        <v xml:space="preserve"> </v>
      </c>
      <c r="D58" s="190" t="str">
        <f t="shared" si="1"/>
        <v xml:space="preserve"> </v>
      </c>
      <c r="E58" s="190" t="str">
        <f t="shared" si="7"/>
        <v xml:space="preserve"> </v>
      </c>
      <c r="F58" s="190" t="str">
        <f t="shared" si="8"/>
        <v xml:space="preserve"> </v>
      </c>
    </row>
    <row r="59" spans="2:6" x14ac:dyDescent="0.35">
      <c r="B59" s="189" t="str">
        <f t="shared" si="3"/>
        <v xml:space="preserve"> </v>
      </c>
      <c r="C59" s="190" t="str">
        <f t="shared" si="0"/>
        <v xml:space="preserve"> </v>
      </c>
      <c r="D59" s="190" t="str">
        <f t="shared" si="1"/>
        <v xml:space="preserve"> </v>
      </c>
      <c r="E59" s="190" t="str">
        <f t="shared" si="7"/>
        <v xml:space="preserve"> </v>
      </c>
      <c r="F59" s="190" t="str">
        <f t="shared" si="8"/>
        <v xml:space="preserve"> </v>
      </c>
    </row>
    <row r="60" spans="2:6" x14ac:dyDescent="0.35">
      <c r="B60" s="189" t="str">
        <f t="shared" si="3"/>
        <v xml:space="preserve"> </v>
      </c>
      <c r="C60" s="190" t="str">
        <f t="shared" si="0"/>
        <v xml:space="preserve"> </v>
      </c>
      <c r="D60" s="190" t="str">
        <f t="shared" si="1"/>
        <v xml:space="preserve"> </v>
      </c>
      <c r="E60" s="190" t="str">
        <f t="shared" si="7"/>
        <v xml:space="preserve"> </v>
      </c>
      <c r="F60" s="190" t="str">
        <f t="shared" si="8"/>
        <v xml:space="preserve"> </v>
      </c>
    </row>
    <row r="61" spans="2:6" x14ac:dyDescent="0.35">
      <c r="B61" s="189" t="str">
        <f t="shared" si="3"/>
        <v xml:space="preserve"> </v>
      </c>
      <c r="C61" s="190" t="str">
        <f t="shared" si="0"/>
        <v xml:space="preserve"> </v>
      </c>
      <c r="D61" s="190" t="str">
        <f t="shared" si="1"/>
        <v xml:space="preserve"> </v>
      </c>
      <c r="E61" s="190" t="str">
        <f t="shared" si="7"/>
        <v xml:space="preserve"> </v>
      </c>
      <c r="F61" s="190" t="str">
        <f t="shared" si="8"/>
        <v xml:space="preserve"> </v>
      </c>
    </row>
    <row r="62" spans="2:6" x14ac:dyDescent="0.35">
      <c r="B62" s="189" t="str">
        <f t="shared" si="3"/>
        <v xml:space="preserve"> </v>
      </c>
      <c r="C62" s="190" t="str">
        <f t="shared" si="0"/>
        <v xml:space="preserve"> </v>
      </c>
      <c r="D62" s="190" t="str">
        <f t="shared" si="1"/>
        <v xml:space="preserve"> </v>
      </c>
      <c r="E62" s="190" t="str">
        <f t="shared" si="7"/>
        <v xml:space="preserve"> </v>
      </c>
      <c r="F62" s="190" t="str">
        <f t="shared" si="8"/>
        <v xml:space="preserve"> </v>
      </c>
    </row>
    <row r="63" spans="2:6" x14ac:dyDescent="0.35">
      <c r="B63" s="189" t="str">
        <f t="shared" si="3"/>
        <v xml:space="preserve"> </v>
      </c>
      <c r="C63" s="190" t="str">
        <f t="shared" si="0"/>
        <v xml:space="preserve"> </v>
      </c>
      <c r="D63" s="190" t="str">
        <f t="shared" si="1"/>
        <v xml:space="preserve"> </v>
      </c>
      <c r="E63" s="190" t="str">
        <f t="shared" si="7"/>
        <v xml:space="preserve"> </v>
      </c>
      <c r="F63" s="190" t="str">
        <f t="shared" si="8"/>
        <v xml:space="preserve"> </v>
      </c>
    </row>
    <row r="64" spans="2:6" x14ac:dyDescent="0.35">
      <c r="B64" s="189" t="str">
        <f t="shared" si="3"/>
        <v xml:space="preserve"> </v>
      </c>
      <c r="C64" s="190" t="str">
        <f t="shared" si="0"/>
        <v xml:space="preserve"> </v>
      </c>
      <c r="D64" s="190" t="str">
        <f t="shared" si="1"/>
        <v xml:space="preserve"> </v>
      </c>
      <c r="E64" s="190" t="str">
        <f t="shared" si="7"/>
        <v xml:space="preserve"> </v>
      </c>
      <c r="F64" s="190" t="str">
        <f t="shared" si="8"/>
        <v xml:space="preserve"> </v>
      </c>
    </row>
    <row r="65" spans="2:6" x14ac:dyDescent="0.35">
      <c r="B65" s="189" t="str">
        <f t="shared" si="3"/>
        <v xml:space="preserve"> </v>
      </c>
      <c r="C65" s="190" t="str">
        <f t="shared" si="0"/>
        <v xml:space="preserve"> </v>
      </c>
      <c r="D65" s="190" t="str">
        <f t="shared" si="1"/>
        <v xml:space="preserve"> </v>
      </c>
      <c r="E65" s="190" t="str">
        <f t="shared" si="7"/>
        <v xml:space="preserve"> </v>
      </c>
      <c r="F65" s="190" t="str">
        <f t="shared" si="8"/>
        <v xml:space="preserve"> </v>
      </c>
    </row>
    <row r="66" spans="2:6" x14ac:dyDescent="0.35">
      <c r="B66" s="189" t="str">
        <f t="shared" si="3"/>
        <v xml:space="preserve"> </v>
      </c>
      <c r="C66" s="190" t="str">
        <f t="shared" si="0"/>
        <v xml:space="preserve"> </v>
      </c>
      <c r="D66" s="190" t="str">
        <f t="shared" si="1"/>
        <v xml:space="preserve"> </v>
      </c>
      <c r="E66" s="190" t="str">
        <f t="shared" si="7"/>
        <v xml:space="preserve"> </v>
      </c>
      <c r="F66" s="190" t="str">
        <f t="shared" si="8"/>
        <v xml:space="preserve"> </v>
      </c>
    </row>
    <row r="67" spans="2:6" x14ac:dyDescent="0.35">
      <c r="B67" s="189" t="str">
        <f t="shared" si="3"/>
        <v xml:space="preserve"> </v>
      </c>
      <c r="C67" s="190" t="str">
        <f t="shared" si="0"/>
        <v xml:space="preserve"> </v>
      </c>
      <c r="D67" s="190" t="str">
        <f t="shared" si="1"/>
        <v xml:space="preserve"> </v>
      </c>
      <c r="E67" s="190" t="str">
        <f t="shared" si="7"/>
        <v xml:space="preserve"> </v>
      </c>
      <c r="F67" s="190" t="str">
        <f t="shared" si="8"/>
        <v xml:space="preserve"> </v>
      </c>
    </row>
    <row r="68" spans="2:6" x14ac:dyDescent="0.35">
      <c r="B68" s="189" t="str">
        <f t="shared" si="3"/>
        <v xml:space="preserve"> </v>
      </c>
      <c r="C68" s="190" t="str">
        <f t="shared" si="0"/>
        <v xml:space="preserve"> </v>
      </c>
      <c r="D68" s="190" t="str">
        <f t="shared" si="1"/>
        <v xml:space="preserve"> </v>
      </c>
      <c r="E68" s="190" t="str">
        <f t="shared" si="7"/>
        <v xml:space="preserve"> </v>
      </c>
      <c r="F68" s="190" t="str">
        <f t="shared" si="8"/>
        <v xml:space="preserve"> </v>
      </c>
    </row>
    <row r="69" spans="2:6" x14ac:dyDescent="0.35">
      <c r="B69" s="189" t="str">
        <f t="shared" si="3"/>
        <v xml:space="preserve"> </v>
      </c>
      <c r="C69" s="190" t="str">
        <f t="shared" si="0"/>
        <v xml:space="preserve"> </v>
      </c>
      <c r="D69" s="190" t="str">
        <f t="shared" si="1"/>
        <v xml:space="preserve"> </v>
      </c>
      <c r="E69" s="190" t="str">
        <f t="shared" si="7"/>
        <v xml:space="preserve"> </v>
      </c>
      <c r="F69" s="190" t="str">
        <f t="shared" si="8"/>
        <v xml:space="preserve"> </v>
      </c>
    </row>
    <row r="70" spans="2:6" x14ac:dyDescent="0.35">
      <c r="B70" s="189" t="str">
        <f t="shared" si="3"/>
        <v xml:space="preserve"> </v>
      </c>
      <c r="C70" s="190" t="str">
        <f t="shared" si="0"/>
        <v xml:space="preserve"> </v>
      </c>
      <c r="D70" s="190" t="str">
        <f t="shared" si="1"/>
        <v xml:space="preserve"> </v>
      </c>
      <c r="E70" s="190" t="str">
        <f t="shared" si="7"/>
        <v xml:space="preserve"> </v>
      </c>
      <c r="F70" s="190" t="str">
        <f t="shared" si="8"/>
        <v xml:space="preserve"> </v>
      </c>
    </row>
    <row r="71" spans="2:6" x14ac:dyDescent="0.35">
      <c r="B71" s="189" t="str">
        <f t="shared" si="3"/>
        <v xml:space="preserve"> </v>
      </c>
      <c r="C71" s="190" t="str">
        <f t="shared" si="0"/>
        <v xml:space="preserve"> </v>
      </c>
      <c r="D71" s="190" t="str">
        <f t="shared" si="1"/>
        <v xml:space="preserve"> </v>
      </c>
      <c r="E71" s="190" t="str">
        <f t="shared" si="7"/>
        <v xml:space="preserve"> </v>
      </c>
      <c r="F71" s="190" t="str">
        <f t="shared" si="8"/>
        <v xml:space="preserve"> </v>
      </c>
    </row>
    <row r="72" spans="2:6" x14ac:dyDescent="0.35">
      <c r="B72" s="189" t="str">
        <f t="shared" si="3"/>
        <v xml:space="preserve"> </v>
      </c>
      <c r="C72" s="190" t="str">
        <f t="shared" si="0"/>
        <v xml:space="preserve"> </v>
      </c>
      <c r="D72" s="190" t="str">
        <f t="shared" si="1"/>
        <v xml:space="preserve"> </v>
      </c>
      <c r="E72" s="190" t="str">
        <f t="shared" si="7"/>
        <v xml:space="preserve"> </v>
      </c>
      <c r="F72" s="190" t="str">
        <f t="shared" si="8"/>
        <v xml:space="preserve"> </v>
      </c>
    </row>
    <row r="73" spans="2:6" x14ac:dyDescent="0.35">
      <c r="B73" s="189" t="str">
        <f t="shared" si="3"/>
        <v xml:space="preserve"> </v>
      </c>
      <c r="C73" s="190" t="str">
        <f t="shared" si="0"/>
        <v xml:space="preserve"> </v>
      </c>
      <c r="D73" s="190" t="str">
        <f t="shared" si="1"/>
        <v xml:space="preserve"> </v>
      </c>
      <c r="E73" s="190" t="str">
        <f t="shared" si="7"/>
        <v xml:space="preserve"> </v>
      </c>
      <c r="F73" s="190" t="str">
        <f t="shared" si="8"/>
        <v xml:space="preserve"> </v>
      </c>
    </row>
    <row r="74" spans="2:6" x14ac:dyDescent="0.35">
      <c r="B74" s="189" t="str">
        <f t="shared" si="3"/>
        <v xml:space="preserve"> </v>
      </c>
      <c r="C74" s="190" t="str">
        <f t="shared" si="0"/>
        <v xml:space="preserve"> </v>
      </c>
      <c r="D74" s="190" t="str">
        <f t="shared" si="1"/>
        <v xml:space="preserve"> </v>
      </c>
      <c r="E74" s="190" t="str">
        <f t="shared" si="7"/>
        <v xml:space="preserve"> </v>
      </c>
      <c r="F74" s="190" t="str">
        <f t="shared" si="8"/>
        <v xml:space="preserve"> </v>
      </c>
    </row>
    <row r="75" spans="2:6" x14ac:dyDescent="0.35">
      <c r="B75" s="189" t="str">
        <f t="shared" si="3"/>
        <v xml:space="preserve"> </v>
      </c>
      <c r="C75" s="190" t="str">
        <f t="shared" si="0"/>
        <v xml:space="preserve"> </v>
      </c>
      <c r="D75" s="190" t="str">
        <f t="shared" si="1"/>
        <v xml:space="preserve"> </v>
      </c>
      <c r="E75" s="190" t="str">
        <f t="shared" si="7"/>
        <v xml:space="preserve"> </v>
      </c>
      <c r="F75" s="190" t="str">
        <f t="shared" si="8"/>
        <v xml:space="preserve"> </v>
      </c>
    </row>
    <row r="76" spans="2:6" x14ac:dyDescent="0.35">
      <c r="B76" s="189" t="str">
        <f t="shared" si="3"/>
        <v xml:space="preserve"> </v>
      </c>
      <c r="C76" s="190" t="str">
        <f t="shared" ref="C76:C139" si="9">IF(($B76&lt;=$F$8),IF($AK$14=1,PMT($G$6,$F$8,-MONTO),D76+E76)," ")</f>
        <v xml:space="preserve"> </v>
      </c>
      <c r="D76" s="190" t="str">
        <f t="shared" ref="D76:D139" si="10">IF(($B76&lt;=$F$8),$F75*INTERES," ")</f>
        <v xml:space="preserve"> </v>
      </c>
      <c r="E76" s="190" t="str">
        <f t="shared" si="7"/>
        <v xml:space="preserve"> </v>
      </c>
      <c r="F76" s="190" t="str">
        <f t="shared" si="8"/>
        <v xml:space="preserve"> </v>
      </c>
    </row>
    <row r="77" spans="2:6" x14ac:dyDescent="0.35">
      <c r="B77" s="189" t="str">
        <f t="shared" ref="B77:B140" si="11">IF((B76&lt;$F$8),B76+1," ")</f>
        <v xml:space="preserve"> </v>
      </c>
      <c r="C77" s="190" t="str">
        <f t="shared" si="9"/>
        <v xml:space="preserve"> </v>
      </c>
      <c r="D77" s="190" t="str">
        <f t="shared" si="10"/>
        <v xml:space="preserve"> </v>
      </c>
      <c r="E77" s="190" t="str">
        <f t="shared" si="7"/>
        <v xml:space="preserve"> </v>
      </c>
      <c r="F77" s="190" t="str">
        <f t="shared" si="8"/>
        <v xml:space="preserve"> </v>
      </c>
    </row>
    <row r="78" spans="2:6" x14ac:dyDescent="0.35">
      <c r="B78" s="189" t="str">
        <f t="shared" si="11"/>
        <v xml:space="preserve"> </v>
      </c>
      <c r="C78" s="190" t="str">
        <f t="shared" si="9"/>
        <v xml:space="preserve"> </v>
      </c>
      <c r="D78" s="190" t="str">
        <f t="shared" si="10"/>
        <v xml:space="preserve"> </v>
      </c>
      <c r="E78" s="190" t="str">
        <f t="shared" si="7"/>
        <v xml:space="preserve"> </v>
      </c>
      <c r="F78" s="190" t="str">
        <f t="shared" si="8"/>
        <v xml:space="preserve"> </v>
      </c>
    </row>
    <row r="79" spans="2:6" x14ac:dyDescent="0.35">
      <c r="B79" s="189" t="str">
        <f t="shared" si="11"/>
        <v xml:space="preserve"> </v>
      </c>
      <c r="C79" s="190" t="str">
        <f t="shared" si="9"/>
        <v xml:space="preserve"> </v>
      </c>
      <c r="D79" s="190" t="str">
        <f t="shared" si="10"/>
        <v xml:space="preserve"> </v>
      </c>
      <c r="E79" s="190" t="str">
        <f t="shared" si="7"/>
        <v xml:space="preserve"> </v>
      </c>
      <c r="F79" s="190" t="str">
        <f t="shared" si="8"/>
        <v xml:space="preserve"> </v>
      </c>
    </row>
    <row r="80" spans="2:6" x14ac:dyDescent="0.35">
      <c r="B80" s="189" t="str">
        <f t="shared" si="11"/>
        <v xml:space="preserve"> </v>
      </c>
      <c r="C80" s="190" t="str">
        <f t="shared" si="9"/>
        <v xml:space="preserve"> </v>
      </c>
      <c r="D80" s="190" t="str">
        <f t="shared" si="10"/>
        <v xml:space="preserve"> </v>
      </c>
      <c r="E80" s="190" t="str">
        <f t="shared" si="7"/>
        <v xml:space="preserve"> </v>
      </c>
      <c r="F80" s="190" t="str">
        <f t="shared" si="8"/>
        <v xml:space="preserve"> </v>
      </c>
    </row>
    <row r="81" spans="2:6" x14ac:dyDescent="0.35">
      <c r="B81" s="189" t="str">
        <f t="shared" si="11"/>
        <v xml:space="preserve"> </v>
      </c>
      <c r="C81" s="190" t="str">
        <f t="shared" si="9"/>
        <v xml:space="preserve"> </v>
      </c>
      <c r="D81" s="190" t="str">
        <f t="shared" si="10"/>
        <v xml:space="preserve"> </v>
      </c>
      <c r="E81" s="190" t="str">
        <f t="shared" si="7"/>
        <v xml:space="preserve"> </v>
      </c>
      <c r="F81" s="190" t="str">
        <f t="shared" si="8"/>
        <v xml:space="preserve"> </v>
      </c>
    </row>
    <row r="82" spans="2:6" x14ac:dyDescent="0.35">
      <c r="B82" s="189" t="str">
        <f t="shared" si="11"/>
        <v xml:space="preserve"> </v>
      </c>
      <c r="C82" s="190" t="str">
        <f t="shared" si="9"/>
        <v xml:space="preserve"> </v>
      </c>
      <c r="D82" s="190" t="str">
        <f t="shared" si="10"/>
        <v xml:space="preserve"> </v>
      </c>
      <c r="E82" s="190" t="str">
        <f t="shared" si="7"/>
        <v xml:space="preserve"> </v>
      </c>
      <c r="F82" s="190" t="str">
        <f t="shared" si="8"/>
        <v xml:space="preserve"> </v>
      </c>
    </row>
    <row r="83" spans="2:6" x14ac:dyDescent="0.35">
      <c r="B83" s="189" t="str">
        <f t="shared" si="11"/>
        <v xml:space="preserve"> </v>
      </c>
      <c r="C83" s="190" t="str">
        <f t="shared" si="9"/>
        <v xml:space="preserve"> </v>
      </c>
      <c r="D83" s="190" t="str">
        <f t="shared" si="10"/>
        <v xml:space="preserve"> </v>
      </c>
      <c r="E83" s="190" t="str">
        <f t="shared" si="7"/>
        <v xml:space="preserve"> </v>
      </c>
      <c r="F83" s="190" t="str">
        <f t="shared" si="8"/>
        <v xml:space="preserve"> </v>
      </c>
    </row>
    <row r="84" spans="2:6" x14ac:dyDescent="0.35">
      <c r="B84" s="189" t="str">
        <f t="shared" si="11"/>
        <v xml:space="preserve"> </v>
      </c>
      <c r="C84" s="190" t="str">
        <f t="shared" si="9"/>
        <v xml:space="preserve"> </v>
      </c>
      <c r="D84" s="190" t="str">
        <f t="shared" si="10"/>
        <v xml:space="preserve"> </v>
      </c>
      <c r="E84" s="190" t="str">
        <f t="shared" si="7"/>
        <v xml:space="preserve"> </v>
      </c>
      <c r="F84" s="190" t="str">
        <f t="shared" si="8"/>
        <v xml:space="preserve"> </v>
      </c>
    </row>
    <row r="85" spans="2:6" x14ac:dyDescent="0.35">
      <c r="B85" s="189" t="str">
        <f t="shared" si="11"/>
        <v xml:space="preserve"> </v>
      </c>
      <c r="C85" s="190" t="str">
        <f t="shared" si="9"/>
        <v xml:space="preserve"> </v>
      </c>
      <c r="D85" s="190" t="str">
        <f t="shared" si="10"/>
        <v xml:space="preserve"> </v>
      </c>
      <c r="E85" s="190" t="str">
        <f t="shared" si="7"/>
        <v xml:space="preserve"> </v>
      </c>
      <c r="F85" s="190" t="str">
        <f t="shared" si="8"/>
        <v xml:space="preserve"> </v>
      </c>
    </row>
    <row r="86" spans="2:6" x14ac:dyDescent="0.35">
      <c r="B86" s="189" t="str">
        <f t="shared" si="11"/>
        <v xml:space="preserve"> </v>
      </c>
      <c r="C86" s="190" t="str">
        <f t="shared" si="9"/>
        <v xml:space="preserve"> </v>
      </c>
      <c r="D86" s="190" t="str">
        <f t="shared" si="10"/>
        <v xml:space="preserve"> </v>
      </c>
      <c r="E86" s="190" t="str">
        <f t="shared" ref="E86:E149" si="12">IF(($B86&lt;=$F$8),IF($AK$14=1,C86-D86,$F$5/$F$8)," ")</f>
        <v xml:space="preserve"> </v>
      </c>
      <c r="F86" s="190" t="str">
        <f t="shared" ref="F86:F149" si="13">IF(($B86&lt;=$F$8),F85-E86," ")</f>
        <v xml:space="preserve"> </v>
      </c>
    </row>
    <row r="87" spans="2:6" x14ac:dyDescent="0.35">
      <c r="B87" s="189" t="str">
        <f t="shared" si="11"/>
        <v xml:space="preserve"> </v>
      </c>
      <c r="C87" s="190" t="str">
        <f t="shared" si="9"/>
        <v xml:space="preserve"> </v>
      </c>
      <c r="D87" s="190" t="str">
        <f t="shared" si="10"/>
        <v xml:space="preserve"> </v>
      </c>
      <c r="E87" s="190" t="str">
        <f t="shared" si="12"/>
        <v xml:space="preserve"> </v>
      </c>
      <c r="F87" s="190" t="str">
        <f t="shared" si="13"/>
        <v xml:space="preserve"> </v>
      </c>
    </row>
    <row r="88" spans="2:6" x14ac:dyDescent="0.35">
      <c r="B88" s="189" t="str">
        <f t="shared" si="11"/>
        <v xml:space="preserve"> </v>
      </c>
      <c r="C88" s="190" t="str">
        <f t="shared" si="9"/>
        <v xml:space="preserve"> </v>
      </c>
      <c r="D88" s="190" t="str">
        <f t="shared" si="10"/>
        <v xml:space="preserve"> </v>
      </c>
      <c r="E88" s="190" t="str">
        <f t="shared" si="12"/>
        <v xml:space="preserve"> </v>
      </c>
      <c r="F88" s="190" t="str">
        <f t="shared" si="13"/>
        <v xml:space="preserve"> </v>
      </c>
    </row>
    <row r="89" spans="2:6" x14ac:dyDescent="0.35">
      <c r="B89" s="189" t="str">
        <f t="shared" si="11"/>
        <v xml:space="preserve"> </v>
      </c>
      <c r="C89" s="190" t="str">
        <f t="shared" si="9"/>
        <v xml:space="preserve"> </v>
      </c>
      <c r="D89" s="190" t="str">
        <f t="shared" si="10"/>
        <v xml:space="preserve"> </v>
      </c>
      <c r="E89" s="190" t="str">
        <f t="shared" si="12"/>
        <v xml:space="preserve"> </v>
      </c>
      <c r="F89" s="190" t="str">
        <f t="shared" si="13"/>
        <v xml:space="preserve"> </v>
      </c>
    </row>
    <row r="90" spans="2:6" x14ac:dyDescent="0.35">
      <c r="B90" s="189" t="str">
        <f t="shared" si="11"/>
        <v xml:space="preserve"> </v>
      </c>
      <c r="C90" s="190" t="str">
        <f t="shared" si="9"/>
        <v xml:space="preserve"> </v>
      </c>
      <c r="D90" s="190" t="str">
        <f t="shared" si="10"/>
        <v xml:space="preserve"> </v>
      </c>
      <c r="E90" s="190" t="str">
        <f t="shared" si="12"/>
        <v xml:space="preserve"> </v>
      </c>
      <c r="F90" s="190" t="str">
        <f t="shared" si="13"/>
        <v xml:space="preserve"> </v>
      </c>
    </row>
    <row r="91" spans="2:6" x14ac:dyDescent="0.35">
      <c r="B91" s="189" t="str">
        <f t="shared" si="11"/>
        <v xml:space="preserve"> </v>
      </c>
      <c r="C91" s="190" t="str">
        <f t="shared" si="9"/>
        <v xml:space="preserve"> </v>
      </c>
      <c r="D91" s="190" t="str">
        <f t="shared" si="10"/>
        <v xml:space="preserve"> </v>
      </c>
      <c r="E91" s="190" t="str">
        <f t="shared" si="12"/>
        <v xml:space="preserve"> </v>
      </c>
      <c r="F91" s="190" t="str">
        <f t="shared" si="13"/>
        <v xml:space="preserve"> </v>
      </c>
    </row>
    <row r="92" spans="2:6" x14ac:dyDescent="0.35">
      <c r="B92" s="189" t="str">
        <f t="shared" si="11"/>
        <v xml:space="preserve"> </v>
      </c>
      <c r="C92" s="190" t="str">
        <f t="shared" si="9"/>
        <v xml:space="preserve"> </v>
      </c>
      <c r="D92" s="190" t="str">
        <f t="shared" si="10"/>
        <v xml:space="preserve"> </v>
      </c>
      <c r="E92" s="190" t="str">
        <f t="shared" si="12"/>
        <v xml:space="preserve"> </v>
      </c>
      <c r="F92" s="190" t="str">
        <f t="shared" si="13"/>
        <v xml:space="preserve"> </v>
      </c>
    </row>
    <row r="93" spans="2:6" x14ac:dyDescent="0.35">
      <c r="B93" s="189" t="str">
        <f t="shared" si="11"/>
        <v xml:space="preserve"> </v>
      </c>
      <c r="C93" s="190" t="str">
        <f t="shared" si="9"/>
        <v xml:space="preserve"> </v>
      </c>
      <c r="D93" s="190" t="str">
        <f t="shared" si="10"/>
        <v xml:space="preserve"> </v>
      </c>
      <c r="E93" s="190" t="str">
        <f t="shared" si="12"/>
        <v xml:space="preserve"> </v>
      </c>
      <c r="F93" s="190" t="str">
        <f t="shared" si="13"/>
        <v xml:space="preserve"> </v>
      </c>
    </row>
    <row r="94" spans="2:6" x14ac:dyDescent="0.35">
      <c r="B94" s="189" t="str">
        <f t="shared" si="11"/>
        <v xml:space="preserve"> </v>
      </c>
      <c r="C94" s="190" t="str">
        <f t="shared" si="9"/>
        <v xml:space="preserve"> </v>
      </c>
      <c r="D94" s="190" t="str">
        <f t="shared" si="10"/>
        <v xml:space="preserve"> </v>
      </c>
      <c r="E94" s="190" t="str">
        <f t="shared" si="12"/>
        <v xml:space="preserve"> </v>
      </c>
      <c r="F94" s="190" t="str">
        <f t="shared" si="13"/>
        <v xml:space="preserve"> </v>
      </c>
    </row>
    <row r="95" spans="2:6" x14ac:dyDescent="0.35">
      <c r="B95" s="189" t="str">
        <f t="shared" si="11"/>
        <v xml:space="preserve"> </v>
      </c>
      <c r="C95" s="190" t="str">
        <f t="shared" si="9"/>
        <v xml:space="preserve"> </v>
      </c>
      <c r="D95" s="190" t="str">
        <f t="shared" si="10"/>
        <v xml:space="preserve"> </v>
      </c>
      <c r="E95" s="190" t="str">
        <f t="shared" si="12"/>
        <v xml:space="preserve"> </v>
      </c>
      <c r="F95" s="190" t="str">
        <f t="shared" si="13"/>
        <v xml:space="preserve"> </v>
      </c>
    </row>
    <row r="96" spans="2:6" x14ac:dyDescent="0.35">
      <c r="B96" s="189" t="str">
        <f t="shared" si="11"/>
        <v xml:space="preserve"> </v>
      </c>
      <c r="C96" s="190" t="str">
        <f t="shared" si="9"/>
        <v xml:space="preserve"> </v>
      </c>
      <c r="D96" s="190" t="str">
        <f t="shared" si="10"/>
        <v xml:space="preserve"> </v>
      </c>
      <c r="E96" s="190" t="str">
        <f t="shared" si="12"/>
        <v xml:space="preserve"> </v>
      </c>
      <c r="F96" s="190" t="str">
        <f t="shared" si="13"/>
        <v xml:space="preserve"> </v>
      </c>
    </row>
    <row r="97" spans="2:6" x14ac:dyDescent="0.35">
      <c r="B97" s="189" t="str">
        <f t="shared" si="11"/>
        <v xml:space="preserve"> </v>
      </c>
      <c r="C97" s="190" t="str">
        <f t="shared" si="9"/>
        <v xml:space="preserve"> </v>
      </c>
      <c r="D97" s="190" t="str">
        <f t="shared" si="10"/>
        <v xml:space="preserve"> </v>
      </c>
      <c r="E97" s="190" t="str">
        <f t="shared" si="12"/>
        <v xml:space="preserve"> </v>
      </c>
      <c r="F97" s="190" t="str">
        <f t="shared" si="13"/>
        <v xml:space="preserve"> </v>
      </c>
    </row>
    <row r="98" spans="2:6" x14ac:dyDescent="0.35">
      <c r="B98" s="189" t="str">
        <f t="shared" si="11"/>
        <v xml:space="preserve"> </v>
      </c>
      <c r="C98" s="190" t="str">
        <f t="shared" si="9"/>
        <v xml:space="preserve"> </v>
      </c>
      <c r="D98" s="190" t="str">
        <f t="shared" si="10"/>
        <v xml:space="preserve"> </v>
      </c>
      <c r="E98" s="190" t="str">
        <f t="shared" si="12"/>
        <v xml:space="preserve"> </v>
      </c>
      <c r="F98" s="190" t="str">
        <f t="shared" si="13"/>
        <v xml:space="preserve"> </v>
      </c>
    </row>
    <row r="99" spans="2:6" x14ac:dyDescent="0.35">
      <c r="B99" s="189" t="str">
        <f t="shared" si="11"/>
        <v xml:space="preserve"> </v>
      </c>
      <c r="C99" s="190" t="str">
        <f t="shared" si="9"/>
        <v xml:space="preserve"> </v>
      </c>
      <c r="D99" s="190" t="str">
        <f t="shared" si="10"/>
        <v xml:space="preserve"> </v>
      </c>
      <c r="E99" s="190" t="str">
        <f t="shared" si="12"/>
        <v xml:space="preserve"> </v>
      </c>
      <c r="F99" s="190" t="str">
        <f t="shared" si="13"/>
        <v xml:space="preserve"> </v>
      </c>
    </row>
    <row r="100" spans="2:6" x14ac:dyDescent="0.35">
      <c r="B100" s="189" t="str">
        <f t="shared" si="11"/>
        <v xml:space="preserve"> </v>
      </c>
      <c r="C100" s="190" t="str">
        <f t="shared" si="9"/>
        <v xml:space="preserve"> </v>
      </c>
      <c r="D100" s="190" t="str">
        <f t="shared" si="10"/>
        <v xml:space="preserve"> </v>
      </c>
      <c r="E100" s="190" t="str">
        <f t="shared" si="12"/>
        <v xml:space="preserve"> </v>
      </c>
      <c r="F100" s="190" t="str">
        <f t="shared" si="13"/>
        <v xml:space="preserve"> </v>
      </c>
    </row>
    <row r="101" spans="2:6" x14ac:dyDescent="0.35">
      <c r="B101" s="189" t="str">
        <f t="shared" si="11"/>
        <v xml:space="preserve"> </v>
      </c>
      <c r="C101" s="190" t="str">
        <f t="shared" si="9"/>
        <v xml:space="preserve"> </v>
      </c>
      <c r="D101" s="190" t="str">
        <f t="shared" si="10"/>
        <v xml:space="preserve"> </v>
      </c>
      <c r="E101" s="190" t="str">
        <f t="shared" si="12"/>
        <v xml:space="preserve"> </v>
      </c>
      <c r="F101" s="190" t="str">
        <f t="shared" si="13"/>
        <v xml:space="preserve"> </v>
      </c>
    </row>
    <row r="102" spans="2:6" x14ac:dyDescent="0.35">
      <c r="B102" s="189" t="str">
        <f t="shared" si="11"/>
        <v xml:space="preserve"> </v>
      </c>
      <c r="C102" s="190" t="str">
        <f t="shared" si="9"/>
        <v xml:space="preserve"> </v>
      </c>
      <c r="D102" s="190" t="str">
        <f t="shared" si="10"/>
        <v xml:space="preserve"> </v>
      </c>
      <c r="E102" s="190" t="str">
        <f t="shared" si="12"/>
        <v xml:space="preserve"> </v>
      </c>
      <c r="F102" s="190" t="str">
        <f t="shared" si="13"/>
        <v xml:space="preserve"> </v>
      </c>
    </row>
    <row r="103" spans="2:6" x14ac:dyDescent="0.35">
      <c r="B103" s="189" t="str">
        <f t="shared" si="11"/>
        <v xml:space="preserve"> </v>
      </c>
      <c r="C103" s="190" t="str">
        <f t="shared" si="9"/>
        <v xml:space="preserve"> </v>
      </c>
      <c r="D103" s="190" t="str">
        <f t="shared" si="10"/>
        <v xml:space="preserve"> </v>
      </c>
      <c r="E103" s="190" t="str">
        <f t="shared" si="12"/>
        <v xml:space="preserve"> </v>
      </c>
      <c r="F103" s="190" t="str">
        <f t="shared" si="13"/>
        <v xml:space="preserve"> </v>
      </c>
    </row>
    <row r="104" spans="2:6" x14ac:dyDescent="0.35">
      <c r="B104" s="189" t="str">
        <f t="shared" si="11"/>
        <v xml:space="preserve"> </v>
      </c>
      <c r="C104" s="190" t="str">
        <f t="shared" si="9"/>
        <v xml:space="preserve"> </v>
      </c>
      <c r="D104" s="190" t="str">
        <f t="shared" si="10"/>
        <v xml:space="preserve"> </v>
      </c>
      <c r="E104" s="190" t="str">
        <f t="shared" si="12"/>
        <v xml:space="preserve"> </v>
      </c>
      <c r="F104" s="190" t="str">
        <f t="shared" si="13"/>
        <v xml:space="preserve"> </v>
      </c>
    </row>
    <row r="105" spans="2:6" x14ac:dyDescent="0.35">
      <c r="B105" s="189" t="str">
        <f t="shared" si="11"/>
        <v xml:space="preserve"> </v>
      </c>
      <c r="C105" s="190" t="str">
        <f t="shared" si="9"/>
        <v xml:space="preserve"> </v>
      </c>
      <c r="D105" s="190" t="str">
        <f t="shared" si="10"/>
        <v xml:space="preserve"> </v>
      </c>
      <c r="E105" s="190" t="str">
        <f t="shared" si="12"/>
        <v xml:space="preserve"> </v>
      </c>
      <c r="F105" s="190" t="str">
        <f t="shared" si="13"/>
        <v xml:space="preserve"> </v>
      </c>
    </row>
    <row r="106" spans="2:6" x14ac:dyDescent="0.35">
      <c r="B106" s="189" t="str">
        <f t="shared" si="11"/>
        <v xml:space="preserve"> </v>
      </c>
      <c r="C106" s="190" t="str">
        <f t="shared" si="9"/>
        <v xml:space="preserve"> </v>
      </c>
      <c r="D106" s="190" t="str">
        <f t="shared" si="10"/>
        <v xml:space="preserve"> </v>
      </c>
      <c r="E106" s="190" t="str">
        <f t="shared" si="12"/>
        <v xml:space="preserve"> </v>
      </c>
      <c r="F106" s="190" t="str">
        <f t="shared" si="13"/>
        <v xml:space="preserve"> </v>
      </c>
    </row>
    <row r="107" spans="2:6" x14ac:dyDescent="0.35">
      <c r="B107" s="189" t="str">
        <f t="shared" si="11"/>
        <v xml:space="preserve"> </v>
      </c>
      <c r="C107" s="190" t="str">
        <f t="shared" si="9"/>
        <v xml:space="preserve"> </v>
      </c>
      <c r="D107" s="190" t="str">
        <f t="shared" si="10"/>
        <v xml:space="preserve"> </v>
      </c>
      <c r="E107" s="190" t="str">
        <f t="shared" si="12"/>
        <v xml:space="preserve"> </v>
      </c>
      <c r="F107" s="190" t="str">
        <f t="shared" si="13"/>
        <v xml:space="preserve"> </v>
      </c>
    </row>
    <row r="108" spans="2:6" x14ac:dyDescent="0.35">
      <c r="B108" s="189" t="str">
        <f t="shared" si="11"/>
        <v xml:space="preserve"> </v>
      </c>
      <c r="C108" s="190" t="str">
        <f t="shared" si="9"/>
        <v xml:space="preserve"> </v>
      </c>
      <c r="D108" s="190" t="str">
        <f t="shared" si="10"/>
        <v xml:space="preserve"> </v>
      </c>
      <c r="E108" s="190" t="str">
        <f t="shared" si="12"/>
        <v xml:space="preserve"> </v>
      </c>
      <c r="F108" s="190" t="str">
        <f t="shared" si="13"/>
        <v xml:space="preserve"> </v>
      </c>
    </row>
    <row r="109" spans="2:6" x14ac:dyDescent="0.35">
      <c r="B109" s="189" t="str">
        <f t="shared" si="11"/>
        <v xml:space="preserve"> </v>
      </c>
      <c r="C109" s="190" t="str">
        <f t="shared" si="9"/>
        <v xml:space="preserve"> </v>
      </c>
      <c r="D109" s="190" t="str">
        <f t="shared" si="10"/>
        <v xml:space="preserve"> </v>
      </c>
      <c r="E109" s="190" t="str">
        <f t="shared" si="12"/>
        <v xml:space="preserve"> </v>
      </c>
      <c r="F109" s="190" t="str">
        <f t="shared" si="13"/>
        <v xml:space="preserve"> </v>
      </c>
    </row>
    <row r="110" spans="2:6" x14ac:dyDescent="0.35">
      <c r="B110" s="189" t="str">
        <f t="shared" si="11"/>
        <v xml:space="preserve"> </v>
      </c>
      <c r="C110" s="190" t="str">
        <f t="shared" si="9"/>
        <v xml:space="preserve"> </v>
      </c>
      <c r="D110" s="190" t="str">
        <f t="shared" si="10"/>
        <v xml:space="preserve"> </v>
      </c>
      <c r="E110" s="190" t="str">
        <f t="shared" si="12"/>
        <v xml:space="preserve"> </v>
      </c>
      <c r="F110" s="190" t="str">
        <f t="shared" si="13"/>
        <v xml:space="preserve"> </v>
      </c>
    </row>
    <row r="111" spans="2:6" x14ac:dyDescent="0.35">
      <c r="B111" s="189" t="str">
        <f t="shared" si="11"/>
        <v xml:space="preserve"> </v>
      </c>
      <c r="C111" s="190" t="str">
        <f t="shared" si="9"/>
        <v xml:space="preserve"> </v>
      </c>
      <c r="D111" s="190" t="str">
        <f t="shared" si="10"/>
        <v xml:space="preserve"> </v>
      </c>
      <c r="E111" s="190" t="str">
        <f t="shared" si="12"/>
        <v xml:space="preserve"> </v>
      </c>
      <c r="F111" s="190" t="str">
        <f t="shared" si="13"/>
        <v xml:space="preserve"> </v>
      </c>
    </row>
    <row r="112" spans="2:6" x14ac:dyDescent="0.35">
      <c r="B112" s="189" t="str">
        <f t="shared" si="11"/>
        <v xml:space="preserve"> </v>
      </c>
      <c r="C112" s="190" t="str">
        <f t="shared" si="9"/>
        <v xml:space="preserve"> </v>
      </c>
      <c r="D112" s="190" t="str">
        <f t="shared" si="10"/>
        <v xml:space="preserve"> </v>
      </c>
      <c r="E112" s="190" t="str">
        <f t="shared" si="12"/>
        <v xml:space="preserve"> </v>
      </c>
      <c r="F112" s="190" t="str">
        <f t="shared" si="13"/>
        <v xml:space="preserve"> </v>
      </c>
    </row>
    <row r="113" spans="2:6" x14ac:dyDescent="0.35">
      <c r="B113" s="189" t="str">
        <f t="shared" si="11"/>
        <v xml:space="preserve"> </v>
      </c>
      <c r="C113" s="190" t="str">
        <f t="shared" si="9"/>
        <v xml:space="preserve"> </v>
      </c>
      <c r="D113" s="190" t="str">
        <f t="shared" si="10"/>
        <v xml:space="preserve"> </v>
      </c>
      <c r="E113" s="190" t="str">
        <f t="shared" si="12"/>
        <v xml:space="preserve"> </v>
      </c>
      <c r="F113" s="190" t="str">
        <f t="shared" si="13"/>
        <v xml:space="preserve"> </v>
      </c>
    </row>
    <row r="114" spans="2:6" x14ac:dyDescent="0.35">
      <c r="B114" s="189" t="str">
        <f t="shared" si="11"/>
        <v xml:space="preserve"> </v>
      </c>
      <c r="C114" s="190" t="str">
        <f t="shared" si="9"/>
        <v xml:space="preserve"> </v>
      </c>
      <c r="D114" s="190" t="str">
        <f t="shared" si="10"/>
        <v xml:space="preserve"> </v>
      </c>
      <c r="E114" s="190" t="str">
        <f t="shared" si="12"/>
        <v xml:space="preserve"> </v>
      </c>
      <c r="F114" s="190" t="str">
        <f t="shared" si="13"/>
        <v xml:space="preserve"> </v>
      </c>
    </row>
    <row r="115" spans="2:6" x14ac:dyDescent="0.35">
      <c r="B115" s="189" t="str">
        <f t="shared" si="11"/>
        <v xml:space="preserve"> </v>
      </c>
      <c r="C115" s="190" t="str">
        <f t="shared" si="9"/>
        <v xml:space="preserve"> </v>
      </c>
      <c r="D115" s="190" t="str">
        <f t="shared" si="10"/>
        <v xml:space="preserve"> </v>
      </c>
      <c r="E115" s="190" t="str">
        <f t="shared" si="12"/>
        <v xml:space="preserve"> </v>
      </c>
      <c r="F115" s="190" t="str">
        <f t="shared" si="13"/>
        <v xml:space="preserve"> </v>
      </c>
    </row>
    <row r="116" spans="2:6" x14ac:dyDescent="0.35">
      <c r="B116" s="189" t="str">
        <f t="shared" si="11"/>
        <v xml:space="preserve"> </v>
      </c>
      <c r="C116" s="190" t="str">
        <f t="shared" si="9"/>
        <v xml:space="preserve"> </v>
      </c>
      <c r="D116" s="190" t="str">
        <f t="shared" si="10"/>
        <v xml:space="preserve"> </v>
      </c>
      <c r="E116" s="190" t="str">
        <f t="shared" si="12"/>
        <v xml:space="preserve"> </v>
      </c>
      <c r="F116" s="190" t="str">
        <f t="shared" si="13"/>
        <v xml:space="preserve"> </v>
      </c>
    </row>
    <row r="117" spans="2:6" x14ac:dyDescent="0.35">
      <c r="B117" s="189" t="str">
        <f t="shared" si="11"/>
        <v xml:space="preserve"> </v>
      </c>
      <c r="C117" s="190" t="str">
        <f t="shared" si="9"/>
        <v xml:space="preserve"> </v>
      </c>
      <c r="D117" s="190" t="str">
        <f t="shared" si="10"/>
        <v xml:space="preserve"> </v>
      </c>
      <c r="E117" s="190" t="str">
        <f t="shared" si="12"/>
        <v xml:space="preserve"> </v>
      </c>
      <c r="F117" s="190" t="str">
        <f t="shared" si="13"/>
        <v xml:space="preserve"> </v>
      </c>
    </row>
    <row r="118" spans="2:6" x14ac:dyDescent="0.35">
      <c r="B118" s="189" t="str">
        <f t="shared" si="11"/>
        <v xml:space="preserve"> </v>
      </c>
      <c r="C118" s="190" t="str">
        <f t="shared" si="9"/>
        <v xml:space="preserve"> </v>
      </c>
      <c r="D118" s="190" t="str">
        <f t="shared" si="10"/>
        <v xml:space="preserve"> </v>
      </c>
      <c r="E118" s="190" t="str">
        <f t="shared" si="12"/>
        <v xml:space="preserve"> </v>
      </c>
      <c r="F118" s="190" t="str">
        <f t="shared" si="13"/>
        <v xml:space="preserve"> </v>
      </c>
    </row>
    <row r="119" spans="2:6" x14ac:dyDescent="0.35">
      <c r="B119" s="189" t="str">
        <f t="shared" si="11"/>
        <v xml:space="preserve"> </v>
      </c>
      <c r="C119" s="190" t="str">
        <f t="shared" si="9"/>
        <v xml:space="preserve"> </v>
      </c>
      <c r="D119" s="190" t="str">
        <f t="shared" si="10"/>
        <v xml:space="preserve"> </v>
      </c>
      <c r="E119" s="190" t="str">
        <f t="shared" si="12"/>
        <v xml:space="preserve"> </v>
      </c>
      <c r="F119" s="190" t="str">
        <f t="shared" si="13"/>
        <v xml:space="preserve"> </v>
      </c>
    </row>
    <row r="120" spans="2:6" x14ac:dyDescent="0.35">
      <c r="B120" s="189" t="str">
        <f t="shared" si="11"/>
        <v xml:space="preserve"> </v>
      </c>
      <c r="C120" s="190" t="str">
        <f t="shared" si="9"/>
        <v xml:space="preserve"> </v>
      </c>
      <c r="D120" s="190" t="str">
        <f t="shared" si="10"/>
        <v xml:space="preserve"> </v>
      </c>
      <c r="E120" s="190" t="str">
        <f t="shared" si="12"/>
        <v xml:space="preserve"> </v>
      </c>
      <c r="F120" s="190" t="str">
        <f t="shared" si="13"/>
        <v xml:space="preserve"> </v>
      </c>
    </row>
    <row r="121" spans="2:6" x14ac:dyDescent="0.35">
      <c r="B121" s="189" t="str">
        <f t="shared" si="11"/>
        <v xml:space="preserve"> </v>
      </c>
      <c r="C121" s="190" t="str">
        <f t="shared" si="9"/>
        <v xml:space="preserve"> </v>
      </c>
      <c r="D121" s="190" t="str">
        <f t="shared" si="10"/>
        <v xml:space="preserve"> </v>
      </c>
      <c r="E121" s="190" t="str">
        <f t="shared" si="12"/>
        <v xml:space="preserve"> </v>
      </c>
      <c r="F121" s="190" t="str">
        <f t="shared" si="13"/>
        <v xml:space="preserve"> </v>
      </c>
    </row>
    <row r="122" spans="2:6" x14ac:dyDescent="0.35">
      <c r="B122" s="189" t="str">
        <f t="shared" si="11"/>
        <v xml:space="preserve"> </v>
      </c>
      <c r="C122" s="190" t="str">
        <f t="shared" si="9"/>
        <v xml:space="preserve"> </v>
      </c>
      <c r="D122" s="190" t="str">
        <f t="shared" si="10"/>
        <v xml:space="preserve"> </v>
      </c>
      <c r="E122" s="190" t="str">
        <f t="shared" si="12"/>
        <v xml:space="preserve"> </v>
      </c>
      <c r="F122" s="190" t="str">
        <f t="shared" si="13"/>
        <v xml:space="preserve"> </v>
      </c>
    </row>
    <row r="123" spans="2:6" x14ac:dyDescent="0.35">
      <c r="B123" s="189" t="str">
        <f t="shared" si="11"/>
        <v xml:space="preserve"> </v>
      </c>
      <c r="C123" s="190" t="str">
        <f t="shared" si="9"/>
        <v xml:space="preserve"> </v>
      </c>
      <c r="D123" s="190" t="str">
        <f t="shared" si="10"/>
        <v xml:space="preserve"> </v>
      </c>
      <c r="E123" s="190" t="str">
        <f t="shared" si="12"/>
        <v xml:space="preserve"> </v>
      </c>
      <c r="F123" s="190" t="str">
        <f t="shared" si="13"/>
        <v xml:space="preserve"> </v>
      </c>
    </row>
    <row r="124" spans="2:6" x14ac:dyDescent="0.35">
      <c r="B124" s="189" t="str">
        <f t="shared" si="11"/>
        <v xml:space="preserve"> </v>
      </c>
      <c r="C124" s="190" t="str">
        <f t="shared" si="9"/>
        <v xml:space="preserve"> </v>
      </c>
      <c r="D124" s="190" t="str">
        <f t="shared" si="10"/>
        <v xml:space="preserve"> </v>
      </c>
      <c r="E124" s="190" t="str">
        <f t="shared" si="12"/>
        <v xml:space="preserve"> </v>
      </c>
      <c r="F124" s="190" t="str">
        <f t="shared" si="13"/>
        <v xml:space="preserve"> </v>
      </c>
    </row>
    <row r="125" spans="2:6" x14ac:dyDescent="0.35">
      <c r="B125" s="189" t="str">
        <f t="shared" si="11"/>
        <v xml:space="preserve"> </v>
      </c>
      <c r="C125" s="190" t="str">
        <f t="shared" si="9"/>
        <v xml:space="preserve"> </v>
      </c>
      <c r="D125" s="190" t="str">
        <f t="shared" si="10"/>
        <v xml:space="preserve"> </v>
      </c>
      <c r="E125" s="190" t="str">
        <f t="shared" si="12"/>
        <v xml:space="preserve"> </v>
      </c>
      <c r="F125" s="190" t="str">
        <f t="shared" si="13"/>
        <v xml:space="preserve"> </v>
      </c>
    </row>
    <row r="126" spans="2:6" x14ac:dyDescent="0.35">
      <c r="B126" s="189" t="str">
        <f t="shared" si="11"/>
        <v xml:space="preserve"> </v>
      </c>
      <c r="C126" s="190" t="str">
        <f t="shared" si="9"/>
        <v xml:space="preserve"> </v>
      </c>
      <c r="D126" s="190" t="str">
        <f t="shared" si="10"/>
        <v xml:space="preserve"> </v>
      </c>
      <c r="E126" s="190" t="str">
        <f t="shared" si="12"/>
        <v xml:space="preserve"> </v>
      </c>
      <c r="F126" s="190" t="str">
        <f t="shared" si="13"/>
        <v xml:space="preserve"> </v>
      </c>
    </row>
    <row r="127" spans="2:6" x14ac:dyDescent="0.35">
      <c r="B127" s="189" t="str">
        <f t="shared" si="11"/>
        <v xml:space="preserve"> </v>
      </c>
      <c r="C127" s="190" t="str">
        <f t="shared" si="9"/>
        <v xml:space="preserve"> </v>
      </c>
      <c r="D127" s="190" t="str">
        <f t="shared" si="10"/>
        <v xml:space="preserve"> </v>
      </c>
      <c r="E127" s="190" t="str">
        <f t="shared" si="12"/>
        <v xml:space="preserve"> </v>
      </c>
      <c r="F127" s="190" t="str">
        <f t="shared" si="13"/>
        <v xml:space="preserve"> </v>
      </c>
    </row>
    <row r="128" spans="2:6" x14ac:dyDescent="0.35">
      <c r="B128" s="189" t="str">
        <f t="shared" si="11"/>
        <v xml:space="preserve"> </v>
      </c>
      <c r="C128" s="190" t="str">
        <f t="shared" si="9"/>
        <v xml:space="preserve"> </v>
      </c>
      <c r="D128" s="190" t="str">
        <f t="shared" si="10"/>
        <v xml:space="preserve"> </v>
      </c>
      <c r="E128" s="190" t="str">
        <f t="shared" si="12"/>
        <v xml:space="preserve"> </v>
      </c>
      <c r="F128" s="190" t="str">
        <f t="shared" si="13"/>
        <v xml:space="preserve"> </v>
      </c>
    </row>
    <row r="129" spans="2:6" x14ac:dyDescent="0.35">
      <c r="B129" s="189" t="str">
        <f t="shared" si="11"/>
        <v xml:space="preserve"> </v>
      </c>
      <c r="C129" s="190" t="str">
        <f t="shared" si="9"/>
        <v xml:space="preserve"> </v>
      </c>
      <c r="D129" s="190" t="str">
        <f t="shared" si="10"/>
        <v xml:space="preserve"> </v>
      </c>
      <c r="E129" s="190" t="str">
        <f t="shared" si="12"/>
        <v xml:space="preserve"> </v>
      </c>
      <c r="F129" s="190" t="str">
        <f t="shared" si="13"/>
        <v xml:space="preserve"> </v>
      </c>
    </row>
    <row r="130" spans="2:6" x14ac:dyDescent="0.35">
      <c r="B130" s="189" t="str">
        <f t="shared" si="11"/>
        <v xml:space="preserve"> </v>
      </c>
      <c r="C130" s="190" t="str">
        <f t="shared" si="9"/>
        <v xml:space="preserve"> </v>
      </c>
      <c r="D130" s="190" t="str">
        <f t="shared" si="10"/>
        <v xml:space="preserve"> </v>
      </c>
      <c r="E130" s="190" t="str">
        <f t="shared" si="12"/>
        <v xml:space="preserve"> </v>
      </c>
      <c r="F130" s="190" t="str">
        <f t="shared" si="13"/>
        <v xml:space="preserve"> </v>
      </c>
    </row>
    <row r="131" spans="2:6" x14ac:dyDescent="0.35">
      <c r="B131" s="189" t="str">
        <f t="shared" si="11"/>
        <v xml:space="preserve"> </v>
      </c>
      <c r="C131" s="190" t="str">
        <f t="shared" si="9"/>
        <v xml:space="preserve"> </v>
      </c>
      <c r="D131" s="190" t="str">
        <f t="shared" si="10"/>
        <v xml:space="preserve"> </v>
      </c>
      <c r="E131" s="190" t="str">
        <f t="shared" si="12"/>
        <v xml:space="preserve"> </v>
      </c>
      <c r="F131" s="190" t="str">
        <f t="shared" si="13"/>
        <v xml:space="preserve"> </v>
      </c>
    </row>
    <row r="132" spans="2:6" x14ac:dyDescent="0.35">
      <c r="B132" s="189" t="str">
        <f t="shared" si="11"/>
        <v xml:space="preserve"> </v>
      </c>
      <c r="C132" s="190" t="str">
        <f t="shared" si="9"/>
        <v xml:space="preserve"> </v>
      </c>
      <c r="D132" s="190" t="str">
        <f t="shared" si="10"/>
        <v xml:space="preserve"> </v>
      </c>
      <c r="E132" s="190" t="str">
        <f t="shared" si="12"/>
        <v xml:space="preserve"> </v>
      </c>
      <c r="F132" s="190" t="str">
        <f t="shared" si="13"/>
        <v xml:space="preserve"> </v>
      </c>
    </row>
    <row r="133" spans="2:6" x14ac:dyDescent="0.35">
      <c r="B133" s="189" t="str">
        <f t="shared" si="11"/>
        <v xml:space="preserve"> </v>
      </c>
      <c r="C133" s="190" t="str">
        <f t="shared" si="9"/>
        <v xml:space="preserve"> </v>
      </c>
      <c r="D133" s="190" t="str">
        <f t="shared" si="10"/>
        <v xml:space="preserve"> </v>
      </c>
      <c r="E133" s="190" t="str">
        <f t="shared" si="12"/>
        <v xml:space="preserve"> </v>
      </c>
      <c r="F133" s="190" t="str">
        <f t="shared" si="13"/>
        <v xml:space="preserve"> </v>
      </c>
    </row>
    <row r="134" spans="2:6" x14ac:dyDescent="0.35">
      <c r="B134" s="189" t="str">
        <f t="shared" si="11"/>
        <v xml:space="preserve"> </v>
      </c>
      <c r="C134" s="190" t="str">
        <f t="shared" si="9"/>
        <v xml:space="preserve"> </v>
      </c>
      <c r="D134" s="190" t="str">
        <f t="shared" si="10"/>
        <v xml:space="preserve"> </v>
      </c>
      <c r="E134" s="190" t="str">
        <f t="shared" si="12"/>
        <v xml:space="preserve"> </v>
      </c>
      <c r="F134" s="190" t="str">
        <f t="shared" si="13"/>
        <v xml:space="preserve"> </v>
      </c>
    </row>
    <row r="135" spans="2:6" x14ac:dyDescent="0.35">
      <c r="B135" s="189" t="str">
        <f t="shared" si="11"/>
        <v xml:space="preserve"> </v>
      </c>
      <c r="C135" s="190" t="str">
        <f t="shared" si="9"/>
        <v xml:space="preserve"> </v>
      </c>
      <c r="D135" s="190" t="str">
        <f t="shared" si="10"/>
        <v xml:space="preserve"> </v>
      </c>
      <c r="E135" s="190" t="str">
        <f t="shared" si="12"/>
        <v xml:space="preserve"> </v>
      </c>
      <c r="F135" s="190" t="str">
        <f t="shared" si="13"/>
        <v xml:space="preserve"> </v>
      </c>
    </row>
    <row r="136" spans="2:6" x14ac:dyDescent="0.35">
      <c r="B136" s="189" t="str">
        <f t="shared" si="11"/>
        <v xml:space="preserve"> </v>
      </c>
      <c r="C136" s="190" t="str">
        <f t="shared" si="9"/>
        <v xml:space="preserve"> </v>
      </c>
      <c r="D136" s="190" t="str">
        <f t="shared" si="10"/>
        <v xml:space="preserve"> </v>
      </c>
      <c r="E136" s="190" t="str">
        <f t="shared" si="12"/>
        <v xml:space="preserve"> </v>
      </c>
      <c r="F136" s="190" t="str">
        <f t="shared" si="13"/>
        <v xml:space="preserve"> </v>
      </c>
    </row>
    <row r="137" spans="2:6" x14ac:dyDescent="0.35">
      <c r="B137" s="189" t="str">
        <f t="shared" si="11"/>
        <v xml:space="preserve"> </v>
      </c>
      <c r="C137" s="190" t="str">
        <f t="shared" si="9"/>
        <v xml:space="preserve"> </v>
      </c>
      <c r="D137" s="190" t="str">
        <f t="shared" si="10"/>
        <v xml:space="preserve"> </v>
      </c>
      <c r="E137" s="190" t="str">
        <f t="shared" si="12"/>
        <v xml:space="preserve"> </v>
      </c>
      <c r="F137" s="190" t="str">
        <f t="shared" si="13"/>
        <v xml:space="preserve"> </v>
      </c>
    </row>
    <row r="138" spans="2:6" x14ac:dyDescent="0.35">
      <c r="B138" s="189" t="str">
        <f t="shared" si="11"/>
        <v xml:space="preserve"> </v>
      </c>
      <c r="C138" s="190" t="str">
        <f t="shared" si="9"/>
        <v xml:space="preserve"> </v>
      </c>
      <c r="D138" s="190" t="str">
        <f t="shared" si="10"/>
        <v xml:space="preserve"> </v>
      </c>
      <c r="E138" s="190" t="str">
        <f t="shared" si="12"/>
        <v xml:space="preserve"> </v>
      </c>
      <c r="F138" s="190" t="str">
        <f t="shared" si="13"/>
        <v xml:space="preserve"> </v>
      </c>
    </row>
    <row r="139" spans="2:6" x14ac:dyDescent="0.35">
      <c r="B139" s="189" t="str">
        <f t="shared" si="11"/>
        <v xml:space="preserve"> </v>
      </c>
      <c r="C139" s="190" t="str">
        <f t="shared" si="9"/>
        <v xml:space="preserve"> </v>
      </c>
      <c r="D139" s="190" t="str">
        <f t="shared" si="10"/>
        <v xml:space="preserve"> </v>
      </c>
      <c r="E139" s="190" t="str">
        <f t="shared" si="12"/>
        <v xml:space="preserve"> </v>
      </c>
      <c r="F139" s="190" t="str">
        <f t="shared" si="13"/>
        <v xml:space="preserve"> </v>
      </c>
    </row>
    <row r="140" spans="2:6" x14ac:dyDescent="0.35">
      <c r="B140" s="189" t="str">
        <f t="shared" si="11"/>
        <v xml:space="preserve"> </v>
      </c>
      <c r="C140" s="190" t="str">
        <f t="shared" ref="C140:C203" si="14">IF(($B140&lt;=$F$8),IF($AK$14=1,PMT($G$6,$F$8,-MONTO),D140+E140)," ")</f>
        <v xml:space="preserve"> </v>
      </c>
      <c r="D140" s="190" t="str">
        <f t="shared" ref="D140:D203" si="15">IF(($B140&lt;=$F$8),$F139*INTERES," ")</f>
        <v xml:space="preserve"> </v>
      </c>
      <c r="E140" s="190" t="str">
        <f t="shared" si="12"/>
        <v xml:space="preserve"> </v>
      </c>
      <c r="F140" s="190" t="str">
        <f t="shared" si="13"/>
        <v xml:space="preserve"> </v>
      </c>
    </row>
    <row r="141" spans="2:6" x14ac:dyDescent="0.35">
      <c r="B141" s="189" t="str">
        <f t="shared" ref="B141:B204" si="16">IF((B140&lt;$F$8),B140+1," ")</f>
        <v xml:space="preserve"> </v>
      </c>
      <c r="C141" s="190" t="str">
        <f t="shared" si="14"/>
        <v xml:space="preserve"> </v>
      </c>
      <c r="D141" s="190" t="str">
        <f t="shared" si="15"/>
        <v xml:space="preserve"> </v>
      </c>
      <c r="E141" s="190" t="str">
        <f t="shared" si="12"/>
        <v xml:space="preserve"> </v>
      </c>
      <c r="F141" s="190" t="str">
        <f t="shared" si="13"/>
        <v xml:space="preserve"> </v>
      </c>
    </row>
    <row r="142" spans="2:6" x14ac:dyDescent="0.35">
      <c r="B142" s="189" t="str">
        <f t="shared" si="16"/>
        <v xml:space="preserve"> </v>
      </c>
      <c r="C142" s="190" t="str">
        <f t="shared" si="14"/>
        <v xml:space="preserve"> </v>
      </c>
      <c r="D142" s="190" t="str">
        <f t="shared" si="15"/>
        <v xml:space="preserve"> </v>
      </c>
      <c r="E142" s="190" t="str">
        <f t="shared" si="12"/>
        <v xml:space="preserve"> </v>
      </c>
      <c r="F142" s="190" t="str">
        <f t="shared" si="13"/>
        <v xml:space="preserve"> </v>
      </c>
    </row>
    <row r="143" spans="2:6" x14ac:dyDescent="0.35">
      <c r="B143" s="189" t="str">
        <f t="shared" si="16"/>
        <v xml:space="preserve"> </v>
      </c>
      <c r="C143" s="190" t="str">
        <f t="shared" si="14"/>
        <v xml:space="preserve"> </v>
      </c>
      <c r="D143" s="190" t="str">
        <f t="shared" si="15"/>
        <v xml:space="preserve"> </v>
      </c>
      <c r="E143" s="190" t="str">
        <f t="shared" si="12"/>
        <v xml:space="preserve"> </v>
      </c>
      <c r="F143" s="190" t="str">
        <f t="shared" si="13"/>
        <v xml:space="preserve"> </v>
      </c>
    </row>
    <row r="144" spans="2:6" x14ac:dyDescent="0.35">
      <c r="B144" s="189" t="str">
        <f t="shared" si="16"/>
        <v xml:space="preserve"> </v>
      </c>
      <c r="C144" s="190" t="str">
        <f t="shared" si="14"/>
        <v xml:space="preserve"> </v>
      </c>
      <c r="D144" s="190" t="str">
        <f t="shared" si="15"/>
        <v xml:space="preserve"> </v>
      </c>
      <c r="E144" s="190" t="str">
        <f t="shared" si="12"/>
        <v xml:space="preserve"> </v>
      </c>
      <c r="F144" s="190" t="str">
        <f t="shared" si="13"/>
        <v xml:space="preserve"> </v>
      </c>
    </row>
    <row r="145" spans="2:6" x14ac:dyDescent="0.35">
      <c r="B145" s="189" t="str">
        <f t="shared" si="16"/>
        <v xml:space="preserve"> </v>
      </c>
      <c r="C145" s="190" t="str">
        <f t="shared" si="14"/>
        <v xml:space="preserve"> </v>
      </c>
      <c r="D145" s="190" t="str">
        <f t="shared" si="15"/>
        <v xml:space="preserve"> </v>
      </c>
      <c r="E145" s="190" t="str">
        <f t="shared" si="12"/>
        <v xml:space="preserve"> </v>
      </c>
      <c r="F145" s="190" t="str">
        <f t="shared" si="13"/>
        <v xml:space="preserve"> </v>
      </c>
    </row>
    <row r="146" spans="2:6" x14ac:dyDescent="0.35">
      <c r="B146" s="189" t="str">
        <f t="shared" si="16"/>
        <v xml:space="preserve"> </v>
      </c>
      <c r="C146" s="190" t="str">
        <f t="shared" si="14"/>
        <v xml:space="preserve"> </v>
      </c>
      <c r="D146" s="190" t="str">
        <f t="shared" si="15"/>
        <v xml:space="preserve"> </v>
      </c>
      <c r="E146" s="190" t="str">
        <f t="shared" si="12"/>
        <v xml:space="preserve"> </v>
      </c>
      <c r="F146" s="190" t="str">
        <f t="shared" si="13"/>
        <v xml:space="preserve"> </v>
      </c>
    </row>
    <row r="147" spans="2:6" x14ac:dyDescent="0.35">
      <c r="B147" s="189" t="str">
        <f t="shared" si="16"/>
        <v xml:space="preserve"> </v>
      </c>
      <c r="C147" s="190" t="str">
        <f t="shared" si="14"/>
        <v xml:space="preserve"> </v>
      </c>
      <c r="D147" s="190" t="str">
        <f t="shared" si="15"/>
        <v xml:space="preserve"> </v>
      </c>
      <c r="E147" s="190" t="str">
        <f t="shared" si="12"/>
        <v xml:space="preserve"> </v>
      </c>
      <c r="F147" s="190" t="str">
        <f t="shared" si="13"/>
        <v xml:space="preserve"> </v>
      </c>
    </row>
    <row r="148" spans="2:6" x14ac:dyDescent="0.35">
      <c r="B148" s="189" t="str">
        <f t="shared" si="16"/>
        <v xml:space="preserve"> </v>
      </c>
      <c r="C148" s="190" t="str">
        <f t="shared" si="14"/>
        <v xml:space="preserve"> </v>
      </c>
      <c r="D148" s="190" t="str">
        <f t="shared" si="15"/>
        <v xml:space="preserve"> </v>
      </c>
      <c r="E148" s="190" t="str">
        <f t="shared" si="12"/>
        <v xml:space="preserve"> </v>
      </c>
      <c r="F148" s="190" t="str">
        <f t="shared" si="13"/>
        <v xml:space="preserve"> </v>
      </c>
    </row>
    <row r="149" spans="2:6" x14ac:dyDescent="0.35">
      <c r="B149" s="189" t="str">
        <f t="shared" si="16"/>
        <v xml:space="preserve"> </v>
      </c>
      <c r="C149" s="190" t="str">
        <f t="shared" si="14"/>
        <v xml:space="preserve"> </v>
      </c>
      <c r="D149" s="190" t="str">
        <f t="shared" si="15"/>
        <v xml:space="preserve"> </v>
      </c>
      <c r="E149" s="190" t="str">
        <f t="shared" si="12"/>
        <v xml:space="preserve"> </v>
      </c>
      <c r="F149" s="190" t="str">
        <f t="shared" si="13"/>
        <v xml:space="preserve"> </v>
      </c>
    </row>
    <row r="150" spans="2:6" x14ac:dyDescent="0.35">
      <c r="B150" s="189" t="str">
        <f t="shared" si="16"/>
        <v xml:space="preserve"> </v>
      </c>
      <c r="C150" s="190" t="str">
        <f t="shared" si="14"/>
        <v xml:space="preserve"> </v>
      </c>
      <c r="D150" s="190" t="str">
        <f t="shared" si="15"/>
        <v xml:space="preserve"> </v>
      </c>
      <c r="E150" s="190" t="str">
        <f t="shared" ref="E150:E213" si="17">IF(($B150&lt;=$F$8),IF($AK$14=1,C150-D150,$F$5/$F$8)," ")</f>
        <v xml:space="preserve"> </v>
      </c>
      <c r="F150" s="190" t="str">
        <f t="shared" ref="F150:F213" si="18">IF(($B150&lt;=$F$8),F149-E150," ")</f>
        <v xml:space="preserve"> </v>
      </c>
    </row>
    <row r="151" spans="2:6" x14ac:dyDescent="0.35">
      <c r="B151" s="189" t="str">
        <f t="shared" si="16"/>
        <v xml:space="preserve"> </v>
      </c>
      <c r="C151" s="190" t="str">
        <f t="shared" si="14"/>
        <v xml:space="preserve"> </v>
      </c>
      <c r="D151" s="190" t="str">
        <f t="shared" si="15"/>
        <v xml:space="preserve"> </v>
      </c>
      <c r="E151" s="190" t="str">
        <f t="shared" si="17"/>
        <v xml:space="preserve"> </v>
      </c>
      <c r="F151" s="190" t="str">
        <f t="shared" si="18"/>
        <v xml:space="preserve"> </v>
      </c>
    </row>
    <row r="152" spans="2:6" x14ac:dyDescent="0.35">
      <c r="B152" s="189" t="str">
        <f t="shared" si="16"/>
        <v xml:space="preserve"> </v>
      </c>
      <c r="C152" s="190" t="str">
        <f t="shared" si="14"/>
        <v xml:space="preserve"> </v>
      </c>
      <c r="D152" s="190" t="str">
        <f t="shared" si="15"/>
        <v xml:space="preserve"> </v>
      </c>
      <c r="E152" s="190" t="str">
        <f t="shared" si="17"/>
        <v xml:space="preserve"> </v>
      </c>
      <c r="F152" s="190" t="str">
        <f t="shared" si="18"/>
        <v xml:space="preserve"> </v>
      </c>
    </row>
    <row r="153" spans="2:6" x14ac:dyDescent="0.35">
      <c r="B153" s="189" t="str">
        <f t="shared" si="16"/>
        <v xml:space="preserve"> </v>
      </c>
      <c r="C153" s="190" t="str">
        <f t="shared" si="14"/>
        <v xml:space="preserve"> </v>
      </c>
      <c r="D153" s="190" t="str">
        <f t="shared" si="15"/>
        <v xml:space="preserve"> </v>
      </c>
      <c r="E153" s="190" t="str">
        <f t="shared" si="17"/>
        <v xml:space="preserve"> </v>
      </c>
      <c r="F153" s="190" t="str">
        <f t="shared" si="18"/>
        <v xml:space="preserve"> </v>
      </c>
    </row>
    <row r="154" spans="2:6" x14ac:dyDescent="0.35">
      <c r="B154" s="189" t="str">
        <f t="shared" si="16"/>
        <v xml:space="preserve"> </v>
      </c>
      <c r="C154" s="190" t="str">
        <f t="shared" si="14"/>
        <v xml:space="preserve"> </v>
      </c>
      <c r="D154" s="190" t="str">
        <f t="shared" si="15"/>
        <v xml:space="preserve"> </v>
      </c>
      <c r="E154" s="190" t="str">
        <f t="shared" si="17"/>
        <v xml:space="preserve"> </v>
      </c>
      <c r="F154" s="190" t="str">
        <f t="shared" si="18"/>
        <v xml:space="preserve"> </v>
      </c>
    </row>
    <row r="155" spans="2:6" x14ac:dyDescent="0.35">
      <c r="B155" s="189" t="str">
        <f t="shared" si="16"/>
        <v xml:space="preserve"> </v>
      </c>
      <c r="C155" s="190" t="str">
        <f t="shared" si="14"/>
        <v xml:space="preserve"> </v>
      </c>
      <c r="D155" s="190" t="str">
        <f t="shared" si="15"/>
        <v xml:space="preserve"> </v>
      </c>
      <c r="E155" s="190" t="str">
        <f t="shared" si="17"/>
        <v xml:space="preserve"> </v>
      </c>
      <c r="F155" s="190" t="str">
        <f t="shared" si="18"/>
        <v xml:space="preserve"> </v>
      </c>
    </row>
    <row r="156" spans="2:6" x14ac:dyDescent="0.35">
      <c r="B156" s="189" t="str">
        <f t="shared" si="16"/>
        <v xml:space="preserve"> </v>
      </c>
      <c r="C156" s="190" t="str">
        <f t="shared" si="14"/>
        <v xml:space="preserve"> </v>
      </c>
      <c r="D156" s="190" t="str">
        <f t="shared" si="15"/>
        <v xml:space="preserve"> </v>
      </c>
      <c r="E156" s="190" t="str">
        <f t="shared" si="17"/>
        <v xml:space="preserve"> </v>
      </c>
      <c r="F156" s="190" t="str">
        <f t="shared" si="18"/>
        <v xml:space="preserve"> </v>
      </c>
    </row>
    <row r="157" spans="2:6" x14ac:dyDescent="0.35">
      <c r="B157" s="189" t="str">
        <f t="shared" si="16"/>
        <v xml:space="preserve"> </v>
      </c>
      <c r="C157" s="190" t="str">
        <f t="shared" si="14"/>
        <v xml:space="preserve"> </v>
      </c>
      <c r="D157" s="190" t="str">
        <f t="shared" si="15"/>
        <v xml:space="preserve"> </v>
      </c>
      <c r="E157" s="190" t="str">
        <f t="shared" si="17"/>
        <v xml:space="preserve"> </v>
      </c>
      <c r="F157" s="190" t="str">
        <f t="shared" si="18"/>
        <v xml:space="preserve"> </v>
      </c>
    </row>
    <row r="158" spans="2:6" x14ac:dyDescent="0.35">
      <c r="B158" s="189" t="str">
        <f t="shared" si="16"/>
        <v xml:space="preserve"> </v>
      </c>
      <c r="C158" s="190" t="str">
        <f t="shared" si="14"/>
        <v xml:space="preserve"> </v>
      </c>
      <c r="D158" s="190" t="str">
        <f t="shared" si="15"/>
        <v xml:space="preserve"> </v>
      </c>
      <c r="E158" s="190" t="str">
        <f t="shared" si="17"/>
        <v xml:space="preserve"> </v>
      </c>
      <c r="F158" s="190" t="str">
        <f t="shared" si="18"/>
        <v xml:space="preserve"> </v>
      </c>
    </row>
    <row r="159" spans="2:6" x14ac:dyDescent="0.35">
      <c r="B159" s="189" t="str">
        <f t="shared" si="16"/>
        <v xml:space="preserve"> </v>
      </c>
      <c r="C159" s="190" t="str">
        <f t="shared" si="14"/>
        <v xml:space="preserve"> </v>
      </c>
      <c r="D159" s="190" t="str">
        <f t="shared" si="15"/>
        <v xml:space="preserve"> </v>
      </c>
      <c r="E159" s="190" t="str">
        <f t="shared" si="17"/>
        <v xml:space="preserve"> </v>
      </c>
      <c r="F159" s="190" t="str">
        <f t="shared" si="18"/>
        <v xml:space="preserve"> </v>
      </c>
    </row>
    <row r="160" spans="2:6" x14ac:dyDescent="0.35">
      <c r="B160" s="189" t="str">
        <f t="shared" si="16"/>
        <v xml:space="preserve"> </v>
      </c>
      <c r="C160" s="190" t="str">
        <f t="shared" si="14"/>
        <v xml:space="preserve"> </v>
      </c>
      <c r="D160" s="190" t="str">
        <f t="shared" si="15"/>
        <v xml:space="preserve"> </v>
      </c>
      <c r="E160" s="190" t="str">
        <f t="shared" si="17"/>
        <v xml:space="preserve"> </v>
      </c>
      <c r="F160" s="190" t="str">
        <f t="shared" si="18"/>
        <v xml:space="preserve"> </v>
      </c>
    </row>
    <row r="161" spans="2:6" x14ac:dyDescent="0.35">
      <c r="B161" s="189" t="str">
        <f t="shared" si="16"/>
        <v xml:space="preserve"> </v>
      </c>
      <c r="C161" s="190" t="str">
        <f t="shared" si="14"/>
        <v xml:space="preserve"> </v>
      </c>
      <c r="D161" s="190" t="str">
        <f t="shared" si="15"/>
        <v xml:space="preserve"> </v>
      </c>
      <c r="E161" s="190" t="str">
        <f t="shared" si="17"/>
        <v xml:space="preserve"> </v>
      </c>
      <c r="F161" s="190" t="str">
        <f t="shared" si="18"/>
        <v xml:space="preserve"> </v>
      </c>
    </row>
    <row r="162" spans="2:6" x14ac:dyDescent="0.35">
      <c r="B162" s="189" t="str">
        <f t="shared" si="16"/>
        <v xml:space="preserve"> </v>
      </c>
      <c r="C162" s="190" t="str">
        <f t="shared" si="14"/>
        <v xml:space="preserve"> </v>
      </c>
      <c r="D162" s="190" t="str">
        <f t="shared" si="15"/>
        <v xml:space="preserve"> </v>
      </c>
      <c r="E162" s="190" t="str">
        <f t="shared" si="17"/>
        <v xml:space="preserve"> </v>
      </c>
      <c r="F162" s="190" t="str">
        <f t="shared" si="18"/>
        <v xml:space="preserve"> </v>
      </c>
    </row>
    <row r="163" spans="2:6" x14ac:dyDescent="0.35">
      <c r="B163" s="189" t="str">
        <f t="shared" si="16"/>
        <v xml:space="preserve"> </v>
      </c>
      <c r="C163" s="190" t="str">
        <f t="shared" si="14"/>
        <v xml:space="preserve"> </v>
      </c>
      <c r="D163" s="190" t="str">
        <f t="shared" si="15"/>
        <v xml:space="preserve"> </v>
      </c>
      <c r="E163" s="190" t="str">
        <f t="shared" si="17"/>
        <v xml:space="preserve"> </v>
      </c>
      <c r="F163" s="190" t="str">
        <f t="shared" si="18"/>
        <v xml:space="preserve"> </v>
      </c>
    </row>
    <row r="164" spans="2:6" x14ac:dyDescent="0.35">
      <c r="B164" s="189" t="str">
        <f t="shared" si="16"/>
        <v xml:space="preserve"> </v>
      </c>
      <c r="C164" s="190" t="str">
        <f t="shared" si="14"/>
        <v xml:space="preserve"> </v>
      </c>
      <c r="D164" s="190" t="str">
        <f t="shared" si="15"/>
        <v xml:space="preserve"> </v>
      </c>
      <c r="E164" s="190" t="str">
        <f t="shared" si="17"/>
        <v xml:space="preserve"> </v>
      </c>
      <c r="F164" s="190" t="str">
        <f t="shared" si="18"/>
        <v xml:space="preserve"> </v>
      </c>
    </row>
    <row r="165" spans="2:6" x14ac:dyDescent="0.35">
      <c r="B165" s="189" t="str">
        <f t="shared" si="16"/>
        <v xml:space="preserve"> </v>
      </c>
      <c r="C165" s="190" t="str">
        <f t="shared" si="14"/>
        <v xml:space="preserve"> </v>
      </c>
      <c r="D165" s="190" t="str">
        <f t="shared" si="15"/>
        <v xml:space="preserve"> </v>
      </c>
      <c r="E165" s="190" t="str">
        <f t="shared" si="17"/>
        <v xml:space="preserve"> </v>
      </c>
      <c r="F165" s="190" t="str">
        <f t="shared" si="18"/>
        <v xml:space="preserve"> </v>
      </c>
    </row>
    <row r="166" spans="2:6" x14ac:dyDescent="0.35">
      <c r="B166" s="189" t="str">
        <f t="shared" si="16"/>
        <v xml:space="preserve"> </v>
      </c>
      <c r="C166" s="190" t="str">
        <f t="shared" si="14"/>
        <v xml:space="preserve"> </v>
      </c>
      <c r="D166" s="190" t="str">
        <f t="shared" si="15"/>
        <v xml:space="preserve"> </v>
      </c>
      <c r="E166" s="190" t="str">
        <f t="shared" si="17"/>
        <v xml:space="preserve"> </v>
      </c>
      <c r="F166" s="190" t="str">
        <f t="shared" si="18"/>
        <v xml:space="preserve"> </v>
      </c>
    </row>
    <row r="167" spans="2:6" x14ac:dyDescent="0.35">
      <c r="B167" s="189" t="str">
        <f t="shared" si="16"/>
        <v xml:space="preserve"> </v>
      </c>
      <c r="C167" s="190" t="str">
        <f t="shared" si="14"/>
        <v xml:space="preserve"> </v>
      </c>
      <c r="D167" s="190" t="str">
        <f t="shared" si="15"/>
        <v xml:space="preserve"> </v>
      </c>
      <c r="E167" s="190" t="str">
        <f t="shared" si="17"/>
        <v xml:space="preserve"> </v>
      </c>
      <c r="F167" s="190" t="str">
        <f t="shared" si="18"/>
        <v xml:space="preserve"> </v>
      </c>
    </row>
    <row r="168" spans="2:6" x14ac:dyDescent="0.35">
      <c r="B168" s="189" t="str">
        <f t="shared" si="16"/>
        <v xml:space="preserve"> </v>
      </c>
      <c r="C168" s="190" t="str">
        <f t="shared" si="14"/>
        <v xml:space="preserve"> </v>
      </c>
      <c r="D168" s="190" t="str">
        <f t="shared" si="15"/>
        <v xml:space="preserve"> </v>
      </c>
      <c r="E168" s="190" t="str">
        <f t="shared" si="17"/>
        <v xml:space="preserve"> </v>
      </c>
      <c r="F168" s="190" t="str">
        <f t="shared" si="18"/>
        <v xml:space="preserve"> </v>
      </c>
    </row>
    <row r="169" spans="2:6" x14ac:dyDescent="0.35">
      <c r="B169" s="189" t="str">
        <f t="shared" si="16"/>
        <v xml:space="preserve"> </v>
      </c>
      <c r="C169" s="190" t="str">
        <f t="shared" si="14"/>
        <v xml:space="preserve"> </v>
      </c>
      <c r="D169" s="190" t="str">
        <f t="shared" si="15"/>
        <v xml:space="preserve"> </v>
      </c>
      <c r="E169" s="190" t="str">
        <f t="shared" si="17"/>
        <v xml:space="preserve"> </v>
      </c>
      <c r="F169" s="190" t="str">
        <f t="shared" si="18"/>
        <v xml:space="preserve"> </v>
      </c>
    </row>
    <row r="170" spans="2:6" x14ac:dyDescent="0.35">
      <c r="B170" s="189" t="str">
        <f t="shared" si="16"/>
        <v xml:space="preserve"> </v>
      </c>
      <c r="C170" s="190" t="str">
        <f t="shared" si="14"/>
        <v xml:space="preserve"> </v>
      </c>
      <c r="D170" s="190" t="str">
        <f t="shared" si="15"/>
        <v xml:space="preserve"> </v>
      </c>
      <c r="E170" s="190" t="str">
        <f t="shared" si="17"/>
        <v xml:space="preserve"> </v>
      </c>
      <c r="F170" s="190" t="str">
        <f t="shared" si="18"/>
        <v xml:space="preserve"> </v>
      </c>
    </row>
    <row r="171" spans="2:6" x14ac:dyDescent="0.35">
      <c r="B171" s="189" t="str">
        <f t="shared" si="16"/>
        <v xml:space="preserve"> </v>
      </c>
      <c r="C171" s="190" t="str">
        <f t="shared" si="14"/>
        <v xml:space="preserve"> </v>
      </c>
      <c r="D171" s="190" t="str">
        <f t="shared" si="15"/>
        <v xml:space="preserve"> </v>
      </c>
      <c r="E171" s="190" t="str">
        <f t="shared" si="17"/>
        <v xml:space="preserve"> </v>
      </c>
      <c r="F171" s="190" t="str">
        <f t="shared" si="18"/>
        <v xml:space="preserve"> </v>
      </c>
    </row>
    <row r="172" spans="2:6" x14ac:dyDescent="0.35">
      <c r="B172" s="189" t="str">
        <f t="shared" si="16"/>
        <v xml:space="preserve"> </v>
      </c>
      <c r="C172" s="190" t="str">
        <f t="shared" si="14"/>
        <v xml:space="preserve"> </v>
      </c>
      <c r="D172" s="190" t="str">
        <f t="shared" si="15"/>
        <v xml:space="preserve"> </v>
      </c>
      <c r="E172" s="190" t="str">
        <f t="shared" si="17"/>
        <v xml:space="preserve"> </v>
      </c>
      <c r="F172" s="190" t="str">
        <f t="shared" si="18"/>
        <v xml:space="preserve"> </v>
      </c>
    </row>
    <row r="173" spans="2:6" x14ac:dyDescent="0.35">
      <c r="B173" s="189" t="str">
        <f t="shared" si="16"/>
        <v xml:space="preserve"> </v>
      </c>
      <c r="C173" s="190" t="str">
        <f t="shared" si="14"/>
        <v xml:space="preserve"> </v>
      </c>
      <c r="D173" s="190" t="str">
        <f t="shared" si="15"/>
        <v xml:space="preserve"> </v>
      </c>
      <c r="E173" s="190" t="str">
        <f t="shared" si="17"/>
        <v xml:space="preserve"> </v>
      </c>
      <c r="F173" s="190" t="str">
        <f t="shared" si="18"/>
        <v xml:space="preserve"> </v>
      </c>
    </row>
    <row r="174" spans="2:6" x14ac:dyDescent="0.35">
      <c r="B174" s="189" t="str">
        <f t="shared" si="16"/>
        <v xml:space="preserve"> </v>
      </c>
      <c r="C174" s="190" t="str">
        <f t="shared" si="14"/>
        <v xml:space="preserve"> </v>
      </c>
      <c r="D174" s="190" t="str">
        <f t="shared" si="15"/>
        <v xml:space="preserve"> </v>
      </c>
      <c r="E174" s="190" t="str">
        <f t="shared" si="17"/>
        <v xml:space="preserve"> </v>
      </c>
      <c r="F174" s="190" t="str">
        <f t="shared" si="18"/>
        <v xml:space="preserve"> </v>
      </c>
    </row>
    <row r="175" spans="2:6" x14ac:dyDescent="0.35">
      <c r="B175" s="189" t="str">
        <f t="shared" si="16"/>
        <v xml:space="preserve"> </v>
      </c>
      <c r="C175" s="190" t="str">
        <f t="shared" si="14"/>
        <v xml:space="preserve"> </v>
      </c>
      <c r="D175" s="190" t="str">
        <f t="shared" si="15"/>
        <v xml:space="preserve"> </v>
      </c>
      <c r="E175" s="190" t="str">
        <f t="shared" si="17"/>
        <v xml:space="preserve"> </v>
      </c>
      <c r="F175" s="190" t="str">
        <f t="shared" si="18"/>
        <v xml:space="preserve"> </v>
      </c>
    </row>
    <row r="176" spans="2:6" x14ac:dyDescent="0.35">
      <c r="B176" s="189" t="str">
        <f t="shared" si="16"/>
        <v xml:space="preserve"> </v>
      </c>
      <c r="C176" s="190" t="str">
        <f t="shared" si="14"/>
        <v xml:space="preserve"> </v>
      </c>
      <c r="D176" s="190" t="str">
        <f t="shared" si="15"/>
        <v xml:space="preserve"> </v>
      </c>
      <c r="E176" s="190" t="str">
        <f t="shared" si="17"/>
        <v xml:space="preserve"> </v>
      </c>
      <c r="F176" s="190" t="str">
        <f t="shared" si="18"/>
        <v xml:space="preserve"> </v>
      </c>
    </row>
    <row r="177" spans="2:6" x14ac:dyDescent="0.35">
      <c r="B177" s="189" t="str">
        <f t="shared" si="16"/>
        <v xml:space="preserve"> </v>
      </c>
      <c r="C177" s="190" t="str">
        <f t="shared" si="14"/>
        <v xml:space="preserve"> </v>
      </c>
      <c r="D177" s="190" t="str">
        <f t="shared" si="15"/>
        <v xml:space="preserve"> </v>
      </c>
      <c r="E177" s="190" t="str">
        <f t="shared" si="17"/>
        <v xml:space="preserve"> </v>
      </c>
      <c r="F177" s="190" t="str">
        <f t="shared" si="18"/>
        <v xml:space="preserve"> </v>
      </c>
    </row>
    <row r="178" spans="2:6" x14ac:dyDescent="0.35">
      <c r="B178" s="189" t="str">
        <f t="shared" si="16"/>
        <v xml:space="preserve"> </v>
      </c>
      <c r="C178" s="190" t="str">
        <f t="shared" si="14"/>
        <v xml:space="preserve"> </v>
      </c>
      <c r="D178" s="190" t="str">
        <f t="shared" si="15"/>
        <v xml:space="preserve"> </v>
      </c>
      <c r="E178" s="190" t="str">
        <f t="shared" si="17"/>
        <v xml:space="preserve"> </v>
      </c>
      <c r="F178" s="190" t="str">
        <f t="shared" si="18"/>
        <v xml:space="preserve"> </v>
      </c>
    </row>
    <row r="179" spans="2:6" x14ac:dyDescent="0.35">
      <c r="B179" s="189" t="str">
        <f t="shared" si="16"/>
        <v xml:space="preserve"> </v>
      </c>
      <c r="C179" s="190" t="str">
        <f t="shared" si="14"/>
        <v xml:space="preserve"> </v>
      </c>
      <c r="D179" s="190" t="str">
        <f t="shared" si="15"/>
        <v xml:space="preserve"> </v>
      </c>
      <c r="E179" s="190" t="str">
        <f t="shared" si="17"/>
        <v xml:space="preserve"> </v>
      </c>
      <c r="F179" s="190" t="str">
        <f t="shared" si="18"/>
        <v xml:space="preserve"> </v>
      </c>
    </row>
    <row r="180" spans="2:6" x14ac:dyDescent="0.35">
      <c r="B180" s="189" t="str">
        <f t="shared" si="16"/>
        <v xml:space="preserve"> </v>
      </c>
      <c r="C180" s="190" t="str">
        <f t="shared" si="14"/>
        <v xml:space="preserve"> </v>
      </c>
      <c r="D180" s="190" t="str">
        <f t="shared" si="15"/>
        <v xml:space="preserve"> </v>
      </c>
      <c r="E180" s="190" t="str">
        <f t="shared" si="17"/>
        <v xml:space="preserve"> </v>
      </c>
      <c r="F180" s="190" t="str">
        <f t="shared" si="18"/>
        <v xml:space="preserve"> </v>
      </c>
    </row>
    <row r="181" spans="2:6" x14ac:dyDescent="0.35">
      <c r="B181" s="189" t="str">
        <f t="shared" si="16"/>
        <v xml:space="preserve"> </v>
      </c>
      <c r="C181" s="190" t="str">
        <f t="shared" si="14"/>
        <v xml:space="preserve"> </v>
      </c>
      <c r="D181" s="190" t="str">
        <f t="shared" si="15"/>
        <v xml:space="preserve"> </v>
      </c>
      <c r="E181" s="190" t="str">
        <f t="shared" si="17"/>
        <v xml:space="preserve"> </v>
      </c>
      <c r="F181" s="190" t="str">
        <f t="shared" si="18"/>
        <v xml:space="preserve"> </v>
      </c>
    </row>
    <row r="182" spans="2:6" x14ac:dyDescent="0.35">
      <c r="B182" s="189" t="str">
        <f t="shared" si="16"/>
        <v xml:space="preserve"> </v>
      </c>
      <c r="C182" s="190" t="str">
        <f t="shared" si="14"/>
        <v xml:space="preserve"> </v>
      </c>
      <c r="D182" s="190" t="str">
        <f t="shared" si="15"/>
        <v xml:space="preserve"> </v>
      </c>
      <c r="E182" s="190" t="str">
        <f t="shared" si="17"/>
        <v xml:space="preserve"> </v>
      </c>
      <c r="F182" s="190" t="str">
        <f t="shared" si="18"/>
        <v xml:space="preserve"> </v>
      </c>
    </row>
    <row r="183" spans="2:6" x14ac:dyDescent="0.35">
      <c r="B183" s="189" t="str">
        <f t="shared" si="16"/>
        <v xml:space="preserve"> </v>
      </c>
      <c r="C183" s="190" t="str">
        <f t="shared" si="14"/>
        <v xml:space="preserve"> </v>
      </c>
      <c r="D183" s="190" t="str">
        <f t="shared" si="15"/>
        <v xml:space="preserve"> </v>
      </c>
      <c r="E183" s="190" t="str">
        <f t="shared" si="17"/>
        <v xml:space="preserve"> </v>
      </c>
      <c r="F183" s="190" t="str">
        <f t="shared" si="18"/>
        <v xml:space="preserve"> </v>
      </c>
    </row>
    <row r="184" spans="2:6" x14ac:dyDescent="0.35">
      <c r="B184" s="189" t="str">
        <f t="shared" si="16"/>
        <v xml:space="preserve"> </v>
      </c>
      <c r="C184" s="190" t="str">
        <f t="shared" si="14"/>
        <v xml:space="preserve"> </v>
      </c>
      <c r="D184" s="190" t="str">
        <f t="shared" si="15"/>
        <v xml:space="preserve"> </v>
      </c>
      <c r="E184" s="190" t="str">
        <f t="shared" si="17"/>
        <v xml:space="preserve"> </v>
      </c>
      <c r="F184" s="190" t="str">
        <f t="shared" si="18"/>
        <v xml:space="preserve"> </v>
      </c>
    </row>
    <row r="185" spans="2:6" x14ac:dyDescent="0.35">
      <c r="B185" s="189" t="str">
        <f t="shared" si="16"/>
        <v xml:space="preserve"> </v>
      </c>
      <c r="C185" s="190" t="str">
        <f t="shared" si="14"/>
        <v xml:space="preserve"> </v>
      </c>
      <c r="D185" s="190" t="str">
        <f t="shared" si="15"/>
        <v xml:space="preserve"> </v>
      </c>
      <c r="E185" s="190" t="str">
        <f t="shared" si="17"/>
        <v xml:space="preserve"> </v>
      </c>
      <c r="F185" s="190" t="str">
        <f t="shared" si="18"/>
        <v xml:space="preserve"> </v>
      </c>
    </row>
    <row r="186" spans="2:6" x14ac:dyDescent="0.35">
      <c r="B186" s="189" t="str">
        <f t="shared" si="16"/>
        <v xml:space="preserve"> </v>
      </c>
      <c r="C186" s="190" t="str">
        <f t="shared" si="14"/>
        <v xml:space="preserve"> </v>
      </c>
      <c r="D186" s="190" t="str">
        <f t="shared" si="15"/>
        <v xml:space="preserve"> </v>
      </c>
      <c r="E186" s="190" t="str">
        <f t="shared" si="17"/>
        <v xml:space="preserve"> </v>
      </c>
      <c r="F186" s="190" t="str">
        <f t="shared" si="18"/>
        <v xml:space="preserve"> </v>
      </c>
    </row>
    <row r="187" spans="2:6" x14ac:dyDescent="0.35">
      <c r="B187" s="189" t="str">
        <f t="shared" si="16"/>
        <v xml:space="preserve"> </v>
      </c>
      <c r="C187" s="190" t="str">
        <f t="shared" si="14"/>
        <v xml:space="preserve"> </v>
      </c>
      <c r="D187" s="190" t="str">
        <f t="shared" si="15"/>
        <v xml:space="preserve"> </v>
      </c>
      <c r="E187" s="190" t="str">
        <f t="shared" si="17"/>
        <v xml:space="preserve"> </v>
      </c>
      <c r="F187" s="190" t="str">
        <f t="shared" si="18"/>
        <v xml:space="preserve"> </v>
      </c>
    </row>
    <row r="188" spans="2:6" x14ac:dyDescent="0.35">
      <c r="B188" s="189" t="str">
        <f t="shared" si="16"/>
        <v xml:space="preserve"> </v>
      </c>
      <c r="C188" s="190" t="str">
        <f t="shared" si="14"/>
        <v xml:space="preserve"> </v>
      </c>
      <c r="D188" s="190" t="str">
        <f t="shared" si="15"/>
        <v xml:space="preserve"> </v>
      </c>
      <c r="E188" s="190" t="str">
        <f t="shared" si="17"/>
        <v xml:space="preserve"> </v>
      </c>
      <c r="F188" s="190" t="str">
        <f t="shared" si="18"/>
        <v xml:space="preserve"> </v>
      </c>
    </row>
    <row r="189" spans="2:6" x14ac:dyDescent="0.35">
      <c r="B189" s="189" t="str">
        <f t="shared" si="16"/>
        <v xml:space="preserve"> </v>
      </c>
      <c r="C189" s="190" t="str">
        <f t="shared" si="14"/>
        <v xml:space="preserve"> </v>
      </c>
      <c r="D189" s="190" t="str">
        <f t="shared" si="15"/>
        <v xml:space="preserve"> </v>
      </c>
      <c r="E189" s="190" t="str">
        <f t="shared" si="17"/>
        <v xml:space="preserve"> </v>
      </c>
      <c r="F189" s="190" t="str">
        <f t="shared" si="18"/>
        <v xml:space="preserve"> </v>
      </c>
    </row>
    <row r="190" spans="2:6" x14ac:dyDescent="0.35">
      <c r="B190" s="189" t="str">
        <f t="shared" si="16"/>
        <v xml:space="preserve"> </v>
      </c>
      <c r="C190" s="190" t="str">
        <f t="shared" si="14"/>
        <v xml:space="preserve"> </v>
      </c>
      <c r="D190" s="190" t="str">
        <f t="shared" si="15"/>
        <v xml:space="preserve"> </v>
      </c>
      <c r="E190" s="190" t="str">
        <f t="shared" si="17"/>
        <v xml:space="preserve"> </v>
      </c>
      <c r="F190" s="190" t="str">
        <f t="shared" si="18"/>
        <v xml:space="preserve"> </v>
      </c>
    </row>
    <row r="191" spans="2:6" x14ac:dyDescent="0.35">
      <c r="B191" s="189" t="str">
        <f t="shared" si="16"/>
        <v xml:space="preserve"> </v>
      </c>
      <c r="C191" s="190" t="str">
        <f t="shared" si="14"/>
        <v xml:space="preserve"> </v>
      </c>
      <c r="D191" s="190" t="str">
        <f t="shared" si="15"/>
        <v xml:space="preserve"> </v>
      </c>
      <c r="E191" s="190" t="str">
        <f t="shared" si="17"/>
        <v xml:space="preserve"> </v>
      </c>
      <c r="F191" s="190" t="str">
        <f t="shared" si="18"/>
        <v xml:space="preserve"> </v>
      </c>
    </row>
    <row r="192" spans="2:6" x14ac:dyDescent="0.35">
      <c r="B192" s="189" t="str">
        <f t="shared" si="16"/>
        <v xml:space="preserve"> </v>
      </c>
      <c r="C192" s="190" t="str">
        <f t="shared" si="14"/>
        <v xml:space="preserve"> </v>
      </c>
      <c r="D192" s="190" t="str">
        <f t="shared" si="15"/>
        <v xml:space="preserve"> </v>
      </c>
      <c r="E192" s="190" t="str">
        <f t="shared" si="17"/>
        <v xml:space="preserve"> </v>
      </c>
      <c r="F192" s="190" t="str">
        <f t="shared" si="18"/>
        <v xml:space="preserve"> </v>
      </c>
    </row>
    <row r="193" spans="2:6" x14ac:dyDescent="0.35">
      <c r="B193" s="189" t="str">
        <f t="shared" si="16"/>
        <v xml:space="preserve"> </v>
      </c>
      <c r="C193" s="190" t="str">
        <f t="shared" si="14"/>
        <v xml:space="preserve"> </v>
      </c>
      <c r="D193" s="190" t="str">
        <f t="shared" si="15"/>
        <v xml:space="preserve"> </v>
      </c>
      <c r="E193" s="190" t="str">
        <f t="shared" si="17"/>
        <v xml:space="preserve"> </v>
      </c>
      <c r="F193" s="190" t="str">
        <f t="shared" si="18"/>
        <v xml:space="preserve"> </v>
      </c>
    </row>
    <row r="194" spans="2:6" x14ac:dyDescent="0.35">
      <c r="B194" s="189" t="str">
        <f t="shared" si="16"/>
        <v xml:space="preserve"> </v>
      </c>
      <c r="C194" s="190" t="str">
        <f t="shared" si="14"/>
        <v xml:space="preserve"> </v>
      </c>
      <c r="D194" s="190" t="str">
        <f t="shared" si="15"/>
        <v xml:space="preserve"> </v>
      </c>
      <c r="E194" s="190" t="str">
        <f t="shared" si="17"/>
        <v xml:space="preserve"> </v>
      </c>
      <c r="F194" s="190" t="str">
        <f t="shared" si="18"/>
        <v xml:space="preserve"> </v>
      </c>
    </row>
    <row r="195" spans="2:6" x14ac:dyDescent="0.35">
      <c r="B195" s="189" t="str">
        <f t="shared" si="16"/>
        <v xml:space="preserve"> </v>
      </c>
      <c r="C195" s="190" t="str">
        <f t="shared" si="14"/>
        <v xml:space="preserve"> </v>
      </c>
      <c r="D195" s="190" t="str">
        <f t="shared" si="15"/>
        <v xml:space="preserve"> </v>
      </c>
      <c r="E195" s="190" t="str">
        <f t="shared" si="17"/>
        <v xml:space="preserve"> </v>
      </c>
      <c r="F195" s="190" t="str">
        <f t="shared" si="18"/>
        <v xml:space="preserve"> </v>
      </c>
    </row>
    <row r="196" spans="2:6" x14ac:dyDescent="0.35">
      <c r="B196" s="189" t="str">
        <f t="shared" si="16"/>
        <v xml:space="preserve"> </v>
      </c>
      <c r="C196" s="190" t="str">
        <f t="shared" si="14"/>
        <v xml:space="preserve"> </v>
      </c>
      <c r="D196" s="190" t="str">
        <f t="shared" si="15"/>
        <v xml:space="preserve"> </v>
      </c>
      <c r="E196" s="190" t="str">
        <f t="shared" si="17"/>
        <v xml:space="preserve"> </v>
      </c>
      <c r="F196" s="190" t="str">
        <f t="shared" si="18"/>
        <v xml:space="preserve"> </v>
      </c>
    </row>
    <row r="197" spans="2:6" x14ac:dyDescent="0.35">
      <c r="B197" s="189" t="str">
        <f t="shared" si="16"/>
        <v xml:space="preserve"> </v>
      </c>
      <c r="C197" s="190" t="str">
        <f t="shared" si="14"/>
        <v xml:space="preserve"> </v>
      </c>
      <c r="D197" s="190" t="str">
        <f t="shared" si="15"/>
        <v xml:space="preserve"> </v>
      </c>
      <c r="E197" s="190" t="str">
        <f t="shared" si="17"/>
        <v xml:space="preserve"> </v>
      </c>
      <c r="F197" s="190" t="str">
        <f t="shared" si="18"/>
        <v xml:space="preserve"> </v>
      </c>
    </row>
    <row r="198" spans="2:6" x14ac:dyDescent="0.35">
      <c r="B198" s="189" t="str">
        <f t="shared" si="16"/>
        <v xml:space="preserve"> </v>
      </c>
      <c r="C198" s="190" t="str">
        <f t="shared" si="14"/>
        <v xml:space="preserve"> </v>
      </c>
      <c r="D198" s="190" t="str">
        <f t="shared" si="15"/>
        <v xml:space="preserve"> </v>
      </c>
      <c r="E198" s="190" t="str">
        <f t="shared" si="17"/>
        <v xml:space="preserve"> </v>
      </c>
      <c r="F198" s="190" t="str">
        <f t="shared" si="18"/>
        <v xml:space="preserve"> </v>
      </c>
    </row>
    <row r="199" spans="2:6" x14ac:dyDescent="0.35">
      <c r="B199" s="189" t="str">
        <f t="shared" si="16"/>
        <v xml:space="preserve"> </v>
      </c>
      <c r="C199" s="190" t="str">
        <f t="shared" si="14"/>
        <v xml:space="preserve"> </v>
      </c>
      <c r="D199" s="190" t="str">
        <f t="shared" si="15"/>
        <v xml:space="preserve"> </v>
      </c>
      <c r="E199" s="190" t="str">
        <f t="shared" si="17"/>
        <v xml:space="preserve"> </v>
      </c>
      <c r="F199" s="190" t="str">
        <f t="shared" si="18"/>
        <v xml:space="preserve"> </v>
      </c>
    </row>
    <row r="200" spans="2:6" x14ac:dyDescent="0.35">
      <c r="B200" s="189" t="str">
        <f t="shared" si="16"/>
        <v xml:space="preserve"> </v>
      </c>
      <c r="C200" s="190" t="str">
        <f t="shared" si="14"/>
        <v xml:space="preserve"> </v>
      </c>
      <c r="D200" s="190" t="str">
        <f t="shared" si="15"/>
        <v xml:space="preserve"> </v>
      </c>
      <c r="E200" s="190" t="str">
        <f t="shared" si="17"/>
        <v xml:space="preserve"> </v>
      </c>
      <c r="F200" s="190" t="str">
        <f t="shared" si="18"/>
        <v xml:space="preserve"> </v>
      </c>
    </row>
    <row r="201" spans="2:6" x14ac:dyDescent="0.35">
      <c r="B201" s="189" t="str">
        <f t="shared" si="16"/>
        <v xml:space="preserve"> </v>
      </c>
      <c r="C201" s="190" t="str">
        <f t="shared" si="14"/>
        <v xml:space="preserve"> </v>
      </c>
      <c r="D201" s="190" t="str">
        <f t="shared" si="15"/>
        <v xml:space="preserve"> </v>
      </c>
      <c r="E201" s="190" t="str">
        <f t="shared" si="17"/>
        <v xml:space="preserve"> </v>
      </c>
      <c r="F201" s="190" t="str">
        <f t="shared" si="18"/>
        <v xml:space="preserve"> </v>
      </c>
    </row>
    <row r="202" spans="2:6" x14ac:dyDescent="0.35">
      <c r="B202" s="189" t="str">
        <f t="shared" si="16"/>
        <v xml:space="preserve"> </v>
      </c>
      <c r="C202" s="190" t="str">
        <f t="shared" si="14"/>
        <v xml:space="preserve"> </v>
      </c>
      <c r="D202" s="190" t="str">
        <f t="shared" si="15"/>
        <v xml:space="preserve"> </v>
      </c>
      <c r="E202" s="190" t="str">
        <f t="shared" si="17"/>
        <v xml:space="preserve"> </v>
      </c>
      <c r="F202" s="190" t="str">
        <f t="shared" si="18"/>
        <v xml:space="preserve"> </v>
      </c>
    </row>
    <row r="203" spans="2:6" x14ac:dyDescent="0.35">
      <c r="B203" s="189" t="str">
        <f t="shared" si="16"/>
        <v xml:space="preserve"> </v>
      </c>
      <c r="C203" s="190" t="str">
        <f t="shared" si="14"/>
        <v xml:space="preserve"> </v>
      </c>
      <c r="D203" s="190" t="str">
        <f t="shared" si="15"/>
        <v xml:space="preserve"> </v>
      </c>
      <c r="E203" s="190" t="str">
        <f t="shared" si="17"/>
        <v xml:space="preserve"> </v>
      </c>
      <c r="F203" s="190" t="str">
        <f t="shared" si="18"/>
        <v xml:space="preserve"> </v>
      </c>
    </row>
    <row r="204" spans="2:6" x14ac:dyDescent="0.35">
      <c r="B204" s="189" t="str">
        <f t="shared" si="16"/>
        <v xml:space="preserve"> </v>
      </c>
      <c r="C204" s="190" t="str">
        <f t="shared" ref="C204:C267" si="19">IF(($B204&lt;=$F$8),IF($AK$14=1,PMT($G$6,$F$8,-MONTO),D204+E204)," ")</f>
        <v xml:space="preserve"> </v>
      </c>
      <c r="D204" s="190" t="str">
        <f t="shared" ref="D204:D267" si="20">IF(($B204&lt;=$F$8),$F203*INTERES," ")</f>
        <v xml:space="preserve"> </v>
      </c>
      <c r="E204" s="190" t="str">
        <f t="shared" si="17"/>
        <v xml:space="preserve"> </v>
      </c>
      <c r="F204" s="190" t="str">
        <f t="shared" si="18"/>
        <v xml:space="preserve"> </v>
      </c>
    </row>
    <row r="205" spans="2:6" x14ac:dyDescent="0.35">
      <c r="B205" s="189" t="str">
        <f t="shared" ref="B205:B268" si="21">IF((B204&lt;$F$8),B204+1," ")</f>
        <v xml:space="preserve"> </v>
      </c>
      <c r="C205" s="190" t="str">
        <f t="shared" si="19"/>
        <v xml:space="preserve"> </v>
      </c>
      <c r="D205" s="190" t="str">
        <f t="shared" si="20"/>
        <v xml:space="preserve"> </v>
      </c>
      <c r="E205" s="190" t="str">
        <f t="shared" si="17"/>
        <v xml:space="preserve"> </v>
      </c>
      <c r="F205" s="190" t="str">
        <f t="shared" si="18"/>
        <v xml:space="preserve"> </v>
      </c>
    </row>
    <row r="206" spans="2:6" x14ac:dyDescent="0.35">
      <c r="B206" s="189" t="str">
        <f t="shared" si="21"/>
        <v xml:space="preserve"> </v>
      </c>
      <c r="C206" s="190" t="str">
        <f t="shared" si="19"/>
        <v xml:space="preserve"> </v>
      </c>
      <c r="D206" s="190" t="str">
        <f t="shared" si="20"/>
        <v xml:space="preserve"> </v>
      </c>
      <c r="E206" s="190" t="str">
        <f t="shared" si="17"/>
        <v xml:space="preserve"> </v>
      </c>
      <c r="F206" s="190" t="str">
        <f t="shared" si="18"/>
        <v xml:space="preserve"> </v>
      </c>
    </row>
    <row r="207" spans="2:6" x14ac:dyDescent="0.35">
      <c r="B207" s="189" t="str">
        <f t="shared" si="21"/>
        <v xml:space="preserve"> </v>
      </c>
      <c r="C207" s="190" t="str">
        <f t="shared" si="19"/>
        <v xml:space="preserve"> </v>
      </c>
      <c r="D207" s="190" t="str">
        <f t="shared" si="20"/>
        <v xml:space="preserve"> </v>
      </c>
      <c r="E207" s="190" t="str">
        <f t="shared" si="17"/>
        <v xml:space="preserve"> </v>
      </c>
      <c r="F207" s="190" t="str">
        <f t="shared" si="18"/>
        <v xml:space="preserve"> </v>
      </c>
    </row>
    <row r="208" spans="2:6" x14ac:dyDescent="0.35">
      <c r="B208" s="189" t="str">
        <f t="shared" si="21"/>
        <v xml:space="preserve"> </v>
      </c>
      <c r="C208" s="190" t="str">
        <f t="shared" si="19"/>
        <v xml:space="preserve"> </v>
      </c>
      <c r="D208" s="190" t="str">
        <f t="shared" si="20"/>
        <v xml:space="preserve"> </v>
      </c>
      <c r="E208" s="190" t="str">
        <f t="shared" si="17"/>
        <v xml:space="preserve"> </v>
      </c>
      <c r="F208" s="190" t="str">
        <f t="shared" si="18"/>
        <v xml:space="preserve"> </v>
      </c>
    </row>
    <row r="209" spans="2:6" x14ac:dyDescent="0.35">
      <c r="B209" s="189" t="str">
        <f t="shared" si="21"/>
        <v xml:space="preserve"> </v>
      </c>
      <c r="C209" s="190" t="str">
        <f t="shared" si="19"/>
        <v xml:space="preserve"> </v>
      </c>
      <c r="D209" s="190" t="str">
        <f t="shared" si="20"/>
        <v xml:space="preserve"> </v>
      </c>
      <c r="E209" s="190" t="str">
        <f t="shared" si="17"/>
        <v xml:space="preserve"> </v>
      </c>
      <c r="F209" s="190" t="str">
        <f t="shared" si="18"/>
        <v xml:space="preserve"> </v>
      </c>
    </row>
    <row r="210" spans="2:6" x14ac:dyDescent="0.35">
      <c r="B210" s="189" t="str">
        <f t="shared" si="21"/>
        <v xml:space="preserve"> </v>
      </c>
      <c r="C210" s="190" t="str">
        <f t="shared" si="19"/>
        <v xml:space="preserve"> </v>
      </c>
      <c r="D210" s="190" t="str">
        <f t="shared" si="20"/>
        <v xml:space="preserve"> </v>
      </c>
      <c r="E210" s="190" t="str">
        <f t="shared" si="17"/>
        <v xml:space="preserve"> </v>
      </c>
      <c r="F210" s="190" t="str">
        <f t="shared" si="18"/>
        <v xml:space="preserve"> </v>
      </c>
    </row>
    <row r="211" spans="2:6" x14ac:dyDescent="0.35">
      <c r="B211" s="189" t="str">
        <f t="shared" si="21"/>
        <v xml:space="preserve"> </v>
      </c>
      <c r="C211" s="190" t="str">
        <f t="shared" si="19"/>
        <v xml:space="preserve"> </v>
      </c>
      <c r="D211" s="190" t="str">
        <f t="shared" si="20"/>
        <v xml:space="preserve"> </v>
      </c>
      <c r="E211" s="190" t="str">
        <f t="shared" si="17"/>
        <v xml:space="preserve"> </v>
      </c>
      <c r="F211" s="190" t="str">
        <f t="shared" si="18"/>
        <v xml:space="preserve"> </v>
      </c>
    </row>
    <row r="212" spans="2:6" x14ac:dyDescent="0.35">
      <c r="B212" s="189" t="str">
        <f t="shared" si="21"/>
        <v xml:space="preserve"> </v>
      </c>
      <c r="C212" s="190" t="str">
        <f t="shared" si="19"/>
        <v xml:space="preserve"> </v>
      </c>
      <c r="D212" s="190" t="str">
        <f t="shared" si="20"/>
        <v xml:space="preserve"> </v>
      </c>
      <c r="E212" s="190" t="str">
        <f t="shared" si="17"/>
        <v xml:space="preserve"> </v>
      </c>
      <c r="F212" s="190" t="str">
        <f t="shared" si="18"/>
        <v xml:space="preserve"> </v>
      </c>
    </row>
    <row r="213" spans="2:6" x14ac:dyDescent="0.35">
      <c r="B213" s="189" t="str">
        <f t="shared" si="21"/>
        <v xml:space="preserve"> </v>
      </c>
      <c r="C213" s="190" t="str">
        <f t="shared" si="19"/>
        <v xml:space="preserve"> </v>
      </c>
      <c r="D213" s="190" t="str">
        <f t="shared" si="20"/>
        <v xml:space="preserve"> </v>
      </c>
      <c r="E213" s="190" t="str">
        <f t="shared" si="17"/>
        <v xml:space="preserve"> </v>
      </c>
      <c r="F213" s="190" t="str">
        <f t="shared" si="18"/>
        <v xml:space="preserve"> </v>
      </c>
    </row>
    <row r="214" spans="2:6" x14ac:dyDescent="0.35">
      <c r="B214" s="189" t="str">
        <f t="shared" si="21"/>
        <v xml:space="preserve"> </v>
      </c>
      <c r="C214" s="190" t="str">
        <f t="shared" si="19"/>
        <v xml:space="preserve"> </v>
      </c>
      <c r="D214" s="190" t="str">
        <f t="shared" si="20"/>
        <v xml:space="preserve"> </v>
      </c>
      <c r="E214" s="190" t="str">
        <f t="shared" ref="E214:E277" si="22">IF(($B214&lt;=$F$8),IF($AK$14=1,C214-D214,$F$5/$F$8)," ")</f>
        <v xml:space="preserve"> </v>
      </c>
      <c r="F214" s="190" t="str">
        <f t="shared" ref="F214:F277" si="23">IF(($B214&lt;=$F$8),F213-E214," ")</f>
        <v xml:space="preserve"> </v>
      </c>
    </row>
    <row r="215" spans="2:6" x14ac:dyDescent="0.35">
      <c r="B215" s="189" t="str">
        <f t="shared" si="21"/>
        <v xml:space="preserve"> </v>
      </c>
      <c r="C215" s="190" t="str">
        <f t="shared" si="19"/>
        <v xml:space="preserve"> </v>
      </c>
      <c r="D215" s="190" t="str">
        <f t="shared" si="20"/>
        <v xml:space="preserve"> </v>
      </c>
      <c r="E215" s="190" t="str">
        <f t="shared" si="22"/>
        <v xml:space="preserve"> </v>
      </c>
      <c r="F215" s="190" t="str">
        <f t="shared" si="23"/>
        <v xml:space="preserve"> </v>
      </c>
    </row>
    <row r="216" spans="2:6" x14ac:dyDescent="0.35">
      <c r="B216" s="189" t="str">
        <f t="shared" si="21"/>
        <v xml:space="preserve"> </v>
      </c>
      <c r="C216" s="190" t="str">
        <f t="shared" si="19"/>
        <v xml:space="preserve"> </v>
      </c>
      <c r="D216" s="190" t="str">
        <f t="shared" si="20"/>
        <v xml:space="preserve"> </v>
      </c>
      <c r="E216" s="190" t="str">
        <f t="shared" si="22"/>
        <v xml:space="preserve"> </v>
      </c>
      <c r="F216" s="190" t="str">
        <f t="shared" si="23"/>
        <v xml:space="preserve"> </v>
      </c>
    </row>
    <row r="217" spans="2:6" x14ac:dyDescent="0.35">
      <c r="B217" s="189" t="str">
        <f t="shared" si="21"/>
        <v xml:space="preserve"> </v>
      </c>
      <c r="C217" s="190" t="str">
        <f t="shared" si="19"/>
        <v xml:space="preserve"> </v>
      </c>
      <c r="D217" s="190" t="str">
        <f t="shared" si="20"/>
        <v xml:space="preserve"> </v>
      </c>
      <c r="E217" s="190" t="str">
        <f t="shared" si="22"/>
        <v xml:space="preserve"> </v>
      </c>
      <c r="F217" s="190" t="str">
        <f t="shared" si="23"/>
        <v xml:space="preserve"> </v>
      </c>
    </row>
    <row r="218" spans="2:6" x14ac:dyDescent="0.35">
      <c r="B218" s="189" t="str">
        <f t="shared" si="21"/>
        <v xml:space="preserve"> </v>
      </c>
      <c r="C218" s="190" t="str">
        <f t="shared" si="19"/>
        <v xml:space="preserve"> </v>
      </c>
      <c r="D218" s="190" t="str">
        <f t="shared" si="20"/>
        <v xml:space="preserve"> </v>
      </c>
      <c r="E218" s="190" t="str">
        <f t="shared" si="22"/>
        <v xml:space="preserve"> </v>
      </c>
      <c r="F218" s="190" t="str">
        <f t="shared" si="23"/>
        <v xml:space="preserve"> </v>
      </c>
    </row>
    <row r="219" spans="2:6" x14ac:dyDescent="0.35">
      <c r="B219" s="189" t="str">
        <f t="shared" si="21"/>
        <v xml:space="preserve"> </v>
      </c>
      <c r="C219" s="190" t="str">
        <f t="shared" si="19"/>
        <v xml:space="preserve"> </v>
      </c>
      <c r="D219" s="190" t="str">
        <f t="shared" si="20"/>
        <v xml:space="preserve"> </v>
      </c>
      <c r="E219" s="190" t="str">
        <f t="shared" si="22"/>
        <v xml:space="preserve"> </v>
      </c>
      <c r="F219" s="190" t="str">
        <f t="shared" si="23"/>
        <v xml:space="preserve"> </v>
      </c>
    </row>
    <row r="220" spans="2:6" x14ac:dyDescent="0.35">
      <c r="B220" s="189" t="str">
        <f t="shared" si="21"/>
        <v xml:space="preserve"> </v>
      </c>
      <c r="C220" s="190" t="str">
        <f t="shared" si="19"/>
        <v xml:space="preserve"> </v>
      </c>
      <c r="D220" s="190" t="str">
        <f t="shared" si="20"/>
        <v xml:space="preserve"> </v>
      </c>
      <c r="E220" s="190" t="str">
        <f t="shared" si="22"/>
        <v xml:space="preserve"> </v>
      </c>
      <c r="F220" s="190" t="str">
        <f t="shared" si="23"/>
        <v xml:space="preserve"> </v>
      </c>
    </row>
    <row r="221" spans="2:6" x14ac:dyDescent="0.35">
      <c r="B221" s="189" t="str">
        <f t="shared" si="21"/>
        <v xml:space="preserve"> </v>
      </c>
      <c r="C221" s="190" t="str">
        <f t="shared" si="19"/>
        <v xml:space="preserve"> </v>
      </c>
      <c r="D221" s="190" t="str">
        <f t="shared" si="20"/>
        <v xml:space="preserve"> </v>
      </c>
      <c r="E221" s="190" t="str">
        <f t="shared" si="22"/>
        <v xml:space="preserve"> </v>
      </c>
      <c r="F221" s="190" t="str">
        <f t="shared" si="23"/>
        <v xml:space="preserve"> </v>
      </c>
    </row>
    <row r="222" spans="2:6" x14ac:dyDescent="0.35">
      <c r="B222" s="189" t="str">
        <f t="shared" si="21"/>
        <v xml:space="preserve"> </v>
      </c>
      <c r="C222" s="190" t="str">
        <f t="shared" si="19"/>
        <v xml:space="preserve"> </v>
      </c>
      <c r="D222" s="190" t="str">
        <f t="shared" si="20"/>
        <v xml:space="preserve"> </v>
      </c>
      <c r="E222" s="190" t="str">
        <f t="shared" si="22"/>
        <v xml:space="preserve"> </v>
      </c>
      <c r="F222" s="190" t="str">
        <f t="shared" si="23"/>
        <v xml:space="preserve"> </v>
      </c>
    </row>
    <row r="223" spans="2:6" x14ac:dyDescent="0.35">
      <c r="B223" s="189" t="str">
        <f t="shared" si="21"/>
        <v xml:space="preserve"> </v>
      </c>
      <c r="C223" s="190" t="str">
        <f t="shared" si="19"/>
        <v xml:space="preserve"> </v>
      </c>
      <c r="D223" s="190" t="str">
        <f t="shared" si="20"/>
        <v xml:space="preserve"> </v>
      </c>
      <c r="E223" s="190" t="str">
        <f t="shared" si="22"/>
        <v xml:space="preserve"> </v>
      </c>
      <c r="F223" s="190" t="str">
        <f t="shared" si="23"/>
        <v xml:space="preserve"> </v>
      </c>
    </row>
    <row r="224" spans="2:6" x14ac:dyDescent="0.35">
      <c r="B224" s="189" t="str">
        <f t="shared" si="21"/>
        <v xml:space="preserve"> </v>
      </c>
      <c r="C224" s="190" t="str">
        <f t="shared" si="19"/>
        <v xml:space="preserve"> </v>
      </c>
      <c r="D224" s="190" t="str">
        <f t="shared" si="20"/>
        <v xml:space="preserve"> </v>
      </c>
      <c r="E224" s="190" t="str">
        <f t="shared" si="22"/>
        <v xml:space="preserve"> </v>
      </c>
      <c r="F224" s="190" t="str">
        <f t="shared" si="23"/>
        <v xml:space="preserve"> </v>
      </c>
    </row>
    <row r="225" spans="2:6" x14ac:dyDescent="0.35">
      <c r="B225" s="189" t="str">
        <f t="shared" si="21"/>
        <v xml:space="preserve"> </v>
      </c>
      <c r="C225" s="190" t="str">
        <f t="shared" si="19"/>
        <v xml:space="preserve"> </v>
      </c>
      <c r="D225" s="190" t="str">
        <f t="shared" si="20"/>
        <v xml:space="preserve"> </v>
      </c>
      <c r="E225" s="190" t="str">
        <f t="shared" si="22"/>
        <v xml:space="preserve"> </v>
      </c>
      <c r="F225" s="190" t="str">
        <f t="shared" si="23"/>
        <v xml:space="preserve"> </v>
      </c>
    </row>
    <row r="226" spans="2:6" x14ac:dyDescent="0.35">
      <c r="B226" s="189" t="str">
        <f t="shared" si="21"/>
        <v xml:space="preserve"> </v>
      </c>
      <c r="C226" s="190" t="str">
        <f t="shared" si="19"/>
        <v xml:space="preserve"> </v>
      </c>
      <c r="D226" s="190" t="str">
        <f t="shared" si="20"/>
        <v xml:space="preserve"> </v>
      </c>
      <c r="E226" s="190" t="str">
        <f t="shared" si="22"/>
        <v xml:space="preserve"> </v>
      </c>
      <c r="F226" s="190" t="str">
        <f t="shared" si="23"/>
        <v xml:space="preserve"> </v>
      </c>
    </row>
    <row r="227" spans="2:6" x14ac:dyDescent="0.35">
      <c r="B227" s="189" t="str">
        <f t="shared" si="21"/>
        <v xml:space="preserve"> </v>
      </c>
      <c r="C227" s="190" t="str">
        <f t="shared" si="19"/>
        <v xml:space="preserve"> </v>
      </c>
      <c r="D227" s="190" t="str">
        <f t="shared" si="20"/>
        <v xml:space="preserve"> </v>
      </c>
      <c r="E227" s="190" t="str">
        <f t="shared" si="22"/>
        <v xml:space="preserve"> </v>
      </c>
      <c r="F227" s="190" t="str">
        <f t="shared" si="23"/>
        <v xml:space="preserve"> </v>
      </c>
    </row>
    <row r="228" spans="2:6" x14ac:dyDescent="0.35">
      <c r="B228" s="189" t="str">
        <f t="shared" si="21"/>
        <v xml:space="preserve"> </v>
      </c>
      <c r="C228" s="190" t="str">
        <f t="shared" si="19"/>
        <v xml:space="preserve"> </v>
      </c>
      <c r="D228" s="190" t="str">
        <f t="shared" si="20"/>
        <v xml:space="preserve"> </v>
      </c>
      <c r="E228" s="190" t="str">
        <f t="shared" si="22"/>
        <v xml:space="preserve"> </v>
      </c>
      <c r="F228" s="190" t="str">
        <f t="shared" si="23"/>
        <v xml:space="preserve"> </v>
      </c>
    </row>
    <row r="229" spans="2:6" x14ac:dyDescent="0.35">
      <c r="B229" s="189" t="str">
        <f t="shared" si="21"/>
        <v xml:space="preserve"> </v>
      </c>
      <c r="C229" s="190" t="str">
        <f t="shared" si="19"/>
        <v xml:space="preserve"> </v>
      </c>
      <c r="D229" s="190" t="str">
        <f t="shared" si="20"/>
        <v xml:space="preserve"> </v>
      </c>
      <c r="E229" s="190" t="str">
        <f t="shared" si="22"/>
        <v xml:space="preserve"> </v>
      </c>
      <c r="F229" s="190" t="str">
        <f t="shared" si="23"/>
        <v xml:space="preserve"> </v>
      </c>
    </row>
    <row r="230" spans="2:6" x14ac:dyDescent="0.35">
      <c r="B230" s="189" t="str">
        <f t="shared" si="21"/>
        <v xml:space="preserve"> </v>
      </c>
      <c r="C230" s="190" t="str">
        <f t="shared" si="19"/>
        <v xml:space="preserve"> </v>
      </c>
      <c r="D230" s="190" t="str">
        <f t="shared" si="20"/>
        <v xml:space="preserve"> </v>
      </c>
      <c r="E230" s="190" t="str">
        <f t="shared" si="22"/>
        <v xml:space="preserve"> </v>
      </c>
      <c r="F230" s="190" t="str">
        <f t="shared" si="23"/>
        <v xml:space="preserve"> </v>
      </c>
    </row>
    <row r="231" spans="2:6" x14ac:dyDescent="0.35">
      <c r="B231" s="189" t="str">
        <f t="shared" si="21"/>
        <v xml:space="preserve"> </v>
      </c>
      <c r="C231" s="190" t="str">
        <f t="shared" si="19"/>
        <v xml:space="preserve"> </v>
      </c>
      <c r="D231" s="190" t="str">
        <f t="shared" si="20"/>
        <v xml:space="preserve"> </v>
      </c>
      <c r="E231" s="190" t="str">
        <f t="shared" si="22"/>
        <v xml:space="preserve"> </v>
      </c>
      <c r="F231" s="190" t="str">
        <f t="shared" si="23"/>
        <v xml:space="preserve"> </v>
      </c>
    </row>
    <row r="232" spans="2:6" x14ac:dyDescent="0.35">
      <c r="B232" s="189" t="str">
        <f t="shared" si="21"/>
        <v xml:space="preserve"> </v>
      </c>
      <c r="C232" s="190" t="str">
        <f t="shared" si="19"/>
        <v xml:space="preserve"> </v>
      </c>
      <c r="D232" s="190" t="str">
        <f t="shared" si="20"/>
        <v xml:space="preserve"> </v>
      </c>
      <c r="E232" s="190" t="str">
        <f t="shared" si="22"/>
        <v xml:space="preserve"> </v>
      </c>
      <c r="F232" s="190" t="str">
        <f t="shared" si="23"/>
        <v xml:space="preserve"> </v>
      </c>
    </row>
    <row r="233" spans="2:6" x14ac:dyDescent="0.35">
      <c r="B233" s="189" t="str">
        <f t="shared" si="21"/>
        <v xml:space="preserve"> </v>
      </c>
      <c r="C233" s="190" t="str">
        <f t="shared" si="19"/>
        <v xml:space="preserve"> </v>
      </c>
      <c r="D233" s="190" t="str">
        <f t="shared" si="20"/>
        <v xml:space="preserve"> </v>
      </c>
      <c r="E233" s="190" t="str">
        <f t="shared" si="22"/>
        <v xml:space="preserve"> </v>
      </c>
      <c r="F233" s="190" t="str">
        <f t="shared" si="23"/>
        <v xml:space="preserve"> </v>
      </c>
    </row>
    <row r="234" spans="2:6" x14ac:dyDescent="0.35">
      <c r="B234" s="189" t="str">
        <f t="shared" si="21"/>
        <v xml:space="preserve"> </v>
      </c>
      <c r="C234" s="190" t="str">
        <f t="shared" si="19"/>
        <v xml:space="preserve"> </v>
      </c>
      <c r="D234" s="190" t="str">
        <f t="shared" si="20"/>
        <v xml:space="preserve"> </v>
      </c>
      <c r="E234" s="190" t="str">
        <f t="shared" si="22"/>
        <v xml:space="preserve"> </v>
      </c>
      <c r="F234" s="190" t="str">
        <f t="shared" si="23"/>
        <v xml:space="preserve"> </v>
      </c>
    </row>
    <row r="235" spans="2:6" x14ac:dyDescent="0.35">
      <c r="B235" s="189" t="str">
        <f t="shared" si="21"/>
        <v xml:space="preserve"> </v>
      </c>
      <c r="C235" s="190" t="str">
        <f t="shared" si="19"/>
        <v xml:space="preserve"> </v>
      </c>
      <c r="D235" s="190" t="str">
        <f t="shared" si="20"/>
        <v xml:space="preserve"> </v>
      </c>
      <c r="E235" s="190" t="str">
        <f t="shared" si="22"/>
        <v xml:space="preserve"> </v>
      </c>
      <c r="F235" s="190" t="str">
        <f t="shared" si="23"/>
        <v xml:space="preserve"> </v>
      </c>
    </row>
    <row r="236" spans="2:6" x14ac:dyDescent="0.35">
      <c r="B236" s="189" t="str">
        <f t="shared" si="21"/>
        <v xml:space="preserve"> </v>
      </c>
      <c r="C236" s="190" t="str">
        <f t="shared" si="19"/>
        <v xml:space="preserve"> </v>
      </c>
      <c r="D236" s="190" t="str">
        <f t="shared" si="20"/>
        <v xml:space="preserve"> </v>
      </c>
      <c r="E236" s="190" t="str">
        <f t="shared" si="22"/>
        <v xml:space="preserve"> </v>
      </c>
      <c r="F236" s="190" t="str">
        <f t="shared" si="23"/>
        <v xml:space="preserve"> </v>
      </c>
    </row>
    <row r="237" spans="2:6" x14ac:dyDescent="0.35">
      <c r="B237" s="189" t="str">
        <f t="shared" si="21"/>
        <v xml:space="preserve"> </v>
      </c>
      <c r="C237" s="190" t="str">
        <f t="shared" si="19"/>
        <v xml:space="preserve"> </v>
      </c>
      <c r="D237" s="190" t="str">
        <f t="shared" si="20"/>
        <v xml:space="preserve"> </v>
      </c>
      <c r="E237" s="190" t="str">
        <f t="shared" si="22"/>
        <v xml:space="preserve"> </v>
      </c>
      <c r="F237" s="190" t="str">
        <f t="shared" si="23"/>
        <v xml:space="preserve"> </v>
      </c>
    </row>
    <row r="238" spans="2:6" x14ac:dyDescent="0.35">
      <c r="B238" s="189" t="str">
        <f t="shared" si="21"/>
        <v xml:space="preserve"> </v>
      </c>
      <c r="C238" s="190" t="str">
        <f t="shared" si="19"/>
        <v xml:space="preserve"> </v>
      </c>
      <c r="D238" s="190" t="str">
        <f t="shared" si="20"/>
        <v xml:space="preserve"> </v>
      </c>
      <c r="E238" s="190" t="str">
        <f t="shared" si="22"/>
        <v xml:space="preserve"> </v>
      </c>
      <c r="F238" s="190" t="str">
        <f t="shared" si="23"/>
        <v xml:space="preserve"> </v>
      </c>
    </row>
    <row r="239" spans="2:6" x14ac:dyDescent="0.35">
      <c r="B239" s="189" t="str">
        <f t="shared" si="21"/>
        <v xml:space="preserve"> </v>
      </c>
      <c r="C239" s="190" t="str">
        <f t="shared" si="19"/>
        <v xml:space="preserve"> </v>
      </c>
      <c r="D239" s="190" t="str">
        <f t="shared" si="20"/>
        <v xml:space="preserve"> </v>
      </c>
      <c r="E239" s="190" t="str">
        <f t="shared" si="22"/>
        <v xml:space="preserve"> </v>
      </c>
      <c r="F239" s="190" t="str">
        <f t="shared" si="23"/>
        <v xml:space="preserve"> </v>
      </c>
    </row>
    <row r="240" spans="2:6" x14ac:dyDescent="0.35">
      <c r="B240" s="189" t="str">
        <f t="shared" si="21"/>
        <v xml:space="preserve"> </v>
      </c>
      <c r="C240" s="190" t="str">
        <f t="shared" si="19"/>
        <v xml:space="preserve"> </v>
      </c>
      <c r="D240" s="190" t="str">
        <f t="shared" si="20"/>
        <v xml:space="preserve"> </v>
      </c>
      <c r="E240" s="190" t="str">
        <f t="shared" si="22"/>
        <v xml:space="preserve"> </v>
      </c>
      <c r="F240" s="190" t="str">
        <f t="shared" si="23"/>
        <v xml:space="preserve"> </v>
      </c>
    </row>
    <row r="241" spans="2:6" x14ac:dyDescent="0.35">
      <c r="B241" s="189" t="str">
        <f t="shared" si="21"/>
        <v xml:space="preserve"> </v>
      </c>
      <c r="C241" s="190" t="str">
        <f t="shared" si="19"/>
        <v xml:space="preserve"> </v>
      </c>
      <c r="D241" s="190" t="str">
        <f t="shared" si="20"/>
        <v xml:space="preserve"> </v>
      </c>
      <c r="E241" s="190" t="str">
        <f t="shared" si="22"/>
        <v xml:space="preserve"> </v>
      </c>
      <c r="F241" s="190" t="str">
        <f t="shared" si="23"/>
        <v xml:space="preserve"> </v>
      </c>
    </row>
    <row r="242" spans="2:6" x14ac:dyDescent="0.35">
      <c r="B242" s="189" t="str">
        <f t="shared" si="21"/>
        <v xml:space="preserve"> </v>
      </c>
      <c r="C242" s="190" t="str">
        <f t="shared" si="19"/>
        <v xml:space="preserve"> </v>
      </c>
      <c r="D242" s="190" t="str">
        <f t="shared" si="20"/>
        <v xml:space="preserve"> </v>
      </c>
      <c r="E242" s="190" t="str">
        <f t="shared" si="22"/>
        <v xml:space="preserve"> </v>
      </c>
      <c r="F242" s="190" t="str">
        <f t="shared" si="23"/>
        <v xml:space="preserve"> </v>
      </c>
    </row>
    <row r="243" spans="2:6" x14ac:dyDescent="0.35">
      <c r="B243" s="189" t="str">
        <f t="shared" si="21"/>
        <v xml:space="preserve"> </v>
      </c>
      <c r="C243" s="190" t="str">
        <f t="shared" si="19"/>
        <v xml:space="preserve"> </v>
      </c>
      <c r="D243" s="190" t="str">
        <f t="shared" si="20"/>
        <v xml:space="preserve"> </v>
      </c>
      <c r="E243" s="190" t="str">
        <f t="shared" si="22"/>
        <v xml:space="preserve"> </v>
      </c>
      <c r="F243" s="190" t="str">
        <f t="shared" si="23"/>
        <v xml:space="preserve"> </v>
      </c>
    </row>
    <row r="244" spans="2:6" x14ac:dyDescent="0.35">
      <c r="B244" s="189" t="str">
        <f t="shared" si="21"/>
        <v xml:space="preserve"> </v>
      </c>
      <c r="C244" s="190" t="str">
        <f t="shared" si="19"/>
        <v xml:space="preserve"> </v>
      </c>
      <c r="D244" s="190" t="str">
        <f t="shared" si="20"/>
        <v xml:space="preserve"> </v>
      </c>
      <c r="E244" s="190" t="str">
        <f t="shared" si="22"/>
        <v xml:space="preserve"> </v>
      </c>
      <c r="F244" s="190" t="str">
        <f t="shared" si="23"/>
        <v xml:space="preserve"> </v>
      </c>
    </row>
    <row r="245" spans="2:6" x14ac:dyDescent="0.35">
      <c r="B245" s="189" t="str">
        <f t="shared" si="21"/>
        <v xml:space="preserve"> </v>
      </c>
      <c r="C245" s="190" t="str">
        <f t="shared" si="19"/>
        <v xml:space="preserve"> </v>
      </c>
      <c r="D245" s="190" t="str">
        <f t="shared" si="20"/>
        <v xml:space="preserve"> </v>
      </c>
      <c r="E245" s="190" t="str">
        <f t="shared" si="22"/>
        <v xml:space="preserve"> </v>
      </c>
      <c r="F245" s="190" t="str">
        <f t="shared" si="23"/>
        <v xml:space="preserve"> </v>
      </c>
    </row>
    <row r="246" spans="2:6" x14ac:dyDescent="0.35">
      <c r="B246" s="189" t="str">
        <f t="shared" si="21"/>
        <v xml:space="preserve"> </v>
      </c>
      <c r="C246" s="190" t="str">
        <f t="shared" si="19"/>
        <v xml:space="preserve"> </v>
      </c>
      <c r="D246" s="190" t="str">
        <f t="shared" si="20"/>
        <v xml:space="preserve"> </v>
      </c>
      <c r="E246" s="190" t="str">
        <f t="shared" si="22"/>
        <v xml:space="preserve"> </v>
      </c>
      <c r="F246" s="190" t="str">
        <f t="shared" si="23"/>
        <v xml:space="preserve"> </v>
      </c>
    </row>
    <row r="247" spans="2:6" x14ac:dyDescent="0.35">
      <c r="B247" s="189" t="str">
        <f t="shared" si="21"/>
        <v xml:space="preserve"> </v>
      </c>
      <c r="C247" s="190" t="str">
        <f t="shared" si="19"/>
        <v xml:space="preserve"> </v>
      </c>
      <c r="D247" s="190" t="str">
        <f t="shared" si="20"/>
        <v xml:space="preserve"> </v>
      </c>
      <c r="E247" s="190" t="str">
        <f t="shared" si="22"/>
        <v xml:space="preserve"> </v>
      </c>
      <c r="F247" s="190" t="str">
        <f t="shared" si="23"/>
        <v xml:space="preserve"> </v>
      </c>
    </row>
    <row r="248" spans="2:6" x14ac:dyDescent="0.35">
      <c r="B248" s="189" t="str">
        <f t="shared" si="21"/>
        <v xml:space="preserve"> </v>
      </c>
      <c r="C248" s="190" t="str">
        <f t="shared" si="19"/>
        <v xml:space="preserve"> </v>
      </c>
      <c r="D248" s="190" t="str">
        <f t="shared" si="20"/>
        <v xml:space="preserve"> </v>
      </c>
      <c r="E248" s="190" t="str">
        <f t="shared" si="22"/>
        <v xml:space="preserve"> </v>
      </c>
      <c r="F248" s="190" t="str">
        <f t="shared" si="23"/>
        <v xml:space="preserve"> </v>
      </c>
    </row>
    <row r="249" spans="2:6" x14ac:dyDescent="0.35">
      <c r="B249" s="189" t="str">
        <f t="shared" si="21"/>
        <v xml:space="preserve"> </v>
      </c>
      <c r="C249" s="190" t="str">
        <f t="shared" si="19"/>
        <v xml:space="preserve"> </v>
      </c>
      <c r="D249" s="190" t="str">
        <f t="shared" si="20"/>
        <v xml:space="preserve"> </v>
      </c>
      <c r="E249" s="190" t="str">
        <f t="shared" si="22"/>
        <v xml:space="preserve"> </v>
      </c>
      <c r="F249" s="190" t="str">
        <f t="shared" si="23"/>
        <v xml:space="preserve"> </v>
      </c>
    </row>
    <row r="250" spans="2:6" x14ac:dyDescent="0.35">
      <c r="B250" s="189" t="str">
        <f t="shared" si="21"/>
        <v xml:space="preserve"> </v>
      </c>
      <c r="C250" s="190" t="str">
        <f t="shared" si="19"/>
        <v xml:space="preserve"> </v>
      </c>
      <c r="D250" s="190" t="str">
        <f t="shared" si="20"/>
        <v xml:space="preserve"> </v>
      </c>
      <c r="E250" s="190" t="str">
        <f t="shared" si="22"/>
        <v xml:space="preserve"> </v>
      </c>
      <c r="F250" s="190" t="str">
        <f t="shared" si="23"/>
        <v xml:space="preserve"> </v>
      </c>
    </row>
    <row r="251" spans="2:6" x14ac:dyDescent="0.35">
      <c r="B251" s="189" t="str">
        <f t="shared" si="21"/>
        <v xml:space="preserve"> </v>
      </c>
      <c r="C251" s="190" t="str">
        <f t="shared" si="19"/>
        <v xml:space="preserve"> </v>
      </c>
      <c r="D251" s="190" t="str">
        <f t="shared" si="20"/>
        <v xml:space="preserve"> </v>
      </c>
      <c r="E251" s="190" t="str">
        <f t="shared" si="22"/>
        <v xml:space="preserve"> </v>
      </c>
      <c r="F251" s="190" t="str">
        <f t="shared" si="23"/>
        <v xml:space="preserve"> </v>
      </c>
    </row>
    <row r="252" spans="2:6" x14ac:dyDescent="0.35">
      <c r="B252" s="189" t="str">
        <f t="shared" si="21"/>
        <v xml:space="preserve"> </v>
      </c>
      <c r="C252" s="190" t="str">
        <f t="shared" si="19"/>
        <v xml:space="preserve"> </v>
      </c>
      <c r="D252" s="190" t="str">
        <f t="shared" si="20"/>
        <v xml:space="preserve"> </v>
      </c>
      <c r="E252" s="190" t="str">
        <f t="shared" si="22"/>
        <v xml:space="preserve"> </v>
      </c>
      <c r="F252" s="190" t="str">
        <f t="shared" si="23"/>
        <v xml:space="preserve"> </v>
      </c>
    </row>
    <row r="253" spans="2:6" x14ac:dyDescent="0.35">
      <c r="B253" s="189" t="str">
        <f t="shared" si="21"/>
        <v xml:space="preserve"> </v>
      </c>
      <c r="C253" s="190" t="str">
        <f t="shared" si="19"/>
        <v xml:space="preserve"> </v>
      </c>
      <c r="D253" s="190" t="str">
        <f t="shared" si="20"/>
        <v xml:space="preserve"> </v>
      </c>
      <c r="E253" s="190" t="str">
        <f t="shared" si="22"/>
        <v xml:space="preserve"> </v>
      </c>
      <c r="F253" s="190" t="str">
        <f t="shared" si="23"/>
        <v xml:space="preserve"> </v>
      </c>
    </row>
    <row r="254" spans="2:6" x14ac:dyDescent="0.35">
      <c r="B254" s="189" t="str">
        <f t="shared" si="21"/>
        <v xml:space="preserve"> </v>
      </c>
      <c r="C254" s="190" t="str">
        <f t="shared" si="19"/>
        <v xml:space="preserve"> </v>
      </c>
      <c r="D254" s="190" t="str">
        <f t="shared" si="20"/>
        <v xml:space="preserve"> </v>
      </c>
      <c r="E254" s="190" t="str">
        <f t="shared" si="22"/>
        <v xml:space="preserve"> </v>
      </c>
      <c r="F254" s="190" t="str">
        <f t="shared" si="23"/>
        <v xml:space="preserve"> </v>
      </c>
    </row>
    <row r="255" spans="2:6" x14ac:dyDescent="0.35">
      <c r="B255" s="189" t="str">
        <f t="shared" si="21"/>
        <v xml:space="preserve"> </v>
      </c>
      <c r="C255" s="190" t="str">
        <f t="shared" si="19"/>
        <v xml:space="preserve"> </v>
      </c>
      <c r="D255" s="190" t="str">
        <f t="shared" si="20"/>
        <v xml:space="preserve"> </v>
      </c>
      <c r="E255" s="190" t="str">
        <f t="shared" si="22"/>
        <v xml:space="preserve"> </v>
      </c>
      <c r="F255" s="190" t="str">
        <f t="shared" si="23"/>
        <v xml:space="preserve"> </v>
      </c>
    </row>
    <row r="256" spans="2:6" x14ac:dyDescent="0.35">
      <c r="B256" s="189" t="str">
        <f t="shared" si="21"/>
        <v xml:space="preserve"> </v>
      </c>
      <c r="C256" s="190" t="str">
        <f t="shared" si="19"/>
        <v xml:space="preserve"> </v>
      </c>
      <c r="D256" s="190" t="str">
        <f t="shared" si="20"/>
        <v xml:space="preserve"> </v>
      </c>
      <c r="E256" s="190" t="str">
        <f t="shared" si="22"/>
        <v xml:space="preserve"> </v>
      </c>
      <c r="F256" s="190" t="str">
        <f t="shared" si="23"/>
        <v xml:space="preserve"> </v>
      </c>
    </row>
    <row r="257" spans="2:6" x14ac:dyDescent="0.35">
      <c r="B257" s="189" t="str">
        <f t="shared" si="21"/>
        <v xml:space="preserve"> </v>
      </c>
      <c r="C257" s="190" t="str">
        <f t="shared" si="19"/>
        <v xml:space="preserve"> </v>
      </c>
      <c r="D257" s="190" t="str">
        <f t="shared" si="20"/>
        <v xml:space="preserve"> </v>
      </c>
      <c r="E257" s="190" t="str">
        <f t="shared" si="22"/>
        <v xml:space="preserve"> </v>
      </c>
      <c r="F257" s="190" t="str">
        <f t="shared" si="23"/>
        <v xml:space="preserve"> </v>
      </c>
    </row>
    <row r="258" spans="2:6" x14ac:dyDescent="0.35">
      <c r="B258" s="189" t="str">
        <f t="shared" si="21"/>
        <v xml:space="preserve"> </v>
      </c>
      <c r="C258" s="190" t="str">
        <f t="shared" si="19"/>
        <v xml:space="preserve"> </v>
      </c>
      <c r="D258" s="190" t="str">
        <f t="shared" si="20"/>
        <v xml:space="preserve"> </v>
      </c>
      <c r="E258" s="190" t="str">
        <f t="shared" si="22"/>
        <v xml:space="preserve"> </v>
      </c>
      <c r="F258" s="190" t="str">
        <f t="shared" si="23"/>
        <v xml:space="preserve"> </v>
      </c>
    </row>
    <row r="259" spans="2:6" x14ac:dyDescent="0.35">
      <c r="B259" s="189" t="str">
        <f t="shared" si="21"/>
        <v xml:space="preserve"> </v>
      </c>
      <c r="C259" s="190" t="str">
        <f t="shared" si="19"/>
        <v xml:space="preserve"> </v>
      </c>
      <c r="D259" s="190" t="str">
        <f t="shared" si="20"/>
        <v xml:space="preserve"> </v>
      </c>
      <c r="E259" s="190" t="str">
        <f t="shared" si="22"/>
        <v xml:space="preserve"> </v>
      </c>
      <c r="F259" s="190" t="str">
        <f t="shared" si="23"/>
        <v xml:space="preserve"> </v>
      </c>
    </row>
    <row r="260" spans="2:6" x14ac:dyDescent="0.35">
      <c r="B260" s="189" t="str">
        <f t="shared" si="21"/>
        <v xml:space="preserve"> </v>
      </c>
      <c r="C260" s="190" t="str">
        <f t="shared" si="19"/>
        <v xml:space="preserve"> </v>
      </c>
      <c r="D260" s="190" t="str">
        <f t="shared" si="20"/>
        <v xml:space="preserve"> </v>
      </c>
      <c r="E260" s="190" t="str">
        <f t="shared" si="22"/>
        <v xml:space="preserve"> </v>
      </c>
      <c r="F260" s="190" t="str">
        <f t="shared" si="23"/>
        <v xml:space="preserve"> </v>
      </c>
    </row>
    <row r="261" spans="2:6" x14ac:dyDescent="0.35">
      <c r="B261" s="189" t="str">
        <f t="shared" si="21"/>
        <v xml:space="preserve"> </v>
      </c>
      <c r="C261" s="190" t="str">
        <f t="shared" si="19"/>
        <v xml:space="preserve"> </v>
      </c>
      <c r="D261" s="190" t="str">
        <f t="shared" si="20"/>
        <v xml:space="preserve"> </v>
      </c>
      <c r="E261" s="190" t="str">
        <f t="shared" si="22"/>
        <v xml:space="preserve"> </v>
      </c>
      <c r="F261" s="190" t="str">
        <f t="shared" si="23"/>
        <v xml:space="preserve"> </v>
      </c>
    </row>
    <row r="262" spans="2:6" x14ac:dyDescent="0.35">
      <c r="B262" s="189" t="str">
        <f t="shared" si="21"/>
        <v xml:space="preserve"> </v>
      </c>
      <c r="C262" s="190" t="str">
        <f t="shared" si="19"/>
        <v xml:space="preserve"> </v>
      </c>
      <c r="D262" s="190" t="str">
        <f t="shared" si="20"/>
        <v xml:space="preserve"> </v>
      </c>
      <c r="E262" s="190" t="str">
        <f t="shared" si="22"/>
        <v xml:space="preserve"> </v>
      </c>
      <c r="F262" s="190" t="str">
        <f t="shared" si="23"/>
        <v xml:space="preserve"> </v>
      </c>
    </row>
    <row r="263" spans="2:6" x14ac:dyDescent="0.35">
      <c r="B263" s="189" t="str">
        <f t="shared" si="21"/>
        <v xml:space="preserve"> </v>
      </c>
      <c r="C263" s="190" t="str">
        <f t="shared" si="19"/>
        <v xml:space="preserve"> </v>
      </c>
      <c r="D263" s="190" t="str">
        <f t="shared" si="20"/>
        <v xml:space="preserve"> </v>
      </c>
      <c r="E263" s="190" t="str">
        <f t="shared" si="22"/>
        <v xml:space="preserve"> </v>
      </c>
      <c r="F263" s="190" t="str">
        <f t="shared" si="23"/>
        <v xml:space="preserve"> </v>
      </c>
    </row>
    <row r="264" spans="2:6" x14ac:dyDescent="0.35">
      <c r="B264" s="189" t="str">
        <f t="shared" si="21"/>
        <v xml:space="preserve"> </v>
      </c>
      <c r="C264" s="190" t="str">
        <f t="shared" si="19"/>
        <v xml:space="preserve"> </v>
      </c>
      <c r="D264" s="190" t="str">
        <f t="shared" si="20"/>
        <v xml:space="preserve"> </v>
      </c>
      <c r="E264" s="190" t="str">
        <f t="shared" si="22"/>
        <v xml:space="preserve"> </v>
      </c>
      <c r="F264" s="190" t="str">
        <f t="shared" si="23"/>
        <v xml:space="preserve"> </v>
      </c>
    </row>
    <row r="265" spans="2:6" x14ac:dyDescent="0.35">
      <c r="B265" s="189" t="str">
        <f t="shared" si="21"/>
        <v xml:space="preserve"> </v>
      </c>
      <c r="C265" s="190" t="str">
        <f t="shared" si="19"/>
        <v xml:space="preserve"> </v>
      </c>
      <c r="D265" s="190" t="str">
        <f t="shared" si="20"/>
        <v xml:space="preserve"> </v>
      </c>
      <c r="E265" s="190" t="str">
        <f t="shared" si="22"/>
        <v xml:space="preserve"> </v>
      </c>
      <c r="F265" s="190" t="str">
        <f t="shared" si="23"/>
        <v xml:space="preserve"> </v>
      </c>
    </row>
    <row r="266" spans="2:6" x14ac:dyDescent="0.35">
      <c r="B266" s="189" t="str">
        <f t="shared" si="21"/>
        <v xml:space="preserve"> </v>
      </c>
      <c r="C266" s="190" t="str">
        <f t="shared" si="19"/>
        <v xml:space="preserve"> </v>
      </c>
      <c r="D266" s="190" t="str">
        <f t="shared" si="20"/>
        <v xml:space="preserve"> </v>
      </c>
      <c r="E266" s="190" t="str">
        <f t="shared" si="22"/>
        <v xml:space="preserve"> </v>
      </c>
      <c r="F266" s="190" t="str">
        <f t="shared" si="23"/>
        <v xml:space="preserve"> </v>
      </c>
    </row>
    <row r="267" spans="2:6" x14ac:dyDescent="0.35">
      <c r="B267" s="189" t="str">
        <f t="shared" si="21"/>
        <v xml:space="preserve"> </v>
      </c>
      <c r="C267" s="190" t="str">
        <f t="shared" si="19"/>
        <v xml:space="preserve"> </v>
      </c>
      <c r="D267" s="190" t="str">
        <f t="shared" si="20"/>
        <v xml:space="preserve"> </v>
      </c>
      <c r="E267" s="190" t="str">
        <f t="shared" si="22"/>
        <v xml:space="preserve"> </v>
      </c>
      <c r="F267" s="190" t="str">
        <f t="shared" si="23"/>
        <v xml:space="preserve"> </v>
      </c>
    </row>
    <row r="268" spans="2:6" x14ac:dyDescent="0.35">
      <c r="B268" s="189" t="str">
        <f t="shared" si="21"/>
        <v xml:space="preserve"> </v>
      </c>
      <c r="C268" s="190" t="str">
        <f t="shared" ref="C268:C331" si="24">IF(($B268&lt;=$F$8),IF($AK$14=1,PMT($G$6,$F$8,-MONTO),D268+E268)," ")</f>
        <v xml:space="preserve"> </v>
      </c>
      <c r="D268" s="190" t="str">
        <f t="shared" ref="D268:D331" si="25">IF(($B268&lt;=$F$8),$F267*INTERES," ")</f>
        <v xml:space="preserve"> </v>
      </c>
      <c r="E268" s="190" t="str">
        <f t="shared" si="22"/>
        <v xml:space="preserve"> </v>
      </c>
      <c r="F268" s="190" t="str">
        <f t="shared" si="23"/>
        <v xml:space="preserve"> </v>
      </c>
    </row>
    <row r="269" spans="2:6" x14ac:dyDescent="0.35">
      <c r="B269" s="189" t="str">
        <f t="shared" ref="B269:B332" si="26">IF((B268&lt;$F$8),B268+1," ")</f>
        <v xml:space="preserve"> </v>
      </c>
      <c r="C269" s="190" t="str">
        <f t="shared" si="24"/>
        <v xml:space="preserve"> </v>
      </c>
      <c r="D269" s="190" t="str">
        <f t="shared" si="25"/>
        <v xml:space="preserve"> </v>
      </c>
      <c r="E269" s="190" t="str">
        <f t="shared" si="22"/>
        <v xml:space="preserve"> </v>
      </c>
      <c r="F269" s="190" t="str">
        <f t="shared" si="23"/>
        <v xml:space="preserve"> </v>
      </c>
    </row>
    <row r="270" spans="2:6" x14ac:dyDescent="0.35">
      <c r="B270" s="189" t="str">
        <f t="shared" si="26"/>
        <v xml:space="preserve"> </v>
      </c>
      <c r="C270" s="190" t="str">
        <f t="shared" si="24"/>
        <v xml:space="preserve"> </v>
      </c>
      <c r="D270" s="190" t="str">
        <f t="shared" si="25"/>
        <v xml:space="preserve"> </v>
      </c>
      <c r="E270" s="190" t="str">
        <f t="shared" si="22"/>
        <v xml:space="preserve"> </v>
      </c>
      <c r="F270" s="190" t="str">
        <f t="shared" si="23"/>
        <v xml:space="preserve"> </v>
      </c>
    </row>
    <row r="271" spans="2:6" x14ac:dyDescent="0.35">
      <c r="B271" s="189" t="str">
        <f t="shared" si="26"/>
        <v xml:space="preserve"> </v>
      </c>
      <c r="C271" s="190" t="str">
        <f t="shared" si="24"/>
        <v xml:space="preserve"> </v>
      </c>
      <c r="D271" s="190" t="str">
        <f t="shared" si="25"/>
        <v xml:space="preserve"> </v>
      </c>
      <c r="E271" s="190" t="str">
        <f t="shared" si="22"/>
        <v xml:space="preserve"> </v>
      </c>
      <c r="F271" s="190" t="str">
        <f t="shared" si="23"/>
        <v xml:space="preserve"> </v>
      </c>
    </row>
    <row r="272" spans="2:6" x14ac:dyDescent="0.35">
      <c r="B272" s="189" t="str">
        <f t="shared" si="26"/>
        <v xml:space="preserve"> </v>
      </c>
      <c r="C272" s="190" t="str">
        <f t="shared" si="24"/>
        <v xml:space="preserve"> </v>
      </c>
      <c r="D272" s="190" t="str">
        <f t="shared" si="25"/>
        <v xml:space="preserve"> </v>
      </c>
      <c r="E272" s="190" t="str">
        <f t="shared" si="22"/>
        <v xml:space="preserve"> </v>
      </c>
      <c r="F272" s="190" t="str">
        <f t="shared" si="23"/>
        <v xml:space="preserve"> </v>
      </c>
    </row>
    <row r="273" spans="2:6" x14ac:dyDescent="0.35">
      <c r="B273" s="189" t="str">
        <f t="shared" si="26"/>
        <v xml:space="preserve"> </v>
      </c>
      <c r="C273" s="190" t="str">
        <f t="shared" si="24"/>
        <v xml:space="preserve"> </v>
      </c>
      <c r="D273" s="190" t="str">
        <f t="shared" si="25"/>
        <v xml:space="preserve"> </v>
      </c>
      <c r="E273" s="190" t="str">
        <f t="shared" si="22"/>
        <v xml:space="preserve"> </v>
      </c>
      <c r="F273" s="190" t="str">
        <f t="shared" si="23"/>
        <v xml:space="preserve"> </v>
      </c>
    </row>
    <row r="274" spans="2:6" x14ac:dyDescent="0.35">
      <c r="B274" s="189" t="str">
        <f t="shared" si="26"/>
        <v xml:space="preserve"> </v>
      </c>
      <c r="C274" s="190" t="str">
        <f t="shared" si="24"/>
        <v xml:space="preserve"> </v>
      </c>
      <c r="D274" s="190" t="str">
        <f t="shared" si="25"/>
        <v xml:space="preserve"> </v>
      </c>
      <c r="E274" s="190" t="str">
        <f t="shared" si="22"/>
        <v xml:space="preserve"> </v>
      </c>
      <c r="F274" s="190" t="str">
        <f t="shared" si="23"/>
        <v xml:space="preserve"> </v>
      </c>
    </row>
    <row r="275" spans="2:6" x14ac:dyDescent="0.35">
      <c r="B275" s="189" t="str">
        <f t="shared" si="26"/>
        <v xml:space="preserve"> </v>
      </c>
      <c r="C275" s="190" t="str">
        <f t="shared" si="24"/>
        <v xml:space="preserve"> </v>
      </c>
      <c r="D275" s="190" t="str">
        <f t="shared" si="25"/>
        <v xml:space="preserve"> </v>
      </c>
      <c r="E275" s="190" t="str">
        <f t="shared" si="22"/>
        <v xml:space="preserve"> </v>
      </c>
      <c r="F275" s="190" t="str">
        <f t="shared" si="23"/>
        <v xml:space="preserve"> </v>
      </c>
    </row>
    <row r="276" spans="2:6" x14ac:dyDescent="0.35">
      <c r="B276" s="189" t="str">
        <f t="shared" si="26"/>
        <v xml:space="preserve"> </v>
      </c>
      <c r="C276" s="190" t="str">
        <f t="shared" si="24"/>
        <v xml:space="preserve"> </v>
      </c>
      <c r="D276" s="190" t="str">
        <f t="shared" si="25"/>
        <v xml:space="preserve"> </v>
      </c>
      <c r="E276" s="190" t="str">
        <f t="shared" si="22"/>
        <v xml:space="preserve"> </v>
      </c>
      <c r="F276" s="190" t="str">
        <f t="shared" si="23"/>
        <v xml:space="preserve"> </v>
      </c>
    </row>
    <row r="277" spans="2:6" x14ac:dyDescent="0.35">
      <c r="B277" s="189" t="str">
        <f t="shared" si="26"/>
        <v xml:space="preserve"> </v>
      </c>
      <c r="C277" s="190" t="str">
        <f t="shared" si="24"/>
        <v xml:space="preserve"> </v>
      </c>
      <c r="D277" s="190" t="str">
        <f t="shared" si="25"/>
        <v xml:space="preserve"> </v>
      </c>
      <c r="E277" s="190" t="str">
        <f t="shared" si="22"/>
        <v xml:space="preserve"> </v>
      </c>
      <c r="F277" s="190" t="str">
        <f t="shared" si="23"/>
        <v xml:space="preserve"> </v>
      </c>
    </row>
    <row r="278" spans="2:6" x14ac:dyDescent="0.35">
      <c r="B278" s="189" t="str">
        <f t="shared" si="26"/>
        <v xml:space="preserve"> </v>
      </c>
      <c r="C278" s="190" t="str">
        <f t="shared" si="24"/>
        <v xml:space="preserve"> </v>
      </c>
      <c r="D278" s="190" t="str">
        <f t="shared" si="25"/>
        <v xml:space="preserve"> </v>
      </c>
      <c r="E278" s="190" t="str">
        <f t="shared" ref="E278:E341" si="27">IF(($B278&lt;=$F$8),IF($AK$14=1,C278-D278,$F$5/$F$8)," ")</f>
        <v xml:space="preserve"> </v>
      </c>
      <c r="F278" s="190" t="str">
        <f t="shared" ref="F278:F341" si="28">IF(($B278&lt;=$F$8),F277-E278," ")</f>
        <v xml:space="preserve"> </v>
      </c>
    </row>
    <row r="279" spans="2:6" x14ac:dyDescent="0.35">
      <c r="B279" s="189" t="str">
        <f t="shared" si="26"/>
        <v xml:space="preserve"> </v>
      </c>
      <c r="C279" s="190" t="str">
        <f t="shared" si="24"/>
        <v xml:space="preserve"> </v>
      </c>
      <c r="D279" s="190" t="str">
        <f t="shared" si="25"/>
        <v xml:space="preserve"> </v>
      </c>
      <c r="E279" s="190" t="str">
        <f t="shared" si="27"/>
        <v xml:space="preserve"> </v>
      </c>
      <c r="F279" s="190" t="str">
        <f t="shared" si="28"/>
        <v xml:space="preserve"> </v>
      </c>
    </row>
    <row r="280" spans="2:6" x14ac:dyDescent="0.35">
      <c r="B280" s="189" t="str">
        <f t="shared" si="26"/>
        <v xml:space="preserve"> </v>
      </c>
      <c r="C280" s="190" t="str">
        <f t="shared" si="24"/>
        <v xml:space="preserve"> </v>
      </c>
      <c r="D280" s="190" t="str">
        <f t="shared" si="25"/>
        <v xml:space="preserve"> </v>
      </c>
      <c r="E280" s="190" t="str">
        <f t="shared" si="27"/>
        <v xml:space="preserve"> </v>
      </c>
      <c r="F280" s="190" t="str">
        <f t="shared" si="28"/>
        <v xml:space="preserve"> </v>
      </c>
    </row>
    <row r="281" spans="2:6" x14ac:dyDescent="0.35">
      <c r="B281" s="189" t="str">
        <f t="shared" si="26"/>
        <v xml:space="preserve"> </v>
      </c>
      <c r="C281" s="190" t="str">
        <f t="shared" si="24"/>
        <v xml:space="preserve"> </v>
      </c>
      <c r="D281" s="190" t="str">
        <f t="shared" si="25"/>
        <v xml:space="preserve"> </v>
      </c>
      <c r="E281" s="190" t="str">
        <f t="shared" si="27"/>
        <v xml:space="preserve"> </v>
      </c>
      <c r="F281" s="190" t="str">
        <f t="shared" si="28"/>
        <v xml:space="preserve"> </v>
      </c>
    </row>
    <row r="282" spans="2:6" x14ac:dyDescent="0.35">
      <c r="B282" s="189" t="str">
        <f t="shared" si="26"/>
        <v xml:space="preserve"> </v>
      </c>
      <c r="C282" s="190" t="str">
        <f t="shared" si="24"/>
        <v xml:space="preserve"> </v>
      </c>
      <c r="D282" s="190" t="str">
        <f t="shared" si="25"/>
        <v xml:space="preserve"> </v>
      </c>
      <c r="E282" s="190" t="str">
        <f t="shared" si="27"/>
        <v xml:space="preserve"> </v>
      </c>
      <c r="F282" s="190" t="str">
        <f t="shared" si="28"/>
        <v xml:space="preserve"> </v>
      </c>
    </row>
    <row r="283" spans="2:6" x14ac:dyDescent="0.35">
      <c r="B283" s="189" t="str">
        <f t="shared" si="26"/>
        <v xml:space="preserve"> </v>
      </c>
      <c r="C283" s="190" t="str">
        <f t="shared" si="24"/>
        <v xml:space="preserve"> </v>
      </c>
      <c r="D283" s="190" t="str">
        <f t="shared" si="25"/>
        <v xml:space="preserve"> </v>
      </c>
      <c r="E283" s="190" t="str">
        <f t="shared" si="27"/>
        <v xml:space="preserve"> </v>
      </c>
      <c r="F283" s="190" t="str">
        <f t="shared" si="28"/>
        <v xml:space="preserve"> </v>
      </c>
    </row>
    <row r="284" spans="2:6" x14ac:dyDescent="0.35">
      <c r="B284" s="189" t="str">
        <f t="shared" si="26"/>
        <v xml:space="preserve"> </v>
      </c>
      <c r="C284" s="190" t="str">
        <f t="shared" si="24"/>
        <v xml:space="preserve"> </v>
      </c>
      <c r="D284" s="190" t="str">
        <f t="shared" si="25"/>
        <v xml:space="preserve"> </v>
      </c>
      <c r="E284" s="190" t="str">
        <f t="shared" si="27"/>
        <v xml:space="preserve"> </v>
      </c>
      <c r="F284" s="190" t="str">
        <f t="shared" si="28"/>
        <v xml:space="preserve"> </v>
      </c>
    </row>
    <row r="285" spans="2:6" x14ac:dyDescent="0.35">
      <c r="B285" s="189" t="str">
        <f t="shared" si="26"/>
        <v xml:space="preserve"> </v>
      </c>
      <c r="C285" s="190" t="str">
        <f t="shared" si="24"/>
        <v xml:space="preserve"> </v>
      </c>
      <c r="D285" s="190" t="str">
        <f t="shared" si="25"/>
        <v xml:space="preserve"> </v>
      </c>
      <c r="E285" s="190" t="str">
        <f t="shared" si="27"/>
        <v xml:space="preserve"> </v>
      </c>
      <c r="F285" s="190" t="str">
        <f t="shared" si="28"/>
        <v xml:space="preserve"> </v>
      </c>
    </row>
    <row r="286" spans="2:6" x14ac:dyDescent="0.35">
      <c r="B286" s="189" t="str">
        <f t="shared" si="26"/>
        <v xml:space="preserve"> </v>
      </c>
      <c r="C286" s="190" t="str">
        <f t="shared" si="24"/>
        <v xml:space="preserve"> </v>
      </c>
      <c r="D286" s="190" t="str">
        <f t="shared" si="25"/>
        <v xml:space="preserve"> </v>
      </c>
      <c r="E286" s="190" t="str">
        <f t="shared" si="27"/>
        <v xml:space="preserve"> </v>
      </c>
      <c r="F286" s="190" t="str">
        <f t="shared" si="28"/>
        <v xml:space="preserve"> </v>
      </c>
    </row>
    <row r="287" spans="2:6" x14ac:dyDescent="0.35">
      <c r="B287" s="189" t="str">
        <f t="shared" si="26"/>
        <v xml:space="preserve"> </v>
      </c>
      <c r="C287" s="190" t="str">
        <f t="shared" si="24"/>
        <v xml:space="preserve"> </v>
      </c>
      <c r="D287" s="190" t="str">
        <f t="shared" si="25"/>
        <v xml:space="preserve"> </v>
      </c>
      <c r="E287" s="190" t="str">
        <f t="shared" si="27"/>
        <v xml:space="preserve"> </v>
      </c>
      <c r="F287" s="190" t="str">
        <f t="shared" si="28"/>
        <v xml:space="preserve"> </v>
      </c>
    </row>
    <row r="288" spans="2:6" x14ac:dyDescent="0.35">
      <c r="B288" s="189" t="str">
        <f t="shared" si="26"/>
        <v xml:space="preserve"> </v>
      </c>
      <c r="C288" s="190" t="str">
        <f t="shared" si="24"/>
        <v xml:space="preserve"> </v>
      </c>
      <c r="D288" s="190" t="str">
        <f t="shared" si="25"/>
        <v xml:space="preserve"> </v>
      </c>
      <c r="E288" s="190" t="str">
        <f t="shared" si="27"/>
        <v xml:space="preserve"> </v>
      </c>
      <c r="F288" s="190" t="str">
        <f t="shared" si="28"/>
        <v xml:space="preserve"> </v>
      </c>
    </row>
    <row r="289" spans="2:6" x14ac:dyDescent="0.35">
      <c r="B289" s="189" t="str">
        <f t="shared" si="26"/>
        <v xml:space="preserve"> </v>
      </c>
      <c r="C289" s="190" t="str">
        <f t="shared" si="24"/>
        <v xml:space="preserve"> </v>
      </c>
      <c r="D289" s="190" t="str">
        <f t="shared" si="25"/>
        <v xml:space="preserve"> </v>
      </c>
      <c r="E289" s="190" t="str">
        <f t="shared" si="27"/>
        <v xml:space="preserve"> </v>
      </c>
      <c r="F289" s="190" t="str">
        <f t="shared" si="28"/>
        <v xml:space="preserve"> </v>
      </c>
    </row>
    <row r="290" spans="2:6" x14ac:dyDescent="0.35">
      <c r="B290" s="189" t="str">
        <f t="shared" si="26"/>
        <v xml:space="preserve"> </v>
      </c>
      <c r="C290" s="190" t="str">
        <f t="shared" si="24"/>
        <v xml:space="preserve"> </v>
      </c>
      <c r="D290" s="190" t="str">
        <f t="shared" si="25"/>
        <v xml:space="preserve"> </v>
      </c>
      <c r="E290" s="190" t="str">
        <f t="shared" si="27"/>
        <v xml:space="preserve"> </v>
      </c>
      <c r="F290" s="190" t="str">
        <f t="shared" si="28"/>
        <v xml:space="preserve"> </v>
      </c>
    </row>
    <row r="291" spans="2:6" x14ac:dyDescent="0.35">
      <c r="B291" s="189" t="str">
        <f t="shared" si="26"/>
        <v xml:space="preserve"> </v>
      </c>
      <c r="C291" s="190" t="str">
        <f t="shared" si="24"/>
        <v xml:space="preserve"> </v>
      </c>
      <c r="D291" s="190" t="str">
        <f t="shared" si="25"/>
        <v xml:space="preserve"> </v>
      </c>
      <c r="E291" s="190" t="str">
        <f t="shared" si="27"/>
        <v xml:space="preserve"> </v>
      </c>
      <c r="F291" s="190" t="str">
        <f t="shared" si="28"/>
        <v xml:space="preserve"> </v>
      </c>
    </row>
    <row r="292" spans="2:6" x14ac:dyDescent="0.35">
      <c r="B292" s="189" t="str">
        <f t="shared" si="26"/>
        <v xml:space="preserve"> </v>
      </c>
      <c r="C292" s="190" t="str">
        <f t="shared" si="24"/>
        <v xml:space="preserve"> </v>
      </c>
      <c r="D292" s="190" t="str">
        <f t="shared" si="25"/>
        <v xml:space="preserve"> </v>
      </c>
      <c r="E292" s="190" t="str">
        <f t="shared" si="27"/>
        <v xml:space="preserve"> </v>
      </c>
      <c r="F292" s="190" t="str">
        <f t="shared" si="28"/>
        <v xml:space="preserve"> </v>
      </c>
    </row>
    <row r="293" spans="2:6" x14ac:dyDescent="0.35">
      <c r="B293" s="189" t="str">
        <f t="shared" si="26"/>
        <v xml:space="preserve"> </v>
      </c>
      <c r="C293" s="190" t="str">
        <f t="shared" si="24"/>
        <v xml:space="preserve"> </v>
      </c>
      <c r="D293" s="190" t="str">
        <f t="shared" si="25"/>
        <v xml:space="preserve"> </v>
      </c>
      <c r="E293" s="190" t="str">
        <f t="shared" si="27"/>
        <v xml:space="preserve"> </v>
      </c>
      <c r="F293" s="190" t="str">
        <f t="shared" si="28"/>
        <v xml:space="preserve"> </v>
      </c>
    </row>
    <row r="294" spans="2:6" x14ac:dyDescent="0.35">
      <c r="B294" s="189" t="str">
        <f t="shared" si="26"/>
        <v xml:space="preserve"> </v>
      </c>
      <c r="C294" s="190" t="str">
        <f t="shared" si="24"/>
        <v xml:space="preserve"> </v>
      </c>
      <c r="D294" s="190" t="str">
        <f t="shared" si="25"/>
        <v xml:space="preserve"> </v>
      </c>
      <c r="E294" s="190" t="str">
        <f t="shared" si="27"/>
        <v xml:space="preserve"> </v>
      </c>
      <c r="F294" s="190" t="str">
        <f t="shared" si="28"/>
        <v xml:space="preserve"> </v>
      </c>
    </row>
    <row r="295" spans="2:6" x14ac:dyDescent="0.35">
      <c r="B295" s="189" t="str">
        <f t="shared" si="26"/>
        <v xml:space="preserve"> </v>
      </c>
      <c r="C295" s="190" t="str">
        <f t="shared" si="24"/>
        <v xml:space="preserve"> </v>
      </c>
      <c r="D295" s="190" t="str">
        <f t="shared" si="25"/>
        <v xml:space="preserve"> </v>
      </c>
      <c r="E295" s="190" t="str">
        <f t="shared" si="27"/>
        <v xml:space="preserve"> </v>
      </c>
      <c r="F295" s="190" t="str">
        <f t="shared" si="28"/>
        <v xml:space="preserve"> </v>
      </c>
    </row>
    <row r="296" spans="2:6" x14ac:dyDescent="0.35">
      <c r="B296" s="189" t="str">
        <f t="shared" si="26"/>
        <v xml:space="preserve"> </v>
      </c>
      <c r="C296" s="190" t="str">
        <f t="shared" si="24"/>
        <v xml:space="preserve"> </v>
      </c>
      <c r="D296" s="190" t="str">
        <f t="shared" si="25"/>
        <v xml:space="preserve"> </v>
      </c>
      <c r="E296" s="190" t="str">
        <f t="shared" si="27"/>
        <v xml:space="preserve"> </v>
      </c>
      <c r="F296" s="190" t="str">
        <f t="shared" si="28"/>
        <v xml:space="preserve"> </v>
      </c>
    </row>
    <row r="297" spans="2:6" x14ac:dyDescent="0.35">
      <c r="B297" s="189" t="str">
        <f t="shared" si="26"/>
        <v xml:space="preserve"> </v>
      </c>
      <c r="C297" s="190" t="str">
        <f t="shared" si="24"/>
        <v xml:space="preserve"> </v>
      </c>
      <c r="D297" s="190" t="str">
        <f t="shared" si="25"/>
        <v xml:space="preserve"> </v>
      </c>
      <c r="E297" s="190" t="str">
        <f t="shared" si="27"/>
        <v xml:space="preserve"> </v>
      </c>
      <c r="F297" s="190" t="str">
        <f t="shared" si="28"/>
        <v xml:space="preserve"> </v>
      </c>
    </row>
    <row r="298" spans="2:6" x14ac:dyDescent="0.35">
      <c r="B298" s="189" t="str">
        <f t="shared" si="26"/>
        <v xml:space="preserve"> </v>
      </c>
      <c r="C298" s="190" t="str">
        <f t="shared" si="24"/>
        <v xml:space="preserve"> </v>
      </c>
      <c r="D298" s="190" t="str">
        <f t="shared" si="25"/>
        <v xml:space="preserve"> </v>
      </c>
      <c r="E298" s="190" t="str">
        <f t="shared" si="27"/>
        <v xml:space="preserve"> </v>
      </c>
      <c r="F298" s="190" t="str">
        <f t="shared" si="28"/>
        <v xml:space="preserve"> </v>
      </c>
    </row>
    <row r="299" spans="2:6" x14ac:dyDescent="0.35">
      <c r="B299" s="189" t="str">
        <f t="shared" si="26"/>
        <v xml:space="preserve"> </v>
      </c>
      <c r="C299" s="190" t="str">
        <f t="shared" si="24"/>
        <v xml:space="preserve"> </v>
      </c>
      <c r="D299" s="190" t="str">
        <f t="shared" si="25"/>
        <v xml:space="preserve"> </v>
      </c>
      <c r="E299" s="190" t="str">
        <f t="shared" si="27"/>
        <v xml:space="preserve"> </v>
      </c>
      <c r="F299" s="190" t="str">
        <f t="shared" si="28"/>
        <v xml:space="preserve"> </v>
      </c>
    </row>
    <row r="300" spans="2:6" x14ac:dyDescent="0.35">
      <c r="B300" s="189" t="str">
        <f t="shared" si="26"/>
        <v xml:space="preserve"> </v>
      </c>
      <c r="C300" s="190" t="str">
        <f t="shared" si="24"/>
        <v xml:space="preserve"> </v>
      </c>
      <c r="D300" s="190" t="str">
        <f t="shared" si="25"/>
        <v xml:space="preserve"> </v>
      </c>
      <c r="E300" s="190" t="str">
        <f t="shared" si="27"/>
        <v xml:space="preserve"> </v>
      </c>
      <c r="F300" s="190" t="str">
        <f t="shared" si="28"/>
        <v xml:space="preserve"> </v>
      </c>
    </row>
    <row r="301" spans="2:6" x14ac:dyDescent="0.35">
      <c r="B301" s="189" t="str">
        <f t="shared" si="26"/>
        <v xml:space="preserve"> </v>
      </c>
      <c r="C301" s="190" t="str">
        <f t="shared" si="24"/>
        <v xml:space="preserve"> </v>
      </c>
      <c r="D301" s="190" t="str">
        <f t="shared" si="25"/>
        <v xml:space="preserve"> </v>
      </c>
      <c r="E301" s="190" t="str">
        <f t="shared" si="27"/>
        <v xml:space="preserve"> </v>
      </c>
      <c r="F301" s="190" t="str">
        <f t="shared" si="28"/>
        <v xml:space="preserve"> </v>
      </c>
    </row>
    <row r="302" spans="2:6" x14ac:dyDescent="0.35">
      <c r="B302" s="189" t="str">
        <f t="shared" si="26"/>
        <v xml:space="preserve"> </v>
      </c>
      <c r="C302" s="190" t="str">
        <f t="shared" si="24"/>
        <v xml:space="preserve"> </v>
      </c>
      <c r="D302" s="190" t="str">
        <f t="shared" si="25"/>
        <v xml:space="preserve"> </v>
      </c>
      <c r="E302" s="190" t="str">
        <f t="shared" si="27"/>
        <v xml:space="preserve"> </v>
      </c>
      <c r="F302" s="190" t="str">
        <f t="shared" si="28"/>
        <v xml:space="preserve"> </v>
      </c>
    </row>
    <row r="303" spans="2:6" x14ac:dyDescent="0.35">
      <c r="B303" s="189" t="str">
        <f t="shared" si="26"/>
        <v xml:space="preserve"> </v>
      </c>
      <c r="C303" s="190" t="str">
        <f t="shared" si="24"/>
        <v xml:space="preserve"> </v>
      </c>
      <c r="D303" s="190" t="str">
        <f t="shared" si="25"/>
        <v xml:space="preserve"> </v>
      </c>
      <c r="E303" s="190" t="str">
        <f t="shared" si="27"/>
        <v xml:space="preserve"> </v>
      </c>
      <c r="F303" s="190" t="str">
        <f t="shared" si="28"/>
        <v xml:space="preserve"> </v>
      </c>
    </row>
    <row r="304" spans="2:6" x14ac:dyDescent="0.35">
      <c r="B304" s="189" t="str">
        <f t="shared" si="26"/>
        <v xml:space="preserve"> </v>
      </c>
      <c r="C304" s="190" t="str">
        <f t="shared" si="24"/>
        <v xml:space="preserve"> </v>
      </c>
      <c r="D304" s="190" t="str">
        <f t="shared" si="25"/>
        <v xml:space="preserve"> </v>
      </c>
      <c r="E304" s="190" t="str">
        <f t="shared" si="27"/>
        <v xml:space="preserve"> </v>
      </c>
      <c r="F304" s="190" t="str">
        <f t="shared" si="28"/>
        <v xml:space="preserve"> </v>
      </c>
    </row>
    <row r="305" spans="2:6" x14ac:dyDescent="0.35">
      <c r="B305" s="189" t="str">
        <f t="shared" si="26"/>
        <v xml:space="preserve"> </v>
      </c>
      <c r="C305" s="190" t="str">
        <f t="shared" si="24"/>
        <v xml:space="preserve"> </v>
      </c>
      <c r="D305" s="190" t="str">
        <f t="shared" si="25"/>
        <v xml:space="preserve"> </v>
      </c>
      <c r="E305" s="190" t="str">
        <f t="shared" si="27"/>
        <v xml:space="preserve"> </v>
      </c>
      <c r="F305" s="190" t="str">
        <f t="shared" si="28"/>
        <v xml:space="preserve"> </v>
      </c>
    </row>
    <row r="306" spans="2:6" x14ac:dyDescent="0.35">
      <c r="B306" s="189" t="str">
        <f t="shared" si="26"/>
        <v xml:space="preserve"> </v>
      </c>
      <c r="C306" s="190" t="str">
        <f t="shared" si="24"/>
        <v xml:space="preserve"> </v>
      </c>
      <c r="D306" s="190" t="str">
        <f t="shared" si="25"/>
        <v xml:space="preserve"> </v>
      </c>
      <c r="E306" s="190" t="str">
        <f t="shared" si="27"/>
        <v xml:space="preserve"> </v>
      </c>
      <c r="F306" s="190" t="str">
        <f t="shared" si="28"/>
        <v xml:space="preserve"> </v>
      </c>
    </row>
    <row r="307" spans="2:6" x14ac:dyDescent="0.35">
      <c r="B307" s="189" t="str">
        <f t="shared" si="26"/>
        <v xml:space="preserve"> </v>
      </c>
      <c r="C307" s="190" t="str">
        <f t="shared" si="24"/>
        <v xml:space="preserve"> </v>
      </c>
      <c r="D307" s="190" t="str">
        <f t="shared" si="25"/>
        <v xml:space="preserve"> </v>
      </c>
      <c r="E307" s="190" t="str">
        <f t="shared" si="27"/>
        <v xml:space="preserve"> </v>
      </c>
      <c r="F307" s="190" t="str">
        <f t="shared" si="28"/>
        <v xml:space="preserve"> </v>
      </c>
    </row>
    <row r="308" spans="2:6" x14ac:dyDescent="0.35">
      <c r="B308" s="189" t="str">
        <f t="shared" si="26"/>
        <v xml:space="preserve"> </v>
      </c>
      <c r="C308" s="190" t="str">
        <f t="shared" si="24"/>
        <v xml:space="preserve"> </v>
      </c>
      <c r="D308" s="190" t="str">
        <f t="shared" si="25"/>
        <v xml:space="preserve"> </v>
      </c>
      <c r="E308" s="190" t="str">
        <f t="shared" si="27"/>
        <v xml:space="preserve"> </v>
      </c>
      <c r="F308" s="190" t="str">
        <f t="shared" si="28"/>
        <v xml:space="preserve"> </v>
      </c>
    </row>
    <row r="309" spans="2:6" x14ac:dyDescent="0.35">
      <c r="B309" s="189" t="str">
        <f t="shared" si="26"/>
        <v xml:space="preserve"> </v>
      </c>
      <c r="C309" s="190" t="str">
        <f t="shared" si="24"/>
        <v xml:space="preserve"> </v>
      </c>
      <c r="D309" s="190" t="str">
        <f t="shared" si="25"/>
        <v xml:space="preserve"> </v>
      </c>
      <c r="E309" s="190" t="str">
        <f t="shared" si="27"/>
        <v xml:space="preserve"> </v>
      </c>
      <c r="F309" s="190" t="str">
        <f t="shared" si="28"/>
        <v xml:space="preserve"> </v>
      </c>
    </row>
    <row r="310" spans="2:6" x14ac:dyDescent="0.35">
      <c r="B310" s="189" t="str">
        <f t="shared" si="26"/>
        <v xml:space="preserve"> </v>
      </c>
      <c r="C310" s="190" t="str">
        <f t="shared" si="24"/>
        <v xml:space="preserve"> </v>
      </c>
      <c r="D310" s="190" t="str">
        <f t="shared" si="25"/>
        <v xml:space="preserve"> </v>
      </c>
      <c r="E310" s="190" t="str">
        <f t="shared" si="27"/>
        <v xml:space="preserve"> </v>
      </c>
      <c r="F310" s="190" t="str">
        <f t="shared" si="28"/>
        <v xml:space="preserve"> </v>
      </c>
    </row>
    <row r="311" spans="2:6" x14ac:dyDescent="0.35">
      <c r="B311" s="189" t="str">
        <f t="shared" si="26"/>
        <v xml:space="preserve"> </v>
      </c>
      <c r="C311" s="190" t="str">
        <f t="shared" si="24"/>
        <v xml:space="preserve"> </v>
      </c>
      <c r="D311" s="190" t="str">
        <f t="shared" si="25"/>
        <v xml:space="preserve"> </v>
      </c>
      <c r="E311" s="190" t="str">
        <f t="shared" si="27"/>
        <v xml:space="preserve"> </v>
      </c>
      <c r="F311" s="190" t="str">
        <f t="shared" si="28"/>
        <v xml:space="preserve"> </v>
      </c>
    </row>
    <row r="312" spans="2:6" x14ac:dyDescent="0.35">
      <c r="B312" s="189" t="str">
        <f t="shared" si="26"/>
        <v xml:space="preserve"> </v>
      </c>
      <c r="C312" s="190" t="str">
        <f t="shared" si="24"/>
        <v xml:space="preserve"> </v>
      </c>
      <c r="D312" s="190" t="str">
        <f t="shared" si="25"/>
        <v xml:space="preserve"> </v>
      </c>
      <c r="E312" s="190" t="str">
        <f t="shared" si="27"/>
        <v xml:space="preserve"> </v>
      </c>
      <c r="F312" s="190" t="str">
        <f t="shared" si="28"/>
        <v xml:space="preserve"> </v>
      </c>
    </row>
    <row r="313" spans="2:6" x14ac:dyDescent="0.35">
      <c r="B313" s="189" t="str">
        <f t="shared" si="26"/>
        <v xml:space="preserve"> </v>
      </c>
      <c r="C313" s="190" t="str">
        <f t="shared" si="24"/>
        <v xml:space="preserve"> </v>
      </c>
      <c r="D313" s="190" t="str">
        <f t="shared" si="25"/>
        <v xml:space="preserve"> </v>
      </c>
      <c r="E313" s="190" t="str">
        <f t="shared" si="27"/>
        <v xml:space="preserve"> </v>
      </c>
      <c r="F313" s="190" t="str">
        <f t="shared" si="28"/>
        <v xml:space="preserve"> </v>
      </c>
    </row>
    <row r="314" spans="2:6" x14ac:dyDescent="0.35">
      <c r="B314" s="189" t="str">
        <f t="shared" si="26"/>
        <v xml:space="preserve"> </v>
      </c>
      <c r="C314" s="190" t="str">
        <f t="shared" si="24"/>
        <v xml:space="preserve"> </v>
      </c>
      <c r="D314" s="190" t="str">
        <f t="shared" si="25"/>
        <v xml:space="preserve"> </v>
      </c>
      <c r="E314" s="190" t="str">
        <f t="shared" si="27"/>
        <v xml:space="preserve"> </v>
      </c>
      <c r="F314" s="190" t="str">
        <f t="shared" si="28"/>
        <v xml:space="preserve"> </v>
      </c>
    </row>
    <row r="315" spans="2:6" x14ac:dyDescent="0.35">
      <c r="B315" s="189" t="str">
        <f t="shared" si="26"/>
        <v xml:space="preserve"> </v>
      </c>
      <c r="C315" s="190" t="str">
        <f t="shared" si="24"/>
        <v xml:space="preserve"> </v>
      </c>
      <c r="D315" s="190" t="str">
        <f t="shared" si="25"/>
        <v xml:space="preserve"> </v>
      </c>
      <c r="E315" s="190" t="str">
        <f t="shared" si="27"/>
        <v xml:space="preserve"> </v>
      </c>
      <c r="F315" s="190" t="str">
        <f t="shared" si="28"/>
        <v xml:space="preserve"> </v>
      </c>
    </row>
    <row r="316" spans="2:6" x14ac:dyDescent="0.35">
      <c r="B316" s="189" t="str">
        <f t="shared" si="26"/>
        <v xml:space="preserve"> </v>
      </c>
      <c r="C316" s="190" t="str">
        <f t="shared" si="24"/>
        <v xml:space="preserve"> </v>
      </c>
      <c r="D316" s="190" t="str">
        <f t="shared" si="25"/>
        <v xml:space="preserve"> </v>
      </c>
      <c r="E316" s="190" t="str">
        <f t="shared" si="27"/>
        <v xml:space="preserve"> </v>
      </c>
      <c r="F316" s="190" t="str">
        <f t="shared" si="28"/>
        <v xml:space="preserve"> </v>
      </c>
    </row>
    <row r="317" spans="2:6" x14ac:dyDescent="0.35">
      <c r="B317" s="189" t="str">
        <f t="shared" si="26"/>
        <v xml:space="preserve"> </v>
      </c>
      <c r="C317" s="190" t="str">
        <f t="shared" si="24"/>
        <v xml:space="preserve"> </v>
      </c>
      <c r="D317" s="190" t="str">
        <f t="shared" si="25"/>
        <v xml:space="preserve"> </v>
      </c>
      <c r="E317" s="190" t="str">
        <f t="shared" si="27"/>
        <v xml:space="preserve"> </v>
      </c>
      <c r="F317" s="190" t="str">
        <f t="shared" si="28"/>
        <v xml:space="preserve"> </v>
      </c>
    </row>
    <row r="318" spans="2:6" x14ac:dyDescent="0.35">
      <c r="B318" s="189" t="str">
        <f t="shared" si="26"/>
        <v xml:space="preserve"> </v>
      </c>
      <c r="C318" s="190" t="str">
        <f t="shared" si="24"/>
        <v xml:space="preserve"> </v>
      </c>
      <c r="D318" s="190" t="str">
        <f t="shared" si="25"/>
        <v xml:space="preserve"> </v>
      </c>
      <c r="E318" s="190" t="str">
        <f t="shared" si="27"/>
        <v xml:space="preserve"> </v>
      </c>
      <c r="F318" s="190" t="str">
        <f t="shared" si="28"/>
        <v xml:space="preserve"> </v>
      </c>
    </row>
    <row r="319" spans="2:6" x14ac:dyDescent="0.35">
      <c r="B319" s="189" t="str">
        <f t="shared" si="26"/>
        <v xml:space="preserve"> </v>
      </c>
      <c r="C319" s="190" t="str">
        <f t="shared" si="24"/>
        <v xml:space="preserve"> </v>
      </c>
      <c r="D319" s="190" t="str">
        <f t="shared" si="25"/>
        <v xml:space="preserve"> </v>
      </c>
      <c r="E319" s="190" t="str">
        <f t="shared" si="27"/>
        <v xml:space="preserve"> </v>
      </c>
      <c r="F319" s="190" t="str">
        <f t="shared" si="28"/>
        <v xml:space="preserve"> </v>
      </c>
    </row>
    <row r="320" spans="2:6" x14ac:dyDescent="0.35">
      <c r="B320" s="189" t="str">
        <f t="shared" si="26"/>
        <v xml:space="preserve"> </v>
      </c>
      <c r="C320" s="190" t="str">
        <f t="shared" si="24"/>
        <v xml:space="preserve"> </v>
      </c>
      <c r="D320" s="190" t="str">
        <f t="shared" si="25"/>
        <v xml:space="preserve"> </v>
      </c>
      <c r="E320" s="190" t="str">
        <f t="shared" si="27"/>
        <v xml:space="preserve"> </v>
      </c>
      <c r="F320" s="190" t="str">
        <f t="shared" si="28"/>
        <v xml:space="preserve"> </v>
      </c>
    </row>
    <row r="321" spans="2:6" x14ac:dyDescent="0.35">
      <c r="B321" s="189" t="str">
        <f t="shared" si="26"/>
        <v xml:space="preserve"> </v>
      </c>
      <c r="C321" s="190" t="str">
        <f t="shared" si="24"/>
        <v xml:space="preserve"> </v>
      </c>
      <c r="D321" s="190" t="str">
        <f t="shared" si="25"/>
        <v xml:space="preserve"> </v>
      </c>
      <c r="E321" s="190" t="str">
        <f t="shared" si="27"/>
        <v xml:space="preserve"> </v>
      </c>
      <c r="F321" s="190" t="str">
        <f t="shared" si="28"/>
        <v xml:space="preserve"> </v>
      </c>
    </row>
    <row r="322" spans="2:6" x14ac:dyDescent="0.35">
      <c r="B322" s="189" t="str">
        <f t="shared" si="26"/>
        <v xml:space="preserve"> </v>
      </c>
      <c r="C322" s="190" t="str">
        <f t="shared" si="24"/>
        <v xml:space="preserve"> </v>
      </c>
      <c r="D322" s="190" t="str">
        <f t="shared" si="25"/>
        <v xml:space="preserve"> </v>
      </c>
      <c r="E322" s="190" t="str">
        <f t="shared" si="27"/>
        <v xml:space="preserve"> </v>
      </c>
      <c r="F322" s="190" t="str">
        <f t="shared" si="28"/>
        <v xml:space="preserve"> </v>
      </c>
    </row>
    <row r="323" spans="2:6" x14ac:dyDescent="0.35">
      <c r="B323" s="189" t="str">
        <f t="shared" si="26"/>
        <v xml:space="preserve"> </v>
      </c>
      <c r="C323" s="190" t="str">
        <f t="shared" si="24"/>
        <v xml:space="preserve"> </v>
      </c>
      <c r="D323" s="190" t="str">
        <f t="shared" si="25"/>
        <v xml:space="preserve"> </v>
      </c>
      <c r="E323" s="190" t="str">
        <f t="shared" si="27"/>
        <v xml:space="preserve"> </v>
      </c>
      <c r="F323" s="190" t="str">
        <f t="shared" si="28"/>
        <v xml:space="preserve"> </v>
      </c>
    </row>
    <row r="324" spans="2:6" x14ac:dyDescent="0.35">
      <c r="B324" s="189" t="str">
        <f t="shared" si="26"/>
        <v xml:space="preserve"> </v>
      </c>
      <c r="C324" s="190" t="str">
        <f t="shared" si="24"/>
        <v xml:space="preserve"> </v>
      </c>
      <c r="D324" s="190" t="str">
        <f t="shared" si="25"/>
        <v xml:space="preserve"> </v>
      </c>
      <c r="E324" s="190" t="str">
        <f t="shared" si="27"/>
        <v xml:space="preserve"> </v>
      </c>
      <c r="F324" s="190" t="str">
        <f t="shared" si="28"/>
        <v xml:space="preserve"> </v>
      </c>
    </row>
    <row r="325" spans="2:6" x14ac:dyDescent="0.35">
      <c r="B325" s="189" t="str">
        <f t="shared" si="26"/>
        <v xml:space="preserve"> </v>
      </c>
      <c r="C325" s="190" t="str">
        <f t="shared" si="24"/>
        <v xml:space="preserve"> </v>
      </c>
      <c r="D325" s="190" t="str">
        <f t="shared" si="25"/>
        <v xml:space="preserve"> </v>
      </c>
      <c r="E325" s="190" t="str">
        <f t="shared" si="27"/>
        <v xml:space="preserve"> </v>
      </c>
      <c r="F325" s="190" t="str">
        <f t="shared" si="28"/>
        <v xml:space="preserve"> </v>
      </c>
    </row>
    <row r="326" spans="2:6" x14ac:dyDescent="0.35">
      <c r="B326" s="189" t="str">
        <f t="shared" si="26"/>
        <v xml:space="preserve"> </v>
      </c>
      <c r="C326" s="190" t="str">
        <f t="shared" si="24"/>
        <v xml:space="preserve"> </v>
      </c>
      <c r="D326" s="190" t="str">
        <f t="shared" si="25"/>
        <v xml:space="preserve"> </v>
      </c>
      <c r="E326" s="190" t="str">
        <f t="shared" si="27"/>
        <v xml:space="preserve"> </v>
      </c>
      <c r="F326" s="190" t="str">
        <f t="shared" si="28"/>
        <v xml:space="preserve"> </v>
      </c>
    </row>
    <row r="327" spans="2:6" x14ac:dyDescent="0.35">
      <c r="B327" s="189" t="str">
        <f t="shared" si="26"/>
        <v xml:space="preserve"> </v>
      </c>
      <c r="C327" s="190" t="str">
        <f t="shared" si="24"/>
        <v xml:space="preserve"> </v>
      </c>
      <c r="D327" s="190" t="str">
        <f t="shared" si="25"/>
        <v xml:space="preserve"> </v>
      </c>
      <c r="E327" s="190" t="str">
        <f t="shared" si="27"/>
        <v xml:space="preserve"> </v>
      </c>
      <c r="F327" s="190" t="str">
        <f t="shared" si="28"/>
        <v xml:space="preserve"> </v>
      </c>
    </row>
    <row r="328" spans="2:6" x14ac:dyDescent="0.35">
      <c r="B328" s="189" t="str">
        <f t="shared" si="26"/>
        <v xml:space="preserve"> </v>
      </c>
      <c r="C328" s="190" t="str">
        <f t="shared" si="24"/>
        <v xml:space="preserve"> </v>
      </c>
      <c r="D328" s="190" t="str">
        <f t="shared" si="25"/>
        <v xml:space="preserve"> </v>
      </c>
      <c r="E328" s="190" t="str">
        <f t="shared" si="27"/>
        <v xml:space="preserve"> </v>
      </c>
      <c r="F328" s="190" t="str">
        <f t="shared" si="28"/>
        <v xml:space="preserve"> </v>
      </c>
    </row>
    <row r="329" spans="2:6" x14ac:dyDescent="0.35">
      <c r="B329" s="189" t="str">
        <f t="shared" si="26"/>
        <v xml:space="preserve"> </v>
      </c>
      <c r="C329" s="190" t="str">
        <f t="shared" si="24"/>
        <v xml:space="preserve"> </v>
      </c>
      <c r="D329" s="190" t="str">
        <f t="shared" si="25"/>
        <v xml:space="preserve"> </v>
      </c>
      <c r="E329" s="190" t="str">
        <f t="shared" si="27"/>
        <v xml:space="preserve"> </v>
      </c>
      <c r="F329" s="190" t="str">
        <f t="shared" si="28"/>
        <v xml:space="preserve"> </v>
      </c>
    </row>
    <row r="330" spans="2:6" x14ac:dyDescent="0.35">
      <c r="B330" s="189" t="str">
        <f t="shared" si="26"/>
        <v xml:space="preserve"> </v>
      </c>
      <c r="C330" s="190" t="str">
        <f t="shared" si="24"/>
        <v xml:space="preserve"> </v>
      </c>
      <c r="D330" s="190" t="str">
        <f t="shared" si="25"/>
        <v xml:space="preserve"> </v>
      </c>
      <c r="E330" s="190" t="str">
        <f t="shared" si="27"/>
        <v xml:space="preserve"> </v>
      </c>
      <c r="F330" s="190" t="str">
        <f t="shared" si="28"/>
        <v xml:space="preserve"> </v>
      </c>
    </row>
    <row r="331" spans="2:6" x14ac:dyDescent="0.35">
      <c r="B331" s="189" t="str">
        <f t="shared" si="26"/>
        <v xml:space="preserve"> </v>
      </c>
      <c r="C331" s="190" t="str">
        <f t="shared" si="24"/>
        <v xml:space="preserve"> </v>
      </c>
      <c r="D331" s="190" t="str">
        <f t="shared" si="25"/>
        <v xml:space="preserve"> </v>
      </c>
      <c r="E331" s="190" t="str">
        <f t="shared" si="27"/>
        <v xml:space="preserve"> </v>
      </c>
      <c r="F331" s="190" t="str">
        <f t="shared" si="28"/>
        <v xml:space="preserve"> </v>
      </c>
    </row>
    <row r="332" spans="2:6" x14ac:dyDescent="0.35">
      <c r="B332" s="189" t="str">
        <f t="shared" si="26"/>
        <v xml:space="preserve"> </v>
      </c>
      <c r="C332" s="190" t="str">
        <f t="shared" ref="C332:C371" si="29">IF(($B332&lt;=$F$8),IF($AK$14=1,PMT($G$6,$F$8,-MONTO),D332+E332)," ")</f>
        <v xml:space="preserve"> </v>
      </c>
      <c r="D332" s="190" t="str">
        <f t="shared" ref="D332:D371" si="30">IF(($B332&lt;=$F$8),$F331*INTERES," ")</f>
        <v xml:space="preserve"> </v>
      </c>
      <c r="E332" s="190" t="str">
        <f t="shared" si="27"/>
        <v xml:space="preserve"> </v>
      </c>
      <c r="F332" s="190" t="str">
        <f t="shared" si="28"/>
        <v xml:space="preserve"> </v>
      </c>
    </row>
    <row r="333" spans="2:6" x14ac:dyDescent="0.35">
      <c r="B333" s="189" t="str">
        <f t="shared" ref="B333:B371" si="31">IF((B332&lt;$F$8),B332+1," ")</f>
        <v xml:space="preserve"> </v>
      </c>
      <c r="C333" s="190" t="str">
        <f t="shared" si="29"/>
        <v xml:space="preserve"> </v>
      </c>
      <c r="D333" s="190" t="str">
        <f t="shared" si="30"/>
        <v xml:space="preserve"> </v>
      </c>
      <c r="E333" s="190" t="str">
        <f t="shared" si="27"/>
        <v xml:space="preserve"> </v>
      </c>
      <c r="F333" s="190" t="str">
        <f t="shared" si="28"/>
        <v xml:space="preserve"> </v>
      </c>
    </row>
    <row r="334" spans="2:6" x14ac:dyDescent="0.35">
      <c r="B334" s="189" t="str">
        <f t="shared" si="31"/>
        <v xml:space="preserve"> </v>
      </c>
      <c r="C334" s="190" t="str">
        <f t="shared" si="29"/>
        <v xml:space="preserve"> </v>
      </c>
      <c r="D334" s="190" t="str">
        <f t="shared" si="30"/>
        <v xml:space="preserve"> </v>
      </c>
      <c r="E334" s="190" t="str">
        <f t="shared" si="27"/>
        <v xml:space="preserve"> </v>
      </c>
      <c r="F334" s="190" t="str">
        <f t="shared" si="28"/>
        <v xml:space="preserve"> </v>
      </c>
    </row>
    <row r="335" spans="2:6" x14ac:dyDescent="0.35">
      <c r="B335" s="189" t="str">
        <f t="shared" si="31"/>
        <v xml:space="preserve"> </v>
      </c>
      <c r="C335" s="190" t="str">
        <f t="shared" si="29"/>
        <v xml:space="preserve"> </v>
      </c>
      <c r="D335" s="190" t="str">
        <f t="shared" si="30"/>
        <v xml:space="preserve"> </v>
      </c>
      <c r="E335" s="190" t="str">
        <f t="shared" si="27"/>
        <v xml:space="preserve"> </v>
      </c>
      <c r="F335" s="190" t="str">
        <f t="shared" si="28"/>
        <v xml:space="preserve"> </v>
      </c>
    </row>
    <row r="336" spans="2:6" x14ac:dyDescent="0.35">
      <c r="B336" s="189" t="str">
        <f t="shared" si="31"/>
        <v xml:space="preserve"> </v>
      </c>
      <c r="C336" s="190" t="str">
        <f t="shared" si="29"/>
        <v xml:space="preserve"> </v>
      </c>
      <c r="D336" s="190" t="str">
        <f t="shared" si="30"/>
        <v xml:space="preserve"> </v>
      </c>
      <c r="E336" s="190" t="str">
        <f t="shared" si="27"/>
        <v xml:space="preserve"> </v>
      </c>
      <c r="F336" s="190" t="str">
        <f t="shared" si="28"/>
        <v xml:space="preserve"> </v>
      </c>
    </row>
    <row r="337" spans="2:6" x14ac:dyDescent="0.35">
      <c r="B337" s="189" t="str">
        <f t="shared" si="31"/>
        <v xml:space="preserve"> </v>
      </c>
      <c r="C337" s="190" t="str">
        <f t="shared" si="29"/>
        <v xml:space="preserve"> </v>
      </c>
      <c r="D337" s="190" t="str">
        <f t="shared" si="30"/>
        <v xml:space="preserve"> </v>
      </c>
      <c r="E337" s="190" t="str">
        <f t="shared" si="27"/>
        <v xml:space="preserve"> </v>
      </c>
      <c r="F337" s="190" t="str">
        <f t="shared" si="28"/>
        <v xml:space="preserve"> </v>
      </c>
    </row>
    <row r="338" spans="2:6" x14ac:dyDescent="0.35">
      <c r="B338" s="189" t="str">
        <f t="shared" si="31"/>
        <v xml:space="preserve"> </v>
      </c>
      <c r="C338" s="190" t="str">
        <f t="shared" si="29"/>
        <v xml:space="preserve"> </v>
      </c>
      <c r="D338" s="190" t="str">
        <f t="shared" si="30"/>
        <v xml:space="preserve"> </v>
      </c>
      <c r="E338" s="190" t="str">
        <f t="shared" si="27"/>
        <v xml:space="preserve"> </v>
      </c>
      <c r="F338" s="190" t="str">
        <f t="shared" si="28"/>
        <v xml:space="preserve"> </v>
      </c>
    </row>
    <row r="339" spans="2:6" x14ac:dyDescent="0.35">
      <c r="B339" s="189" t="str">
        <f t="shared" si="31"/>
        <v xml:space="preserve"> </v>
      </c>
      <c r="C339" s="190" t="str">
        <f t="shared" si="29"/>
        <v xml:space="preserve"> </v>
      </c>
      <c r="D339" s="190" t="str">
        <f t="shared" si="30"/>
        <v xml:space="preserve"> </v>
      </c>
      <c r="E339" s="190" t="str">
        <f t="shared" si="27"/>
        <v xml:space="preserve"> </v>
      </c>
      <c r="F339" s="190" t="str">
        <f t="shared" si="28"/>
        <v xml:space="preserve"> </v>
      </c>
    </row>
    <row r="340" spans="2:6" x14ac:dyDescent="0.35">
      <c r="B340" s="189" t="str">
        <f t="shared" si="31"/>
        <v xml:space="preserve"> </v>
      </c>
      <c r="C340" s="190" t="str">
        <f t="shared" si="29"/>
        <v xml:space="preserve"> </v>
      </c>
      <c r="D340" s="190" t="str">
        <f t="shared" si="30"/>
        <v xml:space="preserve"> </v>
      </c>
      <c r="E340" s="190" t="str">
        <f t="shared" si="27"/>
        <v xml:space="preserve"> </v>
      </c>
      <c r="F340" s="190" t="str">
        <f t="shared" si="28"/>
        <v xml:space="preserve"> </v>
      </c>
    </row>
    <row r="341" spans="2:6" x14ac:dyDescent="0.35">
      <c r="B341" s="189" t="str">
        <f t="shared" si="31"/>
        <v xml:space="preserve"> </v>
      </c>
      <c r="C341" s="190" t="str">
        <f t="shared" si="29"/>
        <v xml:space="preserve"> </v>
      </c>
      <c r="D341" s="190" t="str">
        <f t="shared" si="30"/>
        <v xml:space="preserve"> </v>
      </c>
      <c r="E341" s="190" t="str">
        <f t="shared" si="27"/>
        <v xml:space="preserve"> </v>
      </c>
      <c r="F341" s="190" t="str">
        <f t="shared" si="28"/>
        <v xml:space="preserve"> </v>
      </c>
    </row>
    <row r="342" spans="2:6" x14ac:dyDescent="0.35">
      <c r="B342" s="189" t="str">
        <f t="shared" si="31"/>
        <v xml:space="preserve"> </v>
      </c>
      <c r="C342" s="190" t="str">
        <f t="shared" si="29"/>
        <v xml:space="preserve"> </v>
      </c>
      <c r="D342" s="190" t="str">
        <f t="shared" si="30"/>
        <v xml:space="preserve"> </v>
      </c>
      <c r="E342" s="190" t="str">
        <f t="shared" ref="E342:E371" si="32">IF(($B342&lt;=$F$8),IF($AK$14=1,C342-D342,$F$5/$F$8)," ")</f>
        <v xml:space="preserve"> </v>
      </c>
      <c r="F342" s="190" t="str">
        <f t="shared" ref="F342:F371" si="33">IF(($B342&lt;=$F$8),F341-E342," ")</f>
        <v xml:space="preserve"> </v>
      </c>
    </row>
    <row r="343" spans="2:6" x14ac:dyDescent="0.35">
      <c r="B343" s="189" t="str">
        <f t="shared" si="31"/>
        <v xml:space="preserve"> </v>
      </c>
      <c r="C343" s="190" t="str">
        <f t="shared" si="29"/>
        <v xml:space="preserve"> </v>
      </c>
      <c r="D343" s="190" t="str">
        <f t="shared" si="30"/>
        <v xml:space="preserve"> </v>
      </c>
      <c r="E343" s="190" t="str">
        <f t="shared" si="32"/>
        <v xml:space="preserve"> </v>
      </c>
      <c r="F343" s="190" t="str">
        <f t="shared" si="33"/>
        <v xml:space="preserve"> </v>
      </c>
    </row>
    <row r="344" spans="2:6" x14ac:dyDescent="0.35">
      <c r="B344" s="189" t="str">
        <f t="shared" si="31"/>
        <v xml:space="preserve"> </v>
      </c>
      <c r="C344" s="190" t="str">
        <f t="shared" si="29"/>
        <v xml:space="preserve"> </v>
      </c>
      <c r="D344" s="190" t="str">
        <f t="shared" si="30"/>
        <v xml:space="preserve"> </v>
      </c>
      <c r="E344" s="190" t="str">
        <f t="shared" si="32"/>
        <v xml:space="preserve"> </v>
      </c>
      <c r="F344" s="190" t="str">
        <f t="shared" si="33"/>
        <v xml:space="preserve"> </v>
      </c>
    </row>
    <row r="345" spans="2:6" x14ac:dyDescent="0.35">
      <c r="B345" s="189" t="str">
        <f t="shared" si="31"/>
        <v xml:space="preserve"> </v>
      </c>
      <c r="C345" s="190" t="str">
        <f t="shared" si="29"/>
        <v xml:space="preserve"> </v>
      </c>
      <c r="D345" s="190" t="str">
        <f t="shared" si="30"/>
        <v xml:space="preserve"> </v>
      </c>
      <c r="E345" s="190" t="str">
        <f t="shared" si="32"/>
        <v xml:space="preserve"> </v>
      </c>
      <c r="F345" s="190" t="str">
        <f t="shared" si="33"/>
        <v xml:space="preserve"> </v>
      </c>
    </row>
    <row r="346" spans="2:6" x14ac:dyDescent="0.35">
      <c r="B346" s="189" t="str">
        <f t="shared" si="31"/>
        <v xml:space="preserve"> </v>
      </c>
      <c r="C346" s="190" t="str">
        <f t="shared" si="29"/>
        <v xml:space="preserve"> </v>
      </c>
      <c r="D346" s="190" t="str">
        <f t="shared" si="30"/>
        <v xml:space="preserve"> </v>
      </c>
      <c r="E346" s="190" t="str">
        <f t="shared" si="32"/>
        <v xml:space="preserve"> </v>
      </c>
      <c r="F346" s="190" t="str">
        <f t="shared" si="33"/>
        <v xml:space="preserve"> </v>
      </c>
    </row>
    <row r="347" spans="2:6" x14ac:dyDescent="0.35">
      <c r="B347" s="189" t="str">
        <f t="shared" si="31"/>
        <v xml:space="preserve"> </v>
      </c>
      <c r="C347" s="190" t="str">
        <f t="shared" si="29"/>
        <v xml:space="preserve"> </v>
      </c>
      <c r="D347" s="190" t="str">
        <f t="shared" si="30"/>
        <v xml:space="preserve"> </v>
      </c>
      <c r="E347" s="190" t="str">
        <f t="shared" si="32"/>
        <v xml:space="preserve"> </v>
      </c>
      <c r="F347" s="190" t="str">
        <f t="shared" si="33"/>
        <v xml:space="preserve"> </v>
      </c>
    </row>
    <row r="348" spans="2:6" x14ac:dyDescent="0.35">
      <c r="B348" s="189" t="str">
        <f t="shared" si="31"/>
        <v xml:space="preserve"> </v>
      </c>
      <c r="C348" s="190" t="str">
        <f t="shared" si="29"/>
        <v xml:space="preserve"> </v>
      </c>
      <c r="D348" s="190" t="str">
        <f t="shared" si="30"/>
        <v xml:space="preserve"> </v>
      </c>
      <c r="E348" s="190" t="str">
        <f t="shared" si="32"/>
        <v xml:space="preserve"> </v>
      </c>
      <c r="F348" s="190" t="str">
        <f t="shared" si="33"/>
        <v xml:space="preserve"> </v>
      </c>
    </row>
    <row r="349" spans="2:6" x14ac:dyDescent="0.35">
      <c r="B349" s="189" t="str">
        <f t="shared" si="31"/>
        <v xml:space="preserve"> </v>
      </c>
      <c r="C349" s="190" t="str">
        <f t="shared" si="29"/>
        <v xml:space="preserve"> </v>
      </c>
      <c r="D349" s="190" t="str">
        <f t="shared" si="30"/>
        <v xml:space="preserve"> </v>
      </c>
      <c r="E349" s="190" t="str">
        <f t="shared" si="32"/>
        <v xml:space="preserve"> </v>
      </c>
      <c r="F349" s="190" t="str">
        <f t="shared" si="33"/>
        <v xml:space="preserve"> </v>
      </c>
    </row>
    <row r="350" spans="2:6" x14ac:dyDescent="0.35">
      <c r="B350" s="189" t="str">
        <f t="shared" si="31"/>
        <v xml:space="preserve"> </v>
      </c>
      <c r="C350" s="190" t="str">
        <f t="shared" si="29"/>
        <v xml:space="preserve"> </v>
      </c>
      <c r="D350" s="190" t="str">
        <f t="shared" si="30"/>
        <v xml:space="preserve"> </v>
      </c>
      <c r="E350" s="190" t="str">
        <f t="shared" si="32"/>
        <v xml:space="preserve"> </v>
      </c>
      <c r="F350" s="190" t="str">
        <f t="shared" si="33"/>
        <v xml:space="preserve"> </v>
      </c>
    </row>
    <row r="351" spans="2:6" x14ac:dyDescent="0.35">
      <c r="B351" s="189" t="str">
        <f t="shared" si="31"/>
        <v xml:space="preserve"> </v>
      </c>
      <c r="C351" s="190" t="str">
        <f t="shared" si="29"/>
        <v xml:space="preserve"> </v>
      </c>
      <c r="D351" s="190" t="str">
        <f t="shared" si="30"/>
        <v xml:space="preserve"> </v>
      </c>
      <c r="E351" s="190" t="str">
        <f t="shared" si="32"/>
        <v xml:space="preserve"> </v>
      </c>
      <c r="F351" s="190" t="str">
        <f t="shared" si="33"/>
        <v xml:space="preserve"> </v>
      </c>
    </row>
    <row r="352" spans="2:6" x14ac:dyDescent="0.35">
      <c r="B352" s="189" t="str">
        <f t="shared" si="31"/>
        <v xml:space="preserve"> </v>
      </c>
      <c r="C352" s="190" t="str">
        <f t="shared" si="29"/>
        <v xml:space="preserve"> </v>
      </c>
      <c r="D352" s="190" t="str">
        <f t="shared" si="30"/>
        <v xml:space="preserve"> </v>
      </c>
      <c r="E352" s="190" t="str">
        <f t="shared" si="32"/>
        <v xml:space="preserve"> </v>
      </c>
      <c r="F352" s="190" t="str">
        <f t="shared" si="33"/>
        <v xml:space="preserve"> </v>
      </c>
    </row>
    <row r="353" spans="2:6" x14ac:dyDescent="0.35">
      <c r="B353" s="189" t="str">
        <f t="shared" si="31"/>
        <v xml:space="preserve"> </v>
      </c>
      <c r="C353" s="190" t="str">
        <f t="shared" si="29"/>
        <v xml:space="preserve"> </v>
      </c>
      <c r="D353" s="190" t="str">
        <f t="shared" si="30"/>
        <v xml:space="preserve"> </v>
      </c>
      <c r="E353" s="190" t="str">
        <f t="shared" si="32"/>
        <v xml:space="preserve"> </v>
      </c>
      <c r="F353" s="190" t="str">
        <f t="shared" si="33"/>
        <v xml:space="preserve"> </v>
      </c>
    </row>
    <row r="354" spans="2:6" x14ac:dyDescent="0.35">
      <c r="B354" s="189" t="str">
        <f t="shared" si="31"/>
        <v xml:space="preserve"> </v>
      </c>
      <c r="C354" s="190" t="str">
        <f t="shared" si="29"/>
        <v xml:space="preserve"> </v>
      </c>
      <c r="D354" s="190" t="str">
        <f t="shared" si="30"/>
        <v xml:space="preserve"> </v>
      </c>
      <c r="E354" s="190" t="str">
        <f t="shared" si="32"/>
        <v xml:space="preserve"> </v>
      </c>
      <c r="F354" s="190" t="str">
        <f t="shared" si="33"/>
        <v xml:space="preserve"> </v>
      </c>
    </row>
    <row r="355" spans="2:6" x14ac:dyDescent="0.35">
      <c r="B355" s="189" t="str">
        <f t="shared" si="31"/>
        <v xml:space="preserve"> </v>
      </c>
      <c r="C355" s="190" t="str">
        <f t="shared" si="29"/>
        <v xml:space="preserve"> </v>
      </c>
      <c r="D355" s="190" t="str">
        <f t="shared" si="30"/>
        <v xml:space="preserve"> </v>
      </c>
      <c r="E355" s="190" t="str">
        <f t="shared" si="32"/>
        <v xml:space="preserve"> </v>
      </c>
      <c r="F355" s="190" t="str">
        <f t="shared" si="33"/>
        <v xml:space="preserve"> </v>
      </c>
    </row>
    <row r="356" spans="2:6" x14ac:dyDescent="0.35">
      <c r="B356" s="189" t="str">
        <f t="shared" si="31"/>
        <v xml:space="preserve"> </v>
      </c>
      <c r="C356" s="190" t="str">
        <f t="shared" si="29"/>
        <v xml:space="preserve"> </v>
      </c>
      <c r="D356" s="190" t="str">
        <f t="shared" si="30"/>
        <v xml:space="preserve"> </v>
      </c>
      <c r="E356" s="190" t="str">
        <f t="shared" si="32"/>
        <v xml:space="preserve"> </v>
      </c>
      <c r="F356" s="190" t="str">
        <f t="shared" si="33"/>
        <v xml:space="preserve"> </v>
      </c>
    </row>
    <row r="357" spans="2:6" x14ac:dyDescent="0.35">
      <c r="B357" s="189" t="str">
        <f t="shared" si="31"/>
        <v xml:space="preserve"> </v>
      </c>
      <c r="C357" s="190" t="str">
        <f t="shared" si="29"/>
        <v xml:space="preserve"> </v>
      </c>
      <c r="D357" s="190" t="str">
        <f t="shared" si="30"/>
        <v xml:space="preserve"> </v>
      </c>
      <c r="E357" s="190" t="str">
        <f t="shared" si="32"/>
        <v xml:space="preserve"> </v>
      </c>
      <c r="F357" s="190" t="str">
        <f t="shared" si="33"/>
        <v xml:space="preserve"> </v>
      </c>
    </row>
    <row r="358" spans="2:6" x14ac:dyDescent="0.35">
      <c r="B358" s="189" t="str">
        <f t="shared" si="31"/>
        <v xml:space="preserve"> </v>
      </c>
      <c r="C358" s="190" t="str">
        <f t="shared" si="29"/>
        <v xml:space="preserve"> </v>
      </c>
      <c r="D358" s="190" t="str">
        <f t="shared" si="30"/>
        <v xml:space="preserve"> </v>
      </c>
      <c r="E358" s="190" t="str">
        <f t="shared" si="32"/>
        <v xml:space="preserve"> </v>
      </c>
      <c r="F358" s="190" t="str">
        <f t="shared" si="33"/>
        <v xml:space="preserve"> </v>
      </c>
    </row>
    <row r="359" spans="2:6" x14ac:dyDescent="0.35">
      <c r="B359" s="189" t="str">
        <f t="shared" si="31"/>
        <v xml:space="preserve"> </v>
      </c>
      <c r="C359" s="190" t="str">
        <f t="shared" si="29"/>
        <v xml:space="preserve"> </v>
      </c>
      <c r="D359" s="190" t="str">
        <f t="shared" si="30"/>
        <v xml:space="preserve"> </v>
      </c>
      <c r="E359" s="190" t="str">
        <f t="shared" si="32"/>
        <v xml:space="preserve"> </v>
      </c>
      <c r="F359" s="190" t="str">
        <f t="shared" si="33"/>
        <v xml:space="preserve"> </v>
      </c>
    </row>
    <row r="360" spans="2:6" x14ac:dyDescent="0.35">
      <c r="B360" s="189" t="str">
        <f t="shared" si="31"/>
        <v xml:space="preserve"> </v>
      </c>
      <c r="C360" s="190" t="str">
        <f t="shared" si="29"/>
        <v xml:space="preserve"> </v>
      </c>
      <c r="D360" s="190" t="str">
        <f t="shared" si="30"/>
        <v xml:space="preserve"> </v>
      </c>
      <c r="E360" s="190" t="str">
        <f t="shared" si="32"/>
        <v xml:space="preserve"> </v>
      </c>
      <c r="F360" s="190" t="str">
        <f t="shared" si="33"/>
        <v xml:space="preserve"> </v>
      </c>
    </row>
    <row r="361" spans="2:6" x14ac:dyDescent="0.35">
      <c r="B361" s="189" t="str">
        <f t="shared" si="31"/>
        <v xml:space="preserve"> </v>
      </c>
      <c r="C361" s="190" t="str">
        <f t="shared" si="29"/>
        <v xml:space="preserve"> </v>
      </c>
      <c r="D361" s="190" t="str">
        <f t="shared" si="30"/>
        <v xml:space="preserve"> </v>
      </c>
      <c r="E361" s="190" t="str">
        <f t="shared" si="32"/>
        <v xml:space="preserve"> </v>
      </c>
      <c r="F361" s="190" t="str">
        <f t="shared" si="33"/>
        <v xml:space="preserve"> </v>
      </c>
    </row>
    <row r="362" spans="2:6" x14ac:dyDescent="0.35">
      <c r="B362" s="189" t="str">
        <f t="shared" si="31"/>
        <v xml:space="preserve"> </v>
      </c>
      <c r="C362" s="190" t="str">
        <f t="shared" si="29"/>
        <v xml:space="preserve"> </v>
      </c>
      <c r="D362" s="190" t="str">
        <f t="shared" si="30"/>
        <v xml:space="preserve"> </v>
      </c>
      <c r="E362" s="190" t="str">
        <f t="shared" si="32"/>
        <v xml:space="preserve"> </v>
      </c>
      <c r="F362" s="190" t="str">
        <f t="shared" si="33"/>
        <v xml:space="preserve"> </v>
      </c>
    </row>
    <row r="363" spans="2:6" x14ac:dyDescent="0.35">
      <c r="B363" s="189" t="str">
        <f t="shared" si="31"/>
        <v xml:space="preserve"> </v>
      </c>
      <c r="C363" s="190" t="str">
        <f t="shared" si="29"/>
        <v xml:space="preserve"> </v>
      </c>
      <c r="D363" s="190" t="str">
        <f t="shared" si="30"/>
        <v xml:space="preserve"> </v>
      </c>
      <c r="E363" s="190" t="str">
        <f t="shared" si="32"/>
        <v xml:space="preserve"> </v>
      </c>
      <c r="F363" s="190" t="str">
        <f t="shared" si="33"/>
        <v xml:space="preserve"> </v>
      </c>
    </row>
    <row r="364" spans="2:6" x14ac:dyDescent="0.35">
      <c r="B364" s="189" t="str">
        <f t="shared" si="31"/>
        <v xml:space="preserve"> </v>
      </c>
      <c r="C364" s="190" t="str">
        <f t="shared" si="29"/>
        <v xml:space="preserve"> </v>
      </c>
      <c r="D364" s="190" t="str">
        <f t="shared" si="30"/>
        <v xml:space="preserve"> </v>
      </c>
      <c r="E364" s="190" t="str">
        <f t="shared" si="32"/>
        <v xml:space="preserve"> </v>
      </c>
      <c r="F364" s="190" t="str">
        <f t="shared" si="33"/>
        <v xml:space="preserve"> </v>
      </c>
    </row>
    <row r="365" spans="2:6" x14ac:dyDescent="0.35">
      <c r="B365" s="189" t="str">
        <f t="shared" si="31"/>
        <v xml:space="preserve"> </v>
      </c>
      <c r="C365" s="190" t="str">
        <f t="shared" si="29"/>
        <v xml:space="preserve"> </v>
      </c>
      <c r="D365" s="190" t="str">
        <f t="shared" si="30"/>
        <v xml:space="preserve"> </v>
      </c>
      <c r="E365" s="190" t="str">
        <f t="shared" si="32"/>
        <v xml:space="preserve"> </v>
      </c>
      <c r="F365" s="190" t="str">
        <f t="shared" si="33"/>
        <v xml:space="preserve"> </v>
      </c>
    </row>
    <row r="366" spans="2:6" x14ac:dyDescent="0.35">
      <c r="B366" s="189" t="str">
        <f t="shared" si="31"/>
        <v xml:space="preserve"> </v>
      </c>
      <c r="C366" s="190" t="str">
        <f t="shared" si="29"/>
        <v xml:space="preserve"> </v>
      </c>
      <c r="D366" s="190" t="str">
        <f t="shared" si="30"/>
        <v xml:space="preserve"> </v>
      </c>
      <c r="E366" s="190" t="str">
        <f t="shared" si="32"/>
        <v xml:space="preserve"> </v>
      </c>
      <c r="F366" s="190" t="str">
        <f t="shared" si="33"/>
        <v xml:space="preserve"> </v>
      </c>
    </row>
    <row r="367" spans="2:6" x14ac:dyDescent="0.35">
      <c r="B367" s="189" t="str">
        <f t="shared" si="31"/>
        <v xml:space="preserve"> </v>
      </c>
      <c r="C367" s="190" t="str">
        <f t="shared" si="29"/>
        <v xml:space="preserve"> </v>
      </c>
      <c r="D367" s="190" t="str">
        <f t="shared" si="30"/>
        <v xml:space="preserve"> </v>
      </c>
      <c r="E367" s="190" t="str">
        <f t="shared" si="32"/>
        <v xml:space="preserve"> </v>
      </c>
      <c r="F367" s="190" t="str">
        <f t="shared" si="33"/>
        <v xml:space="preserve"> </v>
      </c>
    </row>
    <row r="368" spans="2:6" x14ac:dyDescent="0.35">
      <c r="B368" s="189" t="str">
        <f t="shared" si="31"/>
        <v xml:space="preserve"> </v>
      </c>
      <c r="C368" s="190" t="str">
        <f t="shared" si="29"/>
        <v xml:space="preserve"> </v>
      </c>
      <c r="D368" s="190" t="str">
        <f t="shared" si="30"/>
        <v xml:space="preserve"> </v>
      </c>
      <c r="E368" s="190" t="str">
        <f t="shared" si="32"/>
        <v xml:space="preserve"> </v>
      </c>
      <c r="F368" s="190" t="str">
        <f t="shared" si="33"/>
        <v xml:space="preserve"> </v>
      </c>
    </row>
    <row r="369" spans="2:22" x14ac:dyDescent="0.35">
      <c r="B369" s="189" t="str">
        <f t="shared" si="31"/>
        <v xml:space="preserve"> </v>
      </c>
      <c r="C369" s="190" t="str">
        <f t="shared" si="29"/>
        <v xml:space="preserve"> </v>
      </c>
      <c r="D369" s="190" t="str">
        <f t="shared" si="30"/>
        <v xml:space="preserve"> </v>
      </c>
      <c r="E369" s="190" t="str">
        <f t="shared" si="32"/>
        <v xml:space="preserve"> </v>
      </c>
      <c r="F369" s="190" t="str">
        <f t="shared" si="33"/>
        <v xml:space="preserve"> </v>
      </c>
    </row>
    <row r="370" spans="2:22" x14ac:dyDescent="0.35">
      <c r="B370" s="189" t="str">
        <f t="shared" si="31"/>
        <v xml:space="preserve"> </v>
      </c>
      <c r="C370" s="190" t="str">
        <f t="shared" si="29"/>
        <v xml:space="preserve"> </v>
      </c>
      <c r="D370" s="190" t="str">
        <f t="shared" si="30"/>
        <v xml:space="preserve"> </v>
      </c>
      <c r="E370" s="190" t="str">
        <f t="shared" si="32"/>
        <v xml:space="preserve"> </v>
      </c>
      <c r="F370" s="190" t="str">
        <f t="shared" si="33"/>
        <v xml:space="preserve"> </v>
      </c>
    </row>
    <row r="371" spans="2:22" x14ac:dyDescent="0.35">
      <c r="B371" s="189" t="str">
        <f t="shared" si="31"/>
        <v xml:space="preserve"> </v>
      </c>
      <c r="C371" s="190" t="str">
        <f t="shared" si="29"/>
        <v xml:space="preserve"> </v>
      </c>
      <c r="D371" s="190" t="str">
        <f t="shared" si="30"/>
        <v xml:space="preserve"> </v>
      </c>
      <c r="E371" s="190" t="str">
        <f t="shared" si="32"/>
        <v xml:space="preserve"> </v>
      </c>
      <c r="F371" s="190" t="str">
        <f t="shared" si="33"/>
        <v xml:space="preserve"> </v>
      </c>
    </row>
    <row r="372" spans="2:22" x14ac:dyDescent="0.35">
      <c r="C372" s="191"/>
      <c r="D372" s="191"/>
      <c r="E372" s="191"/>
      <c r="F372" s="191"/>
    </row>
    <row r="373" spans="2:22" x14ac:dyDescent="0.35">
      <c r="C373" s="191"/>
      <c r="D373" s="191"/>
      <c r="E373" s="191"/>
      <c r="F373" s="191"/>
    </row>
    <row r="374" spans="2:22" x14ac:dyDescent="0.35">
      <c r="C374" s="191"/>
      <c r="D374" s="191"/>
      <c r="E374" s="191"/>
      <c r="F374" s="191"/>
    </row>
    <row r="375" spans="2:22" x14ac:dyDescent="0.35">
      <c r="C375" s="191"/>
      <c r="D375" s="191"/>
      <c r="E375" s="191"/>
      <c r="F375" s="191"/>
    </row>
    <row r="376" spans="2:22" x14ac:dyDescent="0.35">
      <c r="C376" s="191"/>
      <c r="D376" s="191"/>
      <c r="E376" s="191"/>
      <c r="F376" s="191"/>
    </row>
    <row r="377" spans="2:22" x14ac:dyDescent="0.35">
      <c r="C377" s="191"/>
      <c r="D377" s="191"/>
      <c r="E377" s="191"/>
      <c r="F377" s="191"/>
    </row>
    <row r="378" spans="2:22" x14ac:dyDescent="0.35">
      <c r="C378" s="191"/>
      <c r="D378" s="191"/>
      <c r="E378" s="191"/>
      <c r="F378" s="191"/>
      <c r="V378">
        <f>30*12</f>
        <v>360</v>
      </c>
    </row>
    <row r="379" spans="2:22" x14ac:dyDescent="0.35">
      <c r="C379" s="191"/>
      <c r="D379" s="191"/>
      <c r="E379" s="191"/>
      <c r="F379" s="191"/>
    </row>
    <row r="380" spans="2:22" x14ac:dyDescent="0.35">
      <c r="C380" s="191"/>
      <c r="D380" s="191"/>
      <c r="E380" s="191"/>
      <c r="F380" s="191"/>
    </row>
    <row r="381" spans="2:22" x14ac:dyDescent="0.35">
      <c r="C381" s="191"/>
      <c r="D381" s="191"/>
      <c r="E381" s="191"/>
      <c r="F381" s="191"/>
    </row>
    <row r="405" spans="3:6" x14ac:dyDescent="0.35">
      <c r="C405" s="192"/>
      <c r="D405" s="192"/>
      <c r="E405" s="192"/>
      <c r="F405" s="192"/>
    </row>
    <row r="406" spans="3:6" x14ac:dyDescent="0.35">
      <c r="C406" s="192"/>
      <c r="D406" s="192"/>
      <c r="E406" s="192"/>
      <c r="F406" s="192"/>
    </row>
    <row r="407" spans="3:6" x14ac:dyDescent="0.35">
      <c r="C407" s="192"/>
      <c r="D407" s="192"/>
      <c r="E407" s="192"/>
      <c r="F407" s="192"/>
    </row>
    <row r="408" spans="3:6" x14ac:dyDescent="0.35">
      <c r="C408" s="192"/>
      <c r="D408" s="192"/>
      <c r="E408" s="192"/>
      <c r="F408" s="192"/>
    </row>
    <row r="409" spans="3:6" x14ac:dyDescent="0.35">
      <c r="C409" s="192"/>
      <c r="D409" s="192"/>
      <c r="E409" s="192"/>
      <c r="F409" s="192"/>
    </row>
    <row r="410" spans="3:6" x14ac:dyDescent="0.35">
      <c r="C410" s="192"/>
      <c r="D410" s="192"/>
      <c r="E410" s="192"/>
      <c r="F410" s="192"/>
    </row>
    <row r="411" spans="3:6" x14ac:dyDescent="0.35">
      <c r="C411" s="192"/>
      <c r="D411" s="192"/>
      <c r="E411" s="192"/>
      <c r="F411" s="192"/>
    </row>
    <row r="412" spans="3:6" x14ac:dyDescent="0.35">
      <c r="C412" s="192"/>
      <c r="D412" s="192"/>
      <c r="E412" s="192"/>
      <c r="F412" s="192"/>
    </row>
    <row r="413" spans="3:6" x14ac:dyDescent="0.35">
      <c r="C413" s="192"/>
      <c r="D413" s="192"/>
      <c r="E413" s="192"/>
      <c r="F413" s="192"/>
    </row>
    <row r="414" spans="3:6" x14ac:dyDescent="0.35">
      <c r="C414" s="192"/>
      <c r="D414" s="192"/>
      <c r="E414" s="192"/>
      <c r="F414" s="192"/>
    </row>
    <row r="415" spans="3:6" x14ac:dyDescent="0.35">
      <c r="C415" s="192"/>
      <c r="D415" s="192"/>
      <c r="E415" s="192"/>
      <c r="F415" s="192"/>
    </row>
    <row r="416" spans="3:6" x14ac:dyDescent="0.35">
      <c r="C416" s="192"/>
      <c r="D416" s="192"/>
      <c r="E416" s="192"/>
      <c r="F416" s="192"/>
    </row>
    <row r="417" spans="3:6" x14ac:dyDescent="0.35">
      <c r="C417" s="192"/>
      <c r="D417" s="192"/>
      <c r="E417" s="192"/>
      <c r="F417" s="192"/>
    </row>
    <row r="418" spans="3:6" x14ac:dyDescent="0.35">
      <c r="C418" s="192"/>
      <c r="D418" s="192"/>
      <c r="E418" s="192"/>
      <c r="F418" s="192"/>
    </row>
    <row r="419" spans="3:6" x14ac:dyDescent="0.35">
      <c r="C419" s="192"/>
      <c r="D419" s="192"/>
      <c r="E419" s="192"/>
      <c r="F419" s="192"/>
    </row>
    <row r="420" spans="3:6" x14ac:dyDescent="0.35">
      <c r="C420" s="192"/>
      <c r="D420" s="192"/>
      <c r="E420" s="192"/>
      <c r="F420" s="192"/>
    </row>
    <row r="421" spans="3:6" x14ac:dyDescent="0.35">
      <c r="C421" s="192"/>
      <c r="D421" s="192"/>
      <c r="E421" s="192"/>
      <c r="F421" s="192"/>
    </row>
    <row r="422" spans="3:6" x14ac:dyDescent="0.35">
      <c r="C422" s="192"/>
      <c r="D422" s="192"/>
      <c r="E422" s="192"/>
      <c r="F422" s="192"/>
    </row>
    <row r="423" spans="3:6" x14ac:dyDescent="0.35">
      <c r="C423" s="192"/>
      <c r="D423" s="192"/>
      <c r="E423" s="192"/>
      <c r="F423" s="192"/>
    </row>
    <row r="424" spans="3:6" x14ac:dyDescent="0.35">
      <c r="C424" s="192"/>
      <c r="D424" s="192"/>
      <c r="E424" s="192"/>
      <c r="F424" s="192"/>
    </row>
    <row r="425" spans="3:6" x14ac:dyDescent="0.35">
      <c r="C425" s="192"/>
      <c r="D425" s="192"/>
      <c r="E425" s="192"/>
      <c r="F425" s="192"/>
    </row>
    <row r="426" spans="3:6" x14ac:dyDescent="0.35">
      <c r="C426" s="192"/>
      <c r="D426" s="192"/>
      <c r="E426" s="192"/>
      <c r="F426" s="192"/>
    </row>
    <row r="427" spans="3:6" x14ac:dyDescent="0.35">
      <c r="C427" s="192"/>
      <c r="D427" s="192"/>
      <c r="E427" s="192"/>
      <c r="F427" s="192"/>
    </row>
    <row r="428" spans="3:6" x14ac:dyDescent="0.35">
      <c r="C428" s="192"/>
      <c r="D428" s="192"/>
      <c r="E428" s="192"/>
      <c r="F428" s="192"/>
    </row>
    <row r="429" spans="3:6" x14ac:dyDescent="0.35">
      <c r="C429" s="192"/>
      <c r="D429" s="192"/>
      <c r="E429" s="192"/>
      <c r="F429" s="192"/>
    </row>
    <row r="430" spans="3:6" x14ac:dyDescent="0.35">
      <c r="C430" s="192"/>
      <c r="D430" s="192"/>
      <c r="E430" s="192"/>
      <c r="F430" s="192"/>
    </row>
    <row r="431" spans="3:6" x14ac:dyDescent="0.35">
      <c r="C431" s="192"/>
      <c r="D431" s="192"/>
      <c r="E431" s="192"/>
      <c r="F431" s="192"/>
    </row>
    <row r="432" spans="3:6" x14ac:dyDescent="0.35">
      <c r="C432" s="192"/>
      <c r="D432" s="192"/>
      <c r="E432" s="192"/>
      <c r="F432" s="192"/>
    </row>
    <row r="433" spans="3:6" x14ac:dyDescent="0.35">
      <c r="C433" s="192"/>
      <c r="D433" s="192"/>
      <c r="E433" s="192"/>
      <c r="F433" s="192"/>
    </row>
    <row r="434" spans="3:6" x14ac:dyDescent="0.35">
      <c r="C434" s="192"/>
      <c r="D434" s="192"/>
      <c r="E434" s="192"/>
      <c r="F434" s="192"/>
    </row>
    <row r="435" spans="3:6" x14ac:dyDescent="0.35">
      <c r="C435" s="192"/>
      <c r="D435" s="192"/>
      <c r="E435" s="192"/>
      <c r="F435" s="192"/>
    </row>
    <row r="436" spans="3:6" x14ac:dyDescent="0.35">
      <c r="C436" s="192"/>
      <c r="D436" s="192"/>
      <c r="E436" s="192"/>
      <c r="F436" s="192"/>
    </row>
    <row r="437" spans="3:6" x14ac:dyDescent="0.35">
      <c r="C437" s="192"/>
      <c r="D437" s="192"/>
      <c r="E437" s="192"/>
      <c r="F437" s="192"/>
    </row>
    <row r="438" spans="3:6" x14ac:dyDescent="0.35">
      <c r="C438" s="192"/>
      <c r="D438" s="192"/>
      <c r="E438" s="192"/>
      <c r="F438" s="192"/>
    </row>
    <row r="439" spans="3:6" x14ac:dyDescent="0.35">
      <c r="C439" s="192"/>
      <c r="D439" s="192"/>
      <c r="E439" s="192"/>
      <c r="F439" s="192"/>
    </row>
    <row r="440" spans="3:6" x14ac:dyDescent="0.35">
      <c r="C440" s="192"/>
      <c r="D440" s="192"/>
      <c r="E440" s="192"/>
      <c r="F440" s="192"/>
    </row>
    <row r="441" spans="3:6" x14ac:dyDescent="0.35">
      <c r="C441" s="192"/>
      <c r="D441" s="192"/>
      <c r="E441" s="192"/>
      <c r="F441" s="192"/>
    </row>
    <row r="442" spans="3:6" x14ac:dyDescent="0.35">
      <c r="C442" s="192"/>
      <c r="D442" s="192"/>
      <c r="E442" s="192"/>
      <c r="F442" s="192"/>
    </row>
  </sheetData>
  <mergeCells count="1">
    <mergeCell ref="B2:F3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Drop Down 1">
              <controlPr defaultSize="0" autoLine="0" autoPict="0">
                <anchor moveWithCells="1">
                  <from>
                    <xdr:col>2</xdr:col>
                    <xdr:colOff>12700</xdr:colOff>
                    <xdr:row>4</xdr:row>
                    <xdr:rowOff>12700</xdr:rowOff>
                  </from>
                  <to>
                    <xdr:col>2</xdr:col>
                    <xdr:colOff>1200150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Drop Down 2">
              <controlPr defaultSize="0" autoLine="0" autoPict="0">
                <anchor moveWithCells="1">
                  <from>
                    <xdr:col>2</xdr:col>
                    <xdr:colOff>12700</xdr:colOff>
                    <xdr:row>5</xdr:row>
                    <xdr:rowOff>25400</xdr:rowOff>
                  </from>
                  <to>
                    <xdr:col>2</xdr:col>
                    <xdr:colOff>1200150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Drop Down 3">
              <controlPr defaultSize="0" autoLine="0" autoPict="0">
                <anchor moveWithCells="1">
                  <from>
                    <xdr:col>2</xdr:col>
                    <xdr:colOff>12700</xdr:colOff>
                    <xdr:row>6</xdr:row>
                    <xdr:rowOff>12700</xdr:rowOff>
                  </from>
                  <to>
                    <xdr:col>2</xdr:col>
                    <xdr:colOff>1200150</xdr:colOff>
                    <xdr:row>6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0A732-732C-4B3F-B3B0-5CFABA1E168D}">
  <sheetPr codeName="Hoja13">
    <tabColor theme="8" tint="0.79998168889431442"/>
  </sheetPr>
  <dimension ref="B1:AF51"/>
  <sheetViews>
    <sheetView showGridLines="0" zoomScale="79" zoomScaleNormal="38" workbookViewId="0">
      <selection activeCell="C6" sqref="C6:C12"/>
    </sheetView>
  </sheetViews>
  <sheetFormatPr baseColWidth="10" defaultRowHeight="14.5" x14ac:dyDescent="0.35"/>
  <cols>
    <col min="1" max="1" width="2.81640625" customWidth="1"/>
    <col min="2" max="2" width="2.54296875" customWidth="1"/>
    <col min="3" max="3" width="11.36328125" customWidth="1"/>
    <col min="4" max="4" width="1.36328125" customWidth="1"/>
    <col min="5" max="5" width="32.1796875" customWidth="1"/>
    <col min="6" max="6" width="14.453125" customWidth="1"/>
    <col min="7" max="7" width="14.7265625" customWidth="1"/>
    <col min="8" max="11" width="12.7265625" customWidth="1"/>
    <col min="12" max="12" width="15.453125" customWidth="1"/>
    <col min="13" max="13" width="12.7265625" customWidth="1"/>
    <col min="14" max="14" width="14.08984375" customWidth="1"/>
    <col min="15" max="16" width="12.7265625" customWidth="1"/>
    <col min="17" max="17" width="13.36328125" customWidth="1"/>
    <col min="18" max="18" width="13.6328125" customWidth="1"/>
    <col min="19" max="19" width="2.81640625" customWidth="1"/>
  </cols>
  <sheetData>
    <row r="1" spans="2:32" ht="15" thickBot="1" x14ac:dyDescent="0.4"/>
    <row r="2" spans="2:32" ht="16" thickBot="1" x14ac:dyDescent="0.4">
      <c r="B2" s="405"/>
      <c r="C2" s="1003" t="s">
        <v>119</v>
      </c>
      <c r="D2" s="1004"/>
      <c r="E2" s="1005"/>
      <c r="F2" s="593"/>
      <c r="G2" s="406"/>
      <c r="H2" s="406"/>
      <c r="I2" s="406"/>
      <c r="J2" s="406"/>
      <c r="K2" s="406"/>
      <c r="L2" s="406"/>
      <c r="M2" s="406"/>
      <c r="N2" s="406"/>
      <c r="O2" s="406"/>
      <c r="P2" s="406"/>
      <c r="Q2" s="406"/>
      <c r="R2" s="406"/>
      <c r="S2" s="594"/>
    </row>
    <row r="3" spans="2:32" x14ac:dyDescent="0.35">
      <c r="B3" s="298"/>
      <c r="C3" s="295"/>
      <c r="D3" s="295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95"/>
      <c r="S3" s="299"/>
    </row>
    <row r="4" spans="2:32" ht="15.5" x14ac:dyDescent="0.35">
      <c r="B4" s="298"/>
      <c r="C4" s="995" t="str">
        <f>DP!C16</f>
        <v>PERU</v>
      </c>
      <c r="D4" s="295"/>
      <c r="E4" s="995" t="s">
        <v>120</v>
      </c>
      <c r="F4" s="995" t="s">
        <v>117</v>
      </c>
      <c r="G4" s="1000" t="s">
        <v>121</v>
      </c>
      <c r="H4" s="1001"/>
      <c r="I4" s="1001"/>
      <c r="J4" s="1001"/>
      <c r="K4" s="1001"/>
      <c r="L4" s="1001"/>
      <c r="M4" s="1001"/>
      <c r="N4" s="1001"/>
      <c r="O4" s="1001"/>
      <c r="P4" s="1001"/>
      <c r="Q4" s="995" t="s">
        <v>118</v>
      </c>
      <c r="R4" s="997" t="s">
        <v>304</v>
      </c>
      <c r="S4" s="299"/>
      <c r="AD4" s="990" t="s">
        <v>33</v>
      </c>
      <c r="AE4" s="990" t="s">
        <v>14</v>
      </c>
      <c r="AF4" s="990" t="s">
        <v>369</v>
      </c>
    </row>
    <row r="5" spans="2:32" ht="15.5" x14ac:dyDescent="0.35">
      <c r="B5" s="298"/>
      <c r="C5" s="995"/>
      <c r="D5" s="295"/>
      <c r="E5" s="995"/>
      <c r="F5" s="995"/>
      <c r="G5" s="60">
        <f>DP!C11</f>
        <v>2025</v>
      </c>
      <c r="H5" s="60">
        <f>G5+1</f>
        <v>2026</v>
      </c>
      <c r="I5" s="60">
        <f t="shared" ref="I5:P5" si="0">H5+1</f>
        <v>2027</v>
      </c>
      <c r="J5" s="60">
        <f t="shared" si="0"/>
        <v>2028</v>
      </c>
      <c r="K5" s="60">
        <f t="shared" si="0"/>
        <v>2029</v>
      </c>
      <c r="L5" s="60">
        <f t="shared" si="0"/>
        <v>2030</v>
      </c>
      <c r="M5" s="60">
        <f t="shared" si="0"/>
        <v>2031</v>
      </c>
      <c r="N5" s="60">
        <f t="shared" si="0"/>
        <v>2032</v>
      </c>
      <c r="O5" s="60">
        <f t="shared" si="0"/>
        <v>2033</v>
      </c>
      <c r="P5" s="60">
        <f t="shared" si="0"/>
        <v>2034</v>
      </c>
      <c r="Q5" s="995"/>
      <c r="R5" s="997"/>
      <c r="S5" s="299"/>
      <c r="AD5" s="991"/>
      <c r="AE5" s="991"/>
      <c r="AF5" s="991"/>
    </row>
    <row r="6" spans="2:32" ht="15.5" x14ac:dyDescent="0.35">
      <c r="B6" s="298"/>
      <c r="C6" s="63">
        <f>IF($C$4=$AD$4,AD6,IF($C$4=$AE$4,AE6,IF($C$4=$AF$4,AF6)))</f>
        <v>0.02</v>
      </c>
      <c r="D6" s="295"/>
      <c r="E6" s="61" t="str">
        <f>IV0!B10</f>
        <v>EDIFICIOS Y OBRAS CIVILES</v>
      </c>
      <c r="F6" s="94">
        <f>IV0!E16</f>
        <v>108000</v>
      </c>
      <c r="G6" s="93">
        <f t="shared" ref="G6:G12" si="1">$F6*$C6</f>
        <v>2160</v>
      </c>
      <c r="H6" s="93">
        <f>IF(G6&lt;F6,$F6*$C6,IF(G6=F6,0*1))</f>
        <v>2160</v>
      </c>
      <c r="I6" s="93">
        <f>IF(SUM(G6:H6)&lt;F6,$F6*$C6,IF(SUM(G6:H6)=F6,0*1))</f>
        <v>2160</v>
      </c>
      <c r="J6" s="93">
        <f>IF(SUM(G6:I6)&lt;F6,$F6*$C6,IF(SUM(G6:I6)=F6,0*1))</f>
        <v>2160</v>
      </c>
      <c r="K6" s="93">
        <f>IF(SUM(G6:J6)&lt;F6,$F6*$C6,IF(SUM(G6:J6)=F6,0*1))</f>
        <v>2160</v>
      </c>
      <c r="L6" s="93">
        <f>IF(SUM(G6:K6)&lt;F6,$F6*$C6,IF(SUM(G6:K6)=F6,0*1))</f>
        <v>2160</v>
      </c>
      <c r="M6" s="93">
        <f>IF(SUM(G6:L6)&lt;F6,$F6*$C6,IF(SUM(G6:L6)=F6,0*1))</f>
        <v>2160</v>
      </c>
      <c r="N6" s="93">
        <f>IF(SUM(G6:M6)&lt;F6,$F6*$C6,IF(SUM(G6:M6)=F6,0*1))</f>
        <v>2160</v>
      </c>
      <c r="O6" s="93">
        <f>IF(SUM(G6:N6)&lt;F6,$F6*$C6,IF(SUM(G6:N6)=F6,0*1))</f>
        <v>2160</v>
      </c>
      <c r="P6" s="93">
        <f>IF(SUM(G6:O6)&lt;F6,$F6*$C6,IF(SUM(G6:O6)=F6,0*1))</f>
        <v>2160</v>
      </c>
      <c r="Q6" s="93">
        <f t="shared" ref="Q6:Q12" si="2">SUM(G6:P6)</f>
        <v>21600</v>
      </c>
      <c r="R6" s="93">
        <f t="shared" ref="R6:R12" si="3">F6-Q6</f>
        <v>86400</v>
      </c>
      <c r="S6" s="299"/>
      <c r="AD6" s="63">
        <v>0.02</v>
      </c>
      <c r="AE6" s="63">
        <v>0.05</v>
      </c>
      <c r="AF6" s="63">
        <v>0.03</v>
      </c>
    </row>
    <row r="7" spans="2:32" ht="15.5" x14ac:dyDescent="0.35">
      <c r="B7" s="298"/>
      <c r="C7" s="63">
        <f t="shared" ref="C7:C12" si="4">IF($C$4=$AD$4,AD7,IF($C$4=$AE$4,AE7,IF($C$4=$AF$4,AF7)))</f>
        <v>0.1</v>
      </c>
      <c r="D7" s="295"/>
      <c r="E7" s="61" t="str">
        <f>IV0!B17</f>
        <v xml:space="preserve">EQUIPO Y MAQUINARIA </v>
      </c>
      <c r="F7" s="94">
        <f>IV0!E30</f>
        <v>72000</v>
      </c>
      <c r="G7" s="93">
        <f t="shared" si="1"/>
        <v>7200</v>
      </c>
      <c r="H7" s="93">
        <f t="shared" ref="H7:H12" si="5">IF(G7&lt;F7,$F7*$C7,IF(G7=F7,0*1))</f>
        <v>7200</v>
      </c>
      <c r="I7" s="93">
        <f t="shared" ref="I7:I12" si="6">IF(SUM(G7:H7)&lt;F7,$F7*$C7,IF(SUM(G7:H7)=F7,0*1))</f>
        <v>7200</v>
      </c>
      <c r="J7" s="93">
        <f t="shared" ref="J7:J12" si="7">IF(SUM(G7:I7)&lt;F7,$F7*$C7,IF(SUM(G7:I7)=F7,0*1))</f>
        <v>7200</v>
      </c>
      <c r="K7" s="93">
        <f t="shared" ref="K7:K12" si="8">IF(SUM(G7:J7)&lt;F7,$F7*$C7,IF(SUM(G7:J7)=F7,0*1))</f>
        <v>7200</v>
      </c>
      <c r="L7" s="93">
        <f t="shared" ref="L7:L12" si="9">IF(SUM(G7:K7)&lt;F7,$F7*$C7,IF(SUM(G7:K7)=F7,0*1))</f>
        <v>7200</v>
      </c>
      <c r="M7" s="93">
        <f t="shared" ref="M7:M12" si="10">IF(SUM(G7:L7)&lt;F7,$F7*$C7,IF(SUM(G7:L7)=F7,0*1))</f>
        <v>7200</v>
      </c>
      <c r="N7" s="93">
        <f t="shared" ref="N7:N12" si="11">IF(SUM(G7:M7)&lt;F7,$F7*$C7,IF(SUM(G7:M7)=F7,0*1))</f>
        <v>7200</v>
      </c>
      <c r="O7" s="93">
        <f t="shared" ref="O7:O12" si="12">IF(SUM(G7:N7)&lt;F7,$F7*$C7,IF(SUM(G7:N7)=F7,0*1))</f>
        <v>7200</v>
      </c>
      <c r="P7" s="93">
        <f t="shared" ref="P7:P12" si="13">IF(SUM(G7:O7)&lt;F7,$F7*$C7,IF(SUM(G7:O7)=F7,0*1))</f>
        <v>7200</v>
      </c>
      <c r="Q7" s="93">
        <f t="shared" si="2"/>
        <v>72000</v>
      </c>
      <c r="R7" s="93">
        <f t="shared" si="3"/>
        <v>0</v>
      </c>
      <c r="S7" s="299"/>
      <c r="AD7" s="63">
        <v>0.1</v>
      </c>
      <c r="AE7" s="63">
        <v>0.1</v>
      </c>
      <c r="AF7" s="63">
        <v>0.1</v>
      </c>
    </row>
    <row r="8" spans="2:32" ht="15.5" x14ac:dyDescent="0.35">
      <c r="B8" s="298"/>
      <c r="C8" s="63">
        <f t="shared" si="4"/>
        <v>0.1</v>
      </c>
      <c r="D8" s="295"/>
      <c r="E8" s="61" t="str">
        <f>IV0!B31</f>
        <v>MUEBLES Y ENSERES</v>
      </c>
      <c r="F8" s="94">
        <f>IV0!E42</f>
        <v>1840</v>
      </c>
      <c r="G8" s="93">
        <f t="shared" si="1"/>
        <v>184</v>
      </c>
      <c r="H8" s="93">
        <f t="shared" si="5"/>
        <v>184</v>
      </c>
      <c r="I8" s="93">
        <f t="shared" si="6"/>
        <v>184</v>
      </c>
      <c r="J8" s="93">
        <f t="shared" si="7"/>
        <v>184</v>
      </c>
      <c r="K8" s="93">
        <f t="shared" si="8"/>
        <v>184</v>
      </c>
      <c r="L8" s="93">
        <f t="shared" si="9"/>
        <v>184</v>
      </c>
      <c r="M8" s="93">
        <f t="shared" si="10"/>
        <v>184</v>
      </c>
      <c r="N8" s="93">
        <f t="shared" si="11"/>
        <v>184</v>
      </c>
      <c r="O8" s="93">
        <f t="shared" si="12"/>
        <v>184</v>
      </c>
      <c r="P8" s="93">
        <f t="shared" si="13"/>
        <v>184</v>
      </c>
      <c r="Q8" s="93">
        <f t="shared" si="2"/>
        <v>1840</v>
      </c>
      <c r="R8" s="93">
        <f t="shared" si="3"/>
        <v>0</v>
      </c>
      <c r="S8" s="299"/>
      <c r="AD8" s="63">
        <v>0.1</v>
      </c>
      <c r="AE8" s="63">
        <v>0.1</v>
      </c>
      <c r="AF8" s="63">
        <v>0.1</v>
      </c>
    </row>
    <row r="9" spans="2:32" ht="15.5" x14ac:dyDescent="0.35">
      <c r="B9" s="298"/>
      <c r="C9" s="63">
        <f t="shared" si="4"/>
        <v>0.33333333333333331</v>
      </c>
      <c r="D9" s="295"/>
      <c r="E9" s="61" t="str">
        <f>IV0!B43</f>
        <v>EQUIPOS DE COMPUTACIÓN</v>
      </c>
      <c r="F9" s="94">
        <f>IV0!E53</f>
        <v>7000</v>
      </c>
      <c r="G9" s="93">
        <f t="shared" si="1"/>
        <v>2333.333333333333</v>
      </c>
      <c r="H9" s="93">
        <f t="shared" si="5"/>
        <v>2333.333333333333</v>
      </c>
      <c r="I9" s="93">
        <f t="shared" si="6"/>
        <v>2333.333333333333</v>
      </c>
      <c r="J9" s="93">
        <f t="shared" si="7"/>
        <v>0</v>
      </c>
      <c r="K9" s="93">
        <f t="shared" si="8"/>
        <v>0</v>
      </c>
      <c r="L9" s="93">
        <f t="shared" si="9"/>
        <v>0</v>
      </c>
      <c r="M9" s="93">
        <f t="shared" si="10"/>
        <v>0</v>
      </c>
      <c r="N9" s="93">
        <f t="shared" si="11"/>
        <v>0</v>
      </c>
      <c r="O9" s="93">
        <f t="shared" si="12"/>
        <v>0</v>
      </c>
      <c r="P9" s="93">
        <f t="shared" si="13"/>
        <v>0</v>
      </c>
      <c r="Q9" s="93">
        <f t="shared" si="2"/>
        <v>6999.9999999999991</v>
      </c>
      <c r="R9" s="93">
        <f t="shared" si="3"/>
        <v>0</v>
      </c>
      <c r="S9" s="299"/>
      <c r="AD9" s="90">
        <f>1/3</f>
        <v>0.33333333333333331</v>
      </c>
      <c r="AE9" s="63">
        <v>0.25</v>
      </c>
      <c r="AF9" s="63">
        <f>1/3</f>
        <v>0.33333333333333331</v>
      </c>
    </row>
    <row r="10" spans="2:32" ht="15.5" x14ac:dyDescent="0.35">
      <c r="B10" s="298"/>
      <c r="C10" s="63">
        <f t="shared" si="4"/>
        <v>0.2</v>
      </c>
      <c r="D10" s="295"/>
      <c r="E10" s="61" t="str">
        <f>IV0!B54</f>
        <v>VEHICULOS</v>
      </c>
      <c r="F10" s="94">
        <f>IV0!E64</f>
        <v>37500</v>
      </c>
      <c r="G10" s="93">
        <f t="shared" si="1"/>
        <v>7500</v>
      </c>
      <c r="H10" s="93">
        <f t="shared" si="5"/>
        <v>7500</v>
      </c>
      <c r="I10" s="93">
        <f t="shared" si="6"/>
        <v>7500</v>
      </c>
      <c r="J10" s="93">
        <f t="shared" si="7"/>
        <v>7500</v>
      </c>
      <c r="K10" s="93">
        <f t="shared" si="8"/>
        <v>7500</v>
      </c>
      <c r="L10" s="93">
        <f t="shared" si="9"/>
        <v>0</v>
      </c>
      <c r="M10" s="93">
        <f t="shared" si="10"/>
        <v>0</v>
      </c>
      <c r="N10" s="93">
        <f t="shared" si="11"/>
        <v>0</v>
      </c>
      <c r="O10" s="93">
        <f t="shared" si="12"/>
        <v>0</v>
      </c>
      <c r="P10" s="93">
        <f t="shared" si="13"/>
        <v>0</v>
      </c>
      <c r="Q10" s="93">
        <f t="shared" si="2"/>
        <v>37500</v>
      </c>
      <c r="R10" s="93">
        <f t="shared" si="3"/>
        <v>0</v>
      </c>
      <c r="S10" s="299"/>
      <c r="AD10" s="63">
        <v>0.2</v>
      </c>
      <c r="AE10" s="63">
        <v>0.2</v>
      </c>
      <c r="AF10" s="63">
        <v>0.2</v>
      </c>
    </row>
    <row r="11" spans="2:32" ht="15.5" x14ac:dyDescent="0.35">
      <c r="B11" s="298"/>
      <c r="C11" s="63">
        <f t="shared" si="4"/>
        <v>0.1</v>
      </c>
      <c r="D11" s="295"/>
      <c r="E11" s="61" t="str">
        <f>IV0!B65</f>
        <v>PLANTACIÓN AGRÍCOLA</v>
      </c>
      <c r="F11" s="94">
        <f>IV0!E72</f>
        <v>0</v>
      </c>
      <c r="G11" s="93">
        <f t="shared" si="1"/>
        <v>0</v>
      </c>
      <c r="H11" s="93">
        <f t="shared" si="5"/>
        <v>0</v>
      </c>
      <c r="I11" s="93">
        <f t="shared" si="6"/>
        <v>0</v>
      </c>
      <c r="J11" s="93">
        <f t="shared" si="7"/>
        <v>0</v>
      </c>
      <c r="K11" s="93">
        <f t="shared" si="8"/>
        <v>0</v>
      </c>
      <c r="L11" s="93">
        <f t="shared" si="9"/>
        <v>0</v>
      </c>
      <c r="M11" s="93">
        <f t="shared" si="10"/>
        <v>0</v>
      </c>
      <c r="N11" s="93">
        <f t="shared" si="11"/>
        <v>0</v>
      </c>
      <c r="O11" s="93">
        <f t="shared" si="12"/>
        <v>0</v>
      </c>
      <c r="P11" s="93">
        <f t="shared" si="13"/>
        <v>0</v>
      </c>
      <c r="Q11" s="93">
        <f t="shared" si="2"/>
        <v>0</v>
      </c>
      <c r="R11" s="93">
        <f t="shared" si="3"/>
        <v>0</v>
      </c>
      <c r="S11" s="299"/>
      <c r="AD11" s="63">
        <v>0.1</v>
      </c>
      <c r="AE11" s="63">
        <v>0.1</v>
      </c>
      <c r="AF11" s="63">
        <v>0.1</v>
      </c>
    </row>
    <row r="12" spans="2:32" ht="15.5" x14ac:dyDescent="0.35">
      <c r="B12" s="298"/>
      <c r="C12" s="63">
        <f t="shared" si="4"/>
        <v>0.25</v>
      </c>
      <c r="D12" s="295"/>
      <c r="E12" s="61" t="str">
        <f>IV0!B73</f>
        <v>ANIMALES REPRODUCTORES</v>
      </c>
      <c r="F12" s="94">
        <f>IV0!E80</f>
        <v>0</v>
      </c>
      <c r="G12" s="93">
        <f t="shared" si="1"/>
        <v>0</v>
      </c>
      <c r="H12" s="93">
        <f t="shared" si="5"/>
        <v>0</v>
      </c>
      <c r="I12" s="93">
        <f t="shared" si="6"/>
        <v>0</v>
      </c>
      <c r="J12" s="93">
        <f t="shared" si="7"/>
        <v>0</v>
      </c>
      <c r="K12" s="93">
        <f t="shared" si="8"/>
        <v>0</v>
      </c>
      <c r="L12" s="93">
        <f t="shared" si="9"/>
        <v>0</v>
      </c>
      <c r="M12" s="93">
        <f t="shared" si="10"/>
        <v>0</v>
      </c>
      <c r="N12" s="93">
        <f t="shared" si="11"/>
        <v>0</v>
      </c>
      <c r="O12" s="93">
        <f t="shared" si="12"/>
        <v>0</v>
      </c>
      <c r="P12" s="93">
        <f t="shared" si="13"/>
        <v>0</v>
      </c>
      <c r="Q12" s="93">
        <f t="shared" si="2"/>
        <v>0</v>
      </c>
      <c r="R12" s="93">
        <f t="shared" si="3"/>
        <v>0</v>
      </c>
      <c r="S12" s="299"/>
      <c r="AD12" s="63">
        <v>0.25</v>
      </c>
      <c r="AE12" s="63">
        <v>0.25</v>
      </c>
      <c r="AF12" s="63">
        <v>0.2</v>
      </c>
    </row>
    <row r="13" spans="2:32" ht="15.5" x14ac:dyDescent="0.35">
      <c r="B13" s="298"/>
      <c r="C13" s="295"/>
      <c r="D13" s="295"/>
      <c r="E13" s="181" t="s">
        <v>27</v>
      </c>
      <c r="F13" s="180">
        <f>SUM(F6:F12)</f>
        <v>226340</v>
      </c>
      <c r="G13" s="180">
        <f>SUM(G6:G12)</f>
        <v>19377.333333333332</v>
      </c>
      <c r="H13" s="180">
        <f>SUM(H6:H12)</f>
        <v>19377.333333333332</v>
      </c>
      <c r="I13" s="180">
        <f t="shared" ref="I13:Q13" si="14">SUM(I6:I12)</f>
        <v>19377.333333333332</v>
      </c>
      <c r="J13" s="180">
        <f t="shared" si="14"/>
        <v>17044</v>
      </c>
      <c r="K13" s="180">
        <f>SUM(K6:K12)</f>
        <v>17044</v>
      </c>
      <c r="L13" s="180">
        <f>SUM(L6:L12)</f>
        <v>9544</v>
      </c>
      <c r="M13" s="180">
        <f t="shared" si="14"/>
        <v>9544</v>
      </c>
      <c r="N13" s="180">
        <f t="shared" si="14"/>
        <v>9544</v>
      </c>
      <c r="O13" s="180">
        <f t="shared" si="14"/>
        <v>9544</v>
      </c>
      <c r="P13" s="180">
        <f t="shared" si="14"/>
        <v>9544</v>
      </c>
      <c r="Q13" s="180">
        <f t="shared" si="14"/>
        <v>139940</v>
      </c>
      <c r="R13" s="180">
        <f>SUM(R6:R12)</f>
        <v>86400</v>
      </c>
      <c r="S13" s="299"/>
    </row>
    <row r="14" spans="2:32" ht="15" thickBot="1" x14ac:dyDescent="0.4">
      <c r="B14" s="298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  <c r="N14" s="295"/>
      <c r="O14" s="295"/>
      <c r="P14" s="595"/>
      <c r="Q14" s="595"/>
      <c r="R14" s="295"/>
      <c r="S14" s="299"/>
    </row>
    <row r="15" spans="2:32" ht="16" thickBot="1" x14ac:dyDescent="0.4">
      <c r="B15" s="298"/>
      <c r="C15" s="992" t="s">
        <v>294</v>
      </c>
      <c r="D15" s="993"/>
      <c r="E15" s="994"/>
      <c r="F15" s="295"/>
      <c r="G15" s="295"/>
      <c r="H15" s="295"/>
      <c r="I15" s="295"/>
      <c r="J15" s="295"/>
      <c r="K15" s="295"/>
      <c r="L15" s="295"/>
      <c r="M15" s="295"/>
      <c r="N15" s="295"/>
      <c r="O15" s="295"/>
      <c r="P15" s="595"/>
      <c r="Q15" s="595"/>
      <c r="R15" s="295"/>
      <c r="S15" s="299"/>
    </row>
    <row r="16" spans="2:32" ht="6.5" customHeight="1" x14ac:dyDescent="0.35">
      <c r="B16" s="298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  <c r="N16" s="295"/>
      <c r="O16" s="295"/>
      <c r="P16" s="595"/>
      <c r="Q16" s="595"/>
      <c r="R16" s="295"/>
      <c r="S16" s="299"/>
    </row>
    <row r="17" spans="2:26" ht="15.5" customHeight="1" x14ac:dyDescent="0.35">
      <c r="B17" s="298"/>
      <c r="C17" s="995" t="s">
        <v>295</v>
      </c>
      <c r="D17" s="295"/>
      <c r="E17" s="995" t="s">
        <v>120</v>
      </c>
      <c r="F17" s="995" t="s">
        <v>117</v>
      </c>
      <c r="G17" s="1000" t="s">
        <v>121</v>
      </c>
      <c r="H17" s="1001"/>
      <c r="I17" s="1001"/>
      <c r="J17" s="1001"/>
      <c r="K17" s="1001"/>
      <c r="L17" s="1001"/>
      <c r="M17" s="1001"/>
      <c r="N17" s="1001"/>
      <c r="O17" s="1001"/>
      <c r="P17" s="1001"/>
      <c r="Q17" s="995" t="s">
        <v>118</v>
      </c>
      <c r="R17" s="997" t="s">
        <v>304</v>
      </c>
      <c r="S17" s="299"/>
      <c r="Z17" s="91"/>
    </row>
    <row r="18" spans="2:26" ht="15.5" x14ac:dyDescent="0.35">
      <c r="B18" s="298"/>
      <c r="C18" s="995"/>
      <c r="D18" s="295"/>
      <c r="E18" s="995"/>
      <c r="F18" s="995"/>
      <c r="G18" s="60">
        <f>DP!C11</f>
        <v>2025</v>
      </c>
      <c r="H18" s="60">
        <f>G18+1</f>
        <v>2026</v>
      </c>
      <c r="I18" s="60">
        <f t="shared" ref="I18" si="15">H18+1</f>
        <v>2027</v>
      </c>
      <c r="J18" s="60">
        <f t="shared" ref="J18" si="16">I18+1</f>
        <v>2028</v>
      </c>
      <c r="K18" s="60">
        <f t="shared" ref="K18" si="17">J18+1</f>
        <v>2029</v>
      </c>
      <c r="L18" s="60">
        <f t="shared" ref="L18" si="18">K18+1</f>
        <v>2030</v>
      </c>
      <c r="M18" s="60">
        <f t="shared" ref="M18" si="19">L18+1</f>
        <v>2031</v>
      </c>
      <c r="N18" s="60">
        <f t="shared" ref="N18" si="20">M18+1</f>
        <v>2032</v>
      </c>
      <c r="O18" s="60">
        <f t="shared" ref="O18" si="21">N18+1</f>
        <v>2033</v>
      </c>
      <c r="P18" s="60">
        <f t="shared" ref="P18" si="22">O18+1</f>
        <v>2034</v>
      </c>
      <c r="Q18" s="995"/>
      <c r="R18" s="997"/>
      <c r="S18" s="299"/>
    </row>
    <row r="19" spans="2:26" ht="15.5" x14ac:dyDescent="0.35">
      <c r="B19" s="298"/>
      <c r="C19" s="63">
        <v>0.25</v>
      </c>
      <c r="D19" s="295"/>
      <c r="E19" s="61" t="str">
        <f>IV0!B81</f>
        <v>OTROS ACTIVOS</v>
      </c>
      <c r="F19" s="94">
        <f>IV0!E88</f>
        <v>0</v>
      </c>
      <c r="G19" s="93">
        <f t="shared" ref="G19:G20" si="23">$F19*$C19</f>
        <v>0</v>
      </c>
      <c r="H19" s="93">
        <f>IF(G19&lt;F19,$F19*$C19,IF(G19=F19,0*1))</f>
        <v>0</v>
      </c>
      <c r="I19" s="93">
        <f>IF(SUM(G19:H19)&lt;F19,$F19*$C19,IF(SUM(G19:H19)=F19,0*1))</f>
        <v>0</v>
      </c>
      <c r="J19" s="93">
        <f>IF(SUM(G19:I19)&lt;F19,$F19*$C19,IF(SUM(G19:I19)=F19,0*1))</f>
        <v>0</v>
      </c>
      <c r="K19" s="93">
        <f>IF(SUM(G19:J19)&lt;F19,$F19*$C19,IF(SUM(G19:J19)=F19,0*1))</f>
        <v>0</v>
      </c>
      <c r="L19" s="93">
        <f>IF(SUM(G19:K19)&lt;F19,$F19*$C19,IF(SUM(G19:K19)=F19,0*1))</f>
        <v>0</v>
      </c>
      <c r="M19" s="93">
        <f>IF(SUM(G19:L19)&lt;F19,$F19*$C19,IF(SUM(G19:L19)=F19,0*1))</f>
        <v>0</v>
      </c>
      <c r="N19" s="93">
        <f>IF(SUM(G19:M19)&lt;F19,$F19*$C19,IF(SUM(G19:M19)=F19,0*1))</f>
        <v>0</v>
      </c>
      <c r="O19" s="93">
        <f>IF(SUM(G19:N19)&lt;F19,$F19*$C19,IF(SUM(G19:N19)=F19,0*1))</f>
        <v>0</v>
      </c>
      <c r="P19" s="93">
        <f>IF(SUM(G19:O19)&lt;F19,$F19*$C19,IF(SUM(G19:O19)=F19,0*1))</f>
        <v>0</v>
      </c>
      <c r="Q19" s="93">
        <f>SUM(G19:P19)</f>
        <v>0</v>
      </c>
      <c r="R19" s="93">
        <f>F19-Q19</f>
        <v>0</v>
      </c>
      <c r="S19" s="299"/>
    </row>
    <row r="20" spans="2:26" ht="15.5" x14ac:dyDescent="0.35">
      <c r="B20" s="298"/>
      <c r="C20" s="63">
        <v>0.25</v>
      </c>
      <c r="D20" s="295"/>
      <c r="E20" s="61" t="str">
        <f>IV0!B89</f>
        <v>ACTIVOS DIFERIDOS</v>
      </c>
      <c r="F20" s="94">
        <f>IV0!E93</f>
        <v>10000</v>
      </c>
      <c r="G20" s="93">
        <f t="shared" si="23"/>
        <v>2500</v>
      </c>
      <c r="H20" s="93">
        <f t="shared" ref="H20" si="24">IF(G20&lt;F20,$F20*$C20,IF(G20=F20,0*1))</f>
        <v>2500</v>
      </c>
      <c r="I20" s="93">
        <f t="shared" ref="I20" si="25">IF(SUM(G20:H20)&lt;F20,$F20*$C20,IF(SUM(G20:H20)=F20,0*1))</f>
        <v>2500</v>
      </c>
      <c r="J20" s="93">
        <f t="shared" ref="J20" si="26">IF(SUM(G20:I20)&lt;F20,$F20*$C20,IF(SUM(G20:I20)=F20,0*1))</f>
        <v>2500</v>
      </c>
      <c r="K20" s="93">
        <f t="shared" ref="K20" si="27">IF(SUM(G20:J20)&lt;F20,$F20*$C20,IF(SUM(G20:J20)=F20,0*1))</f>
        <v>0</v>
      </c>
      <c r="L20" s="93">
        <f t="shared" ref="L20" si="28">IF(SUM(G20:K20)&lt;F20,$F20*$C20,IF(SUM(G20:K20)=F20,0*1))</f>
        <v>0</v>
      </c>
      <c r="M20" s="93">
        <f t="shared" ref="M20" si="29">IF(SUM(G20:L20)&lt;F20,$F20*$C20,IF(SUM(G20:L20)=F20,0*1))</f>
        <v>0</v>
      </c>
      <c r="N20" s="93">
        <f t="shared" ref="N20" si="30">IF(SUM(G20:M20)&lt;F20,$F20*$C20,IF(SUM(G20:M20)=F20,0*1))</f>
        <v>0</v>
      </c>
      <c r="O20" s="93">
        <f t="shared" ref="O20" si="31">IF(SUM(G20:N20)&lt;F20,$F20*$C20,IF(SUM(G20:N20)=F20,0*1))</f>
        <v>0</v>
      </c>
      <c r="P20" s="93">
        <f t="shared" ref="P20" si="32">IF(SUM(G20:O20)&lt;F20,$F20*$C20,IF(SUM(G20:O20)=F20,0*1))</f>
        <v>0</v>
      </c>
      <c r="Q20" s="93">
        <f>SUM(G20:P20)</f>
        <v>10000</v>
      </c>
      <c r="R20" s="93">
        <f>F20-Q20</f>
        <v>0</v>
      </c>
      <c r="S20" s="299"/>
    </row>
    <row r="21" spans="2:26" ht="15.5" x14ac:dyDescent="0.35">
      <c r="B21" s="298"/>
      <c r="C21" s="295"/>
      <c r="D21" s="295"/>
      <c r="E21" s="181" t="s">
        <v>27</v>
      </c>
      <c r="F21" s="180">
        <f t="shared" ref="F21:R21" si="33">SUM(F19:F20)</f>
        <v>10000</v>
      </c>
      <c r="G21" s="180">
        <f t="shared" si="33"/>
        <v>2500</v>
      </c>
      <c r="H21" s="180">
        <f t="shared" si="33"/>
        <v>2500</v>
      </c>
      <c r="I21" s="180">
        <f t="shared" si="33"/>
        <v>2500</v>
      </c>
      <c r="J21" s="180">
        <f t="shared" si="33"/>
        <v>2500</v>
      </c>
      <c r="K21" s="180">
        <f t="shared" si="33"/>
        <v>0</v>
      </c>
      <c r="L21" s="180">
        <f t="shared" si="33"/>
        <v>0</v>
      </c>
      <c r="M21" s="180">
        <f t="shared" si="33"/>
        <v>0</v>
      </c>
      <c r="N21" s="180">
        <f t="shared" si="33"/>
        <v>0</v>
      </c>
      <c r="O21" s="180">
        <f t="shared" si="33"/>
        <v>0</v>
      </c>
      <c r="P21" s="180">
        <f t="shared" si="33"/>
        <v>0</v>
      </c>
      <c r="Q21" s="180">
        <f t="shared" si="33"/>
        <v>10000</v>
      </c>
      <c r="R21" s="180">
        <f t="shared" si="33"/>
        <v>0</v>
      </c>
      <c r="S21" s="299"/>
    </row>
    <row r="22" spans="2:26" ht="15" thickBot="1" x14ac:dyDescent="0.4">
      <c r="B22" s="407"/>
      <c r="C22" s="408"/>
      <c r="D22" s="408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596"/>
    </row>
    <row r="24" spans="2:26" ht="15" thickBot="1" x14ac:dyDescent="0.4"/>
    <row r="25" spans="2:26" ht="16" thickBot="1" x14ac:dyDescent="0.4">
      <c r="B25" s="405"/>
      <c r="C25" s="992" t="s">
        <v>119</v>
      </c>
      <c r="D25" s="993"/>
      <c r="E25" s="994"/>
      <c r="F25" s="593"/>
      <c r="G25" s="406"/>
      <c r="H25" s="406"/>
      <c r="I25" s="406"/>
      <c r="J25" s="406"/>
      <c r="K25" s="406"/>
      <c r="L25" s="406"/>
      <c r="M25" s="406"/>
      <c r="N25" s="406"/>
      <c r="O25" s="406"/>
      <c r="P25" s="406"/>
      <c r="Q25" s="406"/>
      <c r="R25" s="406"/>
      <c r="S25" s="594"/>
    </row>
    <row r="26" spans="2:26" ht="11" customHeight="1" x14ac:dyDescent="0.35">
      <c r="B26" s="298"/>
      <c r="C26" s="295"/>
      <c r="D26" s="295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597"/>
      <c r="Q26" s="597"/>
      <c r="R26" s="295"/>
      <c r="S26" s="299"/>
    </row>
    <row r="27" spans="2:26" ht="15.5" x14ac:dyDescent="0.35">
      <c r="B27" s="298"/>
      <c r="C27" s="995" t="str">
        <f>DP!C16</f>
        <v>PERU</v>
      </c>
      <c r="D27" s="295"/>
      <c r="E27" s="995" t="s">
        <v>120</v>
      </c>
      <c r="F27" s="995" t="s">
        <v>117</v>
      </c>
      <c r="G27" s="1000" t="s">
        <v>121</v>
      </c>
      <c r="H27" s="1001"/>
      <c r="I27" s="1001"/>
      <c r="J27" s="1001"/>
      <c r="K27" s="1001"/>
      <c r="L27" s="1001"/>
      <c r="M27" s="1002"/>
      <c r="N27" s="998" t="s">
        <v>118</v>
      </c>
      <c r="O27" s="996" t="s">
        <v>304</v>
      </c>
      <c r="P27" s="295"/>
      <c r="Q27" s="295"/>
      <c r="S27" s="299"/>
    </row>
    <row r="28" spans="2:26" ht="15.5" x14ac:dyDescent="0.35">
      <c r="B28" s="298"/>
      <c r="C28" s="995"/>
      <c r="D28" s="295"/>
      <c r="E28" s="995"/>
      <c r="F28" s="995"/>
      <c r="G28" s="60">
        <f>J5</f>
        <v>2028</v>
      </c>
      <c r="H28" s="60">
        <f t="shared" ref="H28:M28" si="34">G28+1</f>
        <v>2029</v>
      </c>
      <c r="I28" s="60">
        <f t="shared" si="34"/>
        <v>2030</v>
      </c>
      <c r="J28" s="60">
        <f t="shared" si="34"/>
        <v>2031</v>
      </c>
      <c r="K28" s="60">
        <f t="shared" si="34"/>
        <v>2032</v>
      </c>
      <c r="L28" s="60">
        <f t="shared" si="34"/>
        <v>2033</v>
      </c>
      <c r="M28" s="60">
        <f t="shared" si="34"/>
        <v>2034</v>
      </c>
      <c r="N28" s="999"/>
      <c r="O28" s="997"/>
      <c r="S28" s="299"/>
    </row>
    <row r="29" spans="2:26" ht="15.5" x14ac:dyDescent="0.35">
      <c r="B29" s="298"/>
      <c r="C29" s="63">
        <f>IF($C$27=$AD$4,AD6,IF($C$4=$AE$4,AE6))</f>
        <v>0.02</v>
      </c>
      <c r="D29" s="295"/>
      <c r="E29" s="61" t="str">
        <f>IV0!B10</f>
        <v>EDIFICIOS Y OBRAS CIVILES</v>
      </c>
      <c r="F29" s="94">
        <f>'IV2'!E16</f>
        <v>0</v>
      </c>
      <c r="G29" s="93">
        <f t="shared" ref="G29:G35" si="35">$F29*$C29</f>
        <v>0</v>
      </c>
      <c r="H29" s="93">
        <f t="shared" ref="H29:H35" si="36">IF(G29&lt;F29,$F29*$C29,IF(G29=F29,0*1))</f>
        <v>0</v>
      </c>
      <c r="I29" s="93">
        <f t="shared" ref="I29:I35" si="37">IF(SUM(G29:H29)&lt;F29,$F29*$C29,IF(SUM(G29:H29)=F29,0*1))</f>
        <v>0</v>
      </c>
      <c r="J29" s="93">
        <f t="shared" ref="J29:J35" si="38">IF(SUM(G29:I29)&lt;F29,$F29*$C29,IF(SUM(G29:I29)=F29,0*1))</f>
        <v>0</v>
      </c>
      <c r="K29" s="93">
        <f t="shared" ref="K29:K35" si="39">IF(SUM(G29:J29)&lt;F29,$F29*$C29,IF(SUM(G29:J29)=F29,0*1))</f>
        <v>0</v>
      </c>
      <c r="L29" s="93">
        <f t="shared" ref="L29:L35" si="40">IF(SUM(G29:K29)&lt;F29,$F29*$C29,IF(SUM(G29:K29)=F29,0*1))</f>
        <v>0</v>
      </c>
      <c r="M29" s="93">
        <f t="shared" ref="M29:M35" si="41">IF(SUM(G29:L29)&lt;F29,$F29*$C29,IF(SUM(G29:L29)=F29,0*1))</f>
        <v>0</v>
      </c>
      <c r="N29" s="93">
        <f t="shared" ref="N29:N35" si="42">SUM(G29:M29)</f>
        <v>0</v>
      </c>
      <c r="O29" s="93">
        <f t="shared" ref="O29:O35" si="43">F29-N29</f>
        <v>0</v>
      </c>
      <c r="S29" s="299"/>
    </row>
    <row r="30" spans="2:26" ht="15.5" x14ac:dyDescent="0.35">
      <c r="B30" s="298"/>
      <c r="C30" s="63">
        <f t="shared" ref="C30:C35" si="44">IF($C$27=$AD$4,AD7,IF($C$4=$AE$4,AE7))</f>
        <v>0.1</v>
      </c>
      <c r="D30" s="295"/>
      <c r="E30" s="61" t="str">
        <f>IV0!B17</f>
        <v xml:space="preserve">EQUIPO Y MAQUINARIA </v>
      </c>
      <c r="F30" s="94">
        <f>'IV2'!E30</f>
        <v>0</v>
      </c>
      <c r="G30" s="93">
        <f t="shared" si="35"/>
        <v>0</v>
      </c>
      <c r="H30" s="93">
        <f t="shared" si="36"/>
        <v>0</v>
      </c>
      <c r="I30" s="93">
        <f t="shared" si="37"/>
        <v>0</v>
      </c>
      <c r="J30" s="93">
        <f t="shared" si="38"/>
        <v>0</v>
      </c>
      <c r="K30" s="93">
        <f t="shared" si="39"/>
        <v>0</v>
      </c>
      <c r="L30" s="93">
        <f t="shared" si="40"/>
        <v>0</v>
      </c>
      <c r="M30" s="93">
        <f t="shared" si="41"/>
        <v>0</v>
      </c>
      <c r="N30" s="93">
        <f t="shared" si="42"/>
        <v>0</v>
      </c>
      <c r="O30" s="93">
        <f t="shared" si="43"/>
        <v>0</v>
      </c>
      <c r="S30" s="299"/>
    </row>
    <row r="31" spans="2:26" ht="15.5" x14ac:dyDescent="0.35">
      <c r="B31" s="298"/>
      <c r="C31" s="63">
        <f t="shared" si="44"/>
        <v>0.1</v>
      </c>
      <c r="D31" s="295"/>
      <c r="E31" s="61" t="str">
        <f>IV0!B31</f>
        <v>MUEBLES Y ENSERES</v>
      </c>
      <c r="F31" s="94">
        <f>'IV2'!E42</f>
        <v>0</v>
      </c>
      <c r="G31" s="93">
        <f t="shared" si="35"/>
        <v>0</v>
      </c>
      <c r="H31" s="93">
        <f t="shared" si="36"/>
        <v>0</v>
      </c>
      <c r="I31" s="93">
        <f t="shared" si="37"/>
        <v>0</v>
      </c>
      <c r="J31" s="93">
        <f t="shared" si="38"/>
        <v>0</v>
      </c>
      <c r="K31" s="93">
        <f t="shared" si="39"/>
        <v>0</v>
      </c>
      <c r="L31" s="93">
        <f t="shared" si="40"/>
        <v>0</v>
      </c>
      <c r="M31" s="93">
        <f t="shared" si="41"/>
        <v>0</v>
      </c>
      <c r="N31" s="93">
        <f t="shared" si="42"/>
        <v>0</v>
      </c>
      <c r="O31" s="93">
        <f t="shared" si="43"/>
        <v>0</v>
      </c>
      <c r="S31" s="299"/>
    </row>
    <row r="32" spans="2:26" ht="15.5" x14ac:dyDescent="0.35">
      <c r="B32" s="298"/>
      <c r="C32" s="63">
        <f t="shared" si="44"/>
        <v>0.33333333333333331</v>
      </c>
      <c r="D32" s="295"/>
      <c r="E32" s="61" t="str">
        <f>IV0!B43</f>
        <v>EQUIPOS DE COMPUTACIÓN</v>
      </c>
      <c r="F32" s="94">
        <f>'IV2'!E53</f>
        <v>0</v>
      </c>
      <c r="G32" s="93">
        <f t="shared" si="35"/>
        <v>0</v>
      </c>
      <c r="H32" s="93">
        <f t="shared" si="36"/>
        <v>0</v>
      </c>
      <c r="I32" s="93">
        <f t="shared" si="37"/>
        <v>0</v>
      </c>
      <c r="J32" s="93">
        <f t="shared" si="38"/>
        <v>0</v>
      </c>
      <c r="K32" s="93">
        <f t="shared" si="39"/>
        <v>0</v>
      </c>
      <c r="L32" s="93">
        <f t="shared" si="40"/>
        <v>0</v>
      </c>
      <c r="M32" s="93">
        <f t="shared" si="41"/>
        <v>0</v>
      </c>
      <c r="N32" s="93">
        <f t="shared" si="42"/>
        <v>0</v>
      </c>
      <c r="O32" s="93">
        <f t="shared" si="43"/>
        <v>0</v>
      </c>
      <c r="S32" s="299"/>
    </row>
    <row r="33" spans="2:19" ht="15.5" x14ac:dyDescent="0.35">
      <c r="B33" s="298"/>
      <c r="C33" s="63">
        <f t="shared" si="44"/>
        <v>0.2</v>
      </c>
      <c r="D33" s="295"/>
      <c r="E33" s="61" t="str">
        <f>IV0!B54</f>
        <v>VEHICULOS</v>
      </c>
      <c r="F33" s="94">
        <f>'IV2'!E64</f>
        <v>0</v>
      </c>
      <c r="G33" s="93">
        <f t="shared" si="35"/>
        <v>0</v>
      </c>
      <c r="H33" s="93">
        <f t="shared" si="36"/>
        <v>0</v>
      </c>
      <c r="I33" s="93">
        <f t="shared" si="37"/>
        <v>0</v>
      </c>
      <c r="J33" s="93">
        <f t="shared" si="38"/>
        <v>0</v>
      </c>
      <c r="K33" s="93">
        <f t="shared" si="39"/>
        <v>0</v>
      </c>
      <c r="L33" s="93">
        <f t="shared" si="40"/>
        <v>0</v>
      </c>
      <c r="M33" s="93">
        <f t="shared" si="41"/>
        <v>0</v>
      </c>
      <c r="N33" s="93">
        <f t="shared" si="42"/>
        <v>0</v>
      </c>
      <c r="O33" s="93">
        <f t="shared" si="43"/>
        <v>0</v>
      </c>
      <c r="S33" s="299"/>
    </row>
    <row r="34" spans="2:19" ht="15.5" x14ac:dyDescent="0.35">
      <c r="B34" s="298"/>
      <c r="C34" s="63">
        <f t="shared" si="44"/>
        <v>0.1</v>
      </c>
      <c r="D34" s="295"/>
      <c r="E34" s="61" t="str">
        <f>IV0!B65</f>
        <v>PLANTACIÓN AGRÍCOLA</v>
      </c>
      <c r="F34" s="94">
        <f>'IV2'!E72</f>
        <v>0</v>
      </c>
      <c r="G34" s="93">
        <f t="shared" si="35"/>
        <v>0</v>
      </c>
      <c r="H34" s="93">
        <f t="shared" si="36"/>
        <v>0</v>
      </c>
      <c r="I34" s="93">
        <f t="shared" si="37"/>
        <v>0</v>
      </c>
      <c r="J34" s="93">
        <f t="shared" si="38"/>
        <v>0</v>
      </c>
      <c r="K34" s="93">
        <f t="shared" si="39"/>
        <v>0</v>
      </c>
      <c r="L34" s="93">
        <f t="shared" si="40"/>
        <v>0</v>
      </c>
      <c r="M34" s="93">
        <f t="shared" si="41"/>
        <v>0</v>
      </c>
      <c r="N34" s="93">
        <f t="shared" si="42"/>
        <v>0</v>
      </c>
      <c r="O34" s="93">
        <f t="shared" si="43"/>
        <v>0</v>
      </c>
      <c r="S34" s="299"/>
    </row>
    <row r="35" spans="2:19" ht="15.5" x14ac:dyDescent="0.35">
      <c r="B35" s="298"/>
      <c r="C35" s="63">
        <f t="shared" si="44"/>
        <v>0.25</v>
      </c>
      <c r="D35" s="295"/>
      <c r="E35" s="61" t="str">
        <f>IV0!B73</f>
        <v>ANIMALES REPRODUCTORES</v>
      </c>
      <c r="F35" s="94">
        <f>'IV2'!E80</f>
        <v>0</v>
      </c>
      <c r="G35" s="93">
        <f t="shared" si="35"/>
        <v>0</v>
      </c>
      <c r="H35" s="93">
        <f t="shared" si="36"/>
        <v>0</v>
      </c>
      <c r="I35" s="93">
        <f t="shared" si="37"/>
        <v>0</v>
      </c>
      <c r="J35" s="93">
        <f t="shared" si="38"/>
        <v>0</v>
      </c>
      <c r="K35" s="93">
        <f t="shared" si="39"/>
        <v>0</v>
      </c>
      <c r="L35" s="93">
        <f t="shared" si="40"/>
        <v>0</v>
      </c>
      <c r="M35" s="93">
        <f t="shared" si="41"/>
        <v>0</v>
      </c>
      <c r="N35" s="93">
        <f t="shared" si="42"/>
        <v>0</v>
      </c>
      <c r="O35" s="93">
        <f t="shared" si="43"/>
        <v>0</v>
      </c>
      <c r="S35" s="299"/>
    </row>
    <row r="36" spans="2:19" ht="15.5" x14ac:dyDescent="0.35">
      <c r="B36" s="298"/>
      <c r="C36" s="295"/>
      <c r="D36" s="295"/>
      <c r="E36" s="181" t="s">
        <v>27</v>
      </c>
      <c r="F36" s="180">
        <f t="shared" ref="F36:M36" si="45">SUM(F29:F35)</f>
        <v>0</v>
      </c>
      <c r="G36" s="180">
        <f t="shared" si="45"/>
        <v>0</v>
      </c>
      <c r="H36" s="180">
        <f t="shared" si="45"/>
        <v>0</v>
      </c>
      <c r="I36" s="180">
        <f t="shared" si="45"/>
        <v>0</v>
      </c>
      <c r="J36" s="180">
        <f t="shared" si="45"/>
        <v>0</v>
      </c>
      <c r="K36" s="180">
        <f t="shared" si="45"/>
        <v>0</v>
      </c>
      <c r="L36" s="180">
        <f t="shared" si="45"/>
        <v>0</v>
      </c>
      <c r="M36" s="180">
        <f t="shared" si="45"/>
        <v>0</v>
      </c>
      <c r="N36" s="180">
        <f>SUM(N29:N35)</f>
        <v>0</v>
      </c>
      <c r="O36" s="180">
        <f>SUM(O29:O35)</f>
        <v>0</v>
      </c>
      <c r="S36" s="299"/>
    </row>
    <row r="37" spans="2:19" ht="15" thickBot="1" x14ac:dyDescent="0.4">
      <c r="B37" s="298"/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  <c r="N37" s="295"/>
      <c r="O37" s="595"/>
      <c r="Q37" s="595"/>
      <c r="R37" s="295"/>
      <c r="S37" s="299"/>
    </row>
    <row r="38" spans="2:19" ht="16" thickBot="1" x14ac:dyDescent="0.4">
      <c r="B38" s="298"/>
      <c r="C38" s="992" t="s">
        <v>294</v>
      </c>
      <c r="D38" s="993"/>
      <c r="E38" s="994"/>
      <c r="F38" s="295"/>
      <c r="G38" s="295"/>
      <c r="H38" s="295"/>
      <c r="I38" s="295"/>
      <c r="J38" s="295"/>
      <c r="K38" s="295"/>
      <c r="L38" s="295"/>
      <c r="M38" s="295"/>
      <c r="N38" s="295"/>
      <c r="O38" s="295"/>
      <c r="P38" s="595"/>
      <c r="Q38" s="595"/>
      <c r="R38" s="295"/>
      <c r="S38" s="299"/>
    </row>
    <row r="39" spans="2:19" ht="6.5" customHeight="1" x14ac:dyDescent="0.35">
      <c r="B39" s="298"/>
      <c r="C39" s="295"/>
      <c r="D39" s="295"/>
      <c r="E39" s="295"/>
      <c r="F39" s="295"/>
      <c r="G39" s="295"/>
      <c r="H39" s="295"/>
      <c r="I39" s="295"/>
      <c r="J39" s="295"/>
      <c r="K39" s="295"/>
      <c r="L39" s="295"/>
      <c r="M39" s="295"/>
      <c r="N39" s="295"/>
      <c r="O39" s="295"/>
      <c r="P39" s="595"/>
      <c r="Q39" s="595"/>
      <c r="R39" s="295"/>
      <c r="S39" s="299"/>
    </row>
    <row r="40" spans="2:19" ht="15.5" x14ac:dyDescent="0.35">
      <c r="B40" s="298"/>
      <c r="C40" s="995" t="s">
        <v>295</v>
      </c>
      <c r="D40" s="295"/>
      <c r="E40" s="995" t="s">
        <v>120</v>
      </c>
      <c r="F40" s="995" t="s">
        <v>117</v>
      </c>
      <c r="G40" s="1000" t="s">
        <v>121</v>
      </c>
      <c r="H40" s="1001"/>
      <c r="I40" s="1001"/>
      <c r="J40" s="1001"/>
      <c r="K40" s="1001"/>
      <c r="L40" s="1001"/>
      <c r="M40" s="1002"/>
      <c r="N40" s="998" t="s">
        <v>118</v>
      </c>
      <c r="O40" s="997" t="s">
        <v>304</v>
      </c>
      <c r="S40" s="299"/>
    </row>
    <row r="41" spans="2:19" ht="15.5" x14ac:dyDescent="0.35">
      <c r="B41" s="298"/>
      <c r="C41" s="995"/>
      <c r="D41" s="295"/>
      <c r="E41" s="995"/>
      <c r="F41" s="995"/>
      <c r="G41" s="60">
        <f>J18</f>
        <v>2028</v>
      </c>
      <c r="H41" s="60">
        <f t="shared" ref="H41" si="46">G41+1</f>
        <v>2029</v>
      </c>
      <c r="I41" s="60">
        <f t="shared" ref="I41" si="47">H41+1</f>
        <v>2030</v>
      </c>
      <c r="J41" s="60">
        <f t="shared" ref="J41" si="48">I41+1</f>
        <v>2031</v>
      </c>
      <c r="K41" s="60">
        <f t="shared" ref="K41" si="49">J41+1</f>
        <v>2032</v>
      </c>
      <c r="L41" s="60">
        <f t="shared" ref="L41" si="50">K41+1</f>
        <v>2033</v>
      </c>
      <c r="M41" s="60">
        <f t="shared" ref="M41" si="51">L41+1</f>
        <v>2034</v>
      </c>
      <c r="N41" s="999"/>
      <c r="O41" s="997"/>
      <c r="S41" s="299"/>
    </row>
    <row r="42" spans="2:19" ht="15.5" x14ac:dyDescent="0.35">
      <c r="B42" s="298"/>
      <c r="C42" s="63">
        <v>0.25</v>
      </c>
      <c r="D42" s="295"/>
      <c r="E42" s="61" t="str">
        <f>IV0!B81</f>
        <v>OTROS ACTIVOS</v>
      </c>
      <c r="F42" s="94">
        <f>'IV2'!E88</f>
        <v>0</v>
      </c>
      <c r="G42" s="93">
        <f>$F42*$C42</f>
        <v>0</v>
      </c>
      <c r="H42" s="93">
        <f>IF(G42&lt;F42,$F42*$C42,IF(G42=F42,0*1))</f>
        <v>0</v>
      </c>
      <c r="I42" s="93">
        <f>IF(SUM(G42:H42)&lt;F42,$F42*$C42,IF(SUM(G42:H42)=F42,0*1))</f>
        <v>0</v>
      </c>
      <c r="J42" s="93">
        <f>IF(SUM(G42:I42)&lt;F42,$F42*$C42,IF(SUM(G42:I42)=F42,0*1))</f>
        <v>0</v>
      </c>
      <c r="K42" s="93">
        <f>IF(SUM(G42:J42)&lt;F42,$F42*$C42,IF(SUM(G42:J42)=F42,0*1))</f>
        <v>0</v>
      </c>
      <c r="L42" s="93">
        <f>IF(SUM(G42:K42)&lt;F42,$F42*$C42,IF(SUM(G42:K42)=F42,0*1))</f>
        <v>0</v>
      </c>
      <c r="M42" s="93">
        <f>IF(SUM(G42:L42)&lt;F42,$F42*$C42,IF(SUM(G42:L42)=F42,0*1))</f>
        <v>0</v>
      </c>
      <c r="N42" s="93">
        <f>SUM(G42:M42)</f>
        <v>0</v>
      </c>
      <c r="O42" s="93">
        <f>F42-N42</f>
        <v>0</v>
      </c>
      <c r="S42" s="299"/>
    </row>
    <row r="43" spans="2:19" ht="15.5" x14ac:dyDescent="0.35">
      <c r="B43" s="298"/>
      <c r="C43" s="63">
        <v>0.25</v>
      </c>
      <c r="D43" s="295"/>
      <c r="E43" s="61" t="str">
        <f>IV0!B89</f>
        <v>ACTIVOS DIFERIDOS</v>
      </c>
      <c r="F43" s="94">
        <f>'IV2'!E93</f>
        <v>0</v>
      </c>
      <c r="G43" s="93">
        <f>$F43*$C43</f>
        <v>0</v>
      </c>
      <c r="H43" s="93">
        <f>IF(G43&lt;F43,$F43*$C43,IF(G43=F43,0*1))</f>
        <v>0</v>
      </c>
      <c r="I43" s="93">
        <f>IF(SUM(G43:H43)&lt;F43,$F43*$C43,IF(SUM(G43:H43)=F43,0*1))</f>
        <v>0</v>
      </c>
      <c r="J43" s="93">
        <f>IF(SUM(G43:I43)&lt;F43,$F43*$C43,IF(SUM(G43:I43)=F43,0*1))</f>
        <v>0</v>
      </c>
      <c r="K43" s="93">
        <f>IF(SUM(G43:J43)&lt;F43,$F43*$C43,IF(SUM(G43:J43)=F43,0*1))</f>
        <v>0</v>
      </c>
      <c r="L43" s="93">
        <f>IF(SUM(G43:K43)&lt;F43,$F43*$C43,IF(SUM(G43:K43)=F43,0*1))</f>
        <v>0</v>
      </c>
      <c r="M43" s="93">
        <f>IF(SUM(G43:L43)&lt;F43,$F43*$C43,IF(SUM(G43:L43)=F43,0*1))</f>
        <v>0</v>
      </c>
      <c r="N43" s="93">
        <f>SUM(G43:M43)</f>
        <v>0</v>
      </c>
      <c r="O43" s="93">
        <f>F43-N43</f>
        <v>0</v>
      </c>
      <c r="S43" s="299"/>
    </row>
    <row r="44" spans="2:19" ht="15.5" x14ac:dyDescent="0.35">
      <c r="B44" s="298"/>
      <c r="C44" s="295"/>
      <c r="D44" s="295"/>
      <c r="E44" s="181" t="s">
        <v>27</v>
      </c>
      <c r="F44" s="180">
        <f t="shared" ref="F44:M44" si="52">SUM(F42:F43)</f>
        <v>0</v>
      </c>
      <c r="G44" s="180">
        <f t="shared" si="52"/>
        <v>0</v>
      </c>
      <c r="H44" s="180">
        <f t="shared" si="52"/>
        <v>0</v>
      </c>
      <c r="I44" s="180">
        <f t="shared" si="52"/>
        <v>0</v>
      </c>
      <c r="J44" s="180">
        <f t="shared" si="52"/>
        <v>0</v>
      </c>
      <c r="K44" s="180">
        <f t="shared" si="52"/>
        <v>0</v>
      </c>
      <c r="L44" s="180">
        <f t="shared" si="52"/>
        <v>0</v>
      </c>
      <c r="M44" s="180">
        <f t="shared" si="52"/>
        <v>0</v>
      </c>
      <c r="N44" s="180">
        <f>SUM(N42:N43)</f>
        <v>0</v>
      </c>
      <c r="O44" s="180">
        <f>SUM(O42:O43)</f>
        <v>0</v>
      </c>
      <c r="S44" s="299"/>
    </row>
    <row r="45" spans="2:19" ht="15" thickBot="1" x14ac:dyDescent="0.4">
      <c r="B45" s="407"/>
      <c r="C45" s="408"/>
      <c r="D45" s="408"/>
      <c r="E45" s="408"/>
      <c r="F45" s="408"/>
      <c r="G45" s="408"/>
      <c r="H45" s="408"/>
      <c r="I45" s="408"/>
      <c r="J45" s="408"/>
      <c r="K45" s="408"/>
      <c r="L45" s="408"/>
      <c r="M45" s="408"/>
      <c r="N45" s="408"/>
      <c r="O45" s="408"/>
      <c r="P45" s="408"/>
      <c r="Q45" s="408"/>
      <c r="R45" s="408"/>
      <c r="S45" s="596"/>
    </row>
    <row r="50" spans="6:15" x14ac:dyDescent="0.35">
      <c r="F50" s="282">
        <f>G13</f>
        <v>19377.333333333332</v>
      </c>
      <c r="G50" s="282">
        <f t="shared" ref="G50:H50" si="53">H13</f>
        <v>19377.333333333332</v>
      </c>
      <c r="H50" s="282">
        <f t="shared" si="53"/>
        <v>19377.333333333332</v>
      </c>
      <c r="I50" s="282">
        <f>J13+G36</f>
        <v>17044</v>
      </c>
      <c r="J50" s="282">
        <f t="shared" ref="J50:O50" si="54">K13+H36</f>
        <v>17044</v>
      </c>
      <c r="K50" s="282">
        <f t="shared" si="54"/>
        <v>9544</v>
      </c>
      <c r="L50" s="282">
        <f t="shared" si="54"/>
        <v>9544</v>
      </c>
      <c r="M50" s="282">
        <f t="shared" si="54"/>
        <v>9544</v>
      </c>
      <c r="N50" s="282">
        <f t="shared" si="54"/>
        <v>9544</v>
      </c>
      <c r="O50" s="282">
        <f t="shared" si="54"/>
        <v>9544</v>
      </c>
    </row>
    <row r="51" spans="6:15" x14ac:dyDescent="0.35">
      <c r="F51" s="39">
        <v>90200</v>
      </c>
      <c r="G51" s="39">
        <v>90200</v>
      </c>
      <c r="H51" s="39">
        <v>90200</v>
      </c>
      <c r="I51" s="39">
        <v>180400</v>
      </c>
      <c r="J51" s="39">
        <v>155400</v>
      </c>
      <c r="K51" s="39">
        <v>131400</v>
      </c>
      <c r="L51" s="39">
        <v>131400</v>
      </c>
      <c r="M51" s="39">
        <v>106400</v>
      </c>
      <c r="N51" s="39">
        <v>82400</v>
      </c>
      <c r="O51" s="39">
        <v>82400</v>
      </c>
    </row>
  </sheetData>
  <mergeCells count="31">
    <mergeCell ref="C2:E2"/>
    <mergeCell ref="AE4:AE5"/>
    <mergeCell ref="R4:R5"/>
    <mergeCell ref="Q4:Q5"/>
    <mergeCell ref="C4:C5"/>
    <mergeCell ref="E4:E5"/>
    <mergeCell ref="F4:F5"/>
    <mergeCell ref="G4:P4"/>
    <mergeCell ref="AD4:AD5"/>
    <mergeCell ref="C38:E38"/>
    <mergeCell ref="C40:C41"/>
    <mergeCell ref="E40:E41"/>
    <mergeCell ref="F40:F41"/>
    <mergeCell ref="O40:O41"/>
    <mergeCell ref="N40:N41"/>
    <mergeCell ref="G40:M40"/>
    <mergeCell ref="AF4:AF5"/>
    <mergeCell ref="C25:E25"/>
    <mergeCell ref="C27:C28"/>
    <mergeCell ref="E27:E28"/>
    <mergeCell ref="F27:F28"/>
    <mergeCell ref="O27:O28"/>
    <mergeCell ref="N27:N28"/>
    <mergeCell ref="G27:M27"/>
    <mergeCell ref="Q17:Q18"/>
    <mergeCell ref="R17:R18"/>
    <mergeCell ref="C15:E15"/>
    <mergeCell ref="C17:C18"/>
    <mergeCell ref="E17:E18"/>
    <mergeCell ref="F17:F18"/>
    <mergeCell ref="G17:P1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0D27-1207-414D-B55C-D2459E28565D}">
  <sheetPr codeName="Hoja6">
    <tabColor theme="8" tint="0.79998168889431442"/>
  </sheetPr>
  <dimension ref="A1:CJ609"/>
  <sheetViews>
    <sheetView showGridLines="0" topLeftCell="A3" zoomScale="38" zoomScaleNormal="29" workbookViewId="0">
      <selection activeCell="C37" sqref="C37"/>
    </sheetView>
  </sheetViews>
  <sheetFormatPr baseColWidth="10" defaultRowHeight="15.5" x14ac:dyDescent="0.35"/>
  <cols>
    <col min="1" max="1" width="11.6328125" style="6" customWidth="1"/>
    <col min="2" max="2" width="19" style="453" customWidth="1"/>
    <col min="3" max="3" width="48.90625" style="6" customWidth="1"/>
    <col min="4" max="4" width="18.26953125" style="6" customWidth="1"/>
    <col min="5" max="5" width="18.54296875" style="6" customWidth="1"/>
    <col min="6" max="8" width="31.7265625" style="6" bestFit="1" customWidth="1"/>
    <col min="9" max="9" width="2" style="6" customWidth="1"/>
    <col min="10" max="10" width="35.08984375" style="6" bestFit="1" customWidth="1"/>
    <col min="11" max="11" width="32.1796875" style="6" bestFit="1" customWidth="1"/>
    <col min="12" max="12" width="30.36328125" style="6" bestFit="1" customWidth="1"/>
    <col min="13" max="13" width="34.1796875" style="6" bestFit="1" customWidth="1"/>
    <col min="14" max="14" width="1.1796875" style="6" customWidth="1"/>
    <col min="15" max="15" width="39.453125" style="6" bestFit="1" customWidth="1"/>
    <col min="16" max="16" width="34.1796875" style="6" bestFit="1" customWidth="1"/>
    <col min="17" max="17" width="38.26953125" style="6" bestFit="1" customWidth="1"/>
    <col min="18" max="18" width="36.90625" style="6" bestFit="1" customWidth="1"/>
    <col min="19" max="19" width="15.81640625" style="6" customWidth="1"/>
    <col min="20" max="20" width="12.08984375" style="6" bestFit="1" customWidth="1"/>
    <col min="21" max="21" width="10.90625" style="6"/>
    <col min="22" max="22" width="13.1796875" style="6" bestFit="1" customWidth="1"/>
    <col min="23" max="23" width="10.90625" style="6"/>
    <col min="24" max="24" width="12.7265625" style="6" customWidth="1"/>
    <col min="25" max="25" width="19.453125" style="6" customWidth="1"/>
    <col min="26" max="26" width="0.7265625" style="6" customWidth="1"/>
    <col min="27" max="38" width="13.81640625" style="6" customWidth="1"/>
    <col min="39" max="39" width="0.7265625" style="6" customWidth="1"/>
    <col min="40" max="42" width="15.7265625" style="6" customWidth="1"/>
    <col min="43" max="43" width="16.7265625" style="6" customWidth="1"/>
    <col min="45" max="45" width="16" customWidth="1"/>
    <col min="47" max="47" width="16.6328125" customWidth="1"/>
    <col min="48" max="48" width="39.36328125" style="6" customWidth="1"/>
    <col min="49" max="50" width="10.7265625" style="6" customWidth="1"/>
    <col min="51" max="51" width="31.54296875" style="6" bestFit="1" customWidth="1"/>
    <col min="52" max="52" width="35.08984375" style="6" bestFit="1" customWidth="1"/>
    <col min="53" max="53" width="32.26953125" style="6" bestFit="1" customWidth="1"/>
    <col min="54" max="54" width="1.6328125" style="6" customWidth="1"/>
    <col min="55" max="55" width="30.1796875" style="6" bestFit="1" customWidth="1"/>
    <col min="56" max="56" width="29.90625" style="6" bestFit="1" customWidth="1"/>
    <col min="57" max="57" width="29.453125" style="6" bestFit="1" customWidth="1"/>
    <col min="58" max="58" width="33.453125" style="6" bestFit="1" customWidth="1"/>
    <col min="59" max="59" width="1.6328125" style="6" customWidth="1"/>
    <col min="60" max="60" width="39.81640625" style="6" bestFit="1" customWidth="1"/>
    <col min="61" max="61" width="35.1796875" style="6" bestFit="1" customWidth="1"/>
    <col min="62" max="62" width="38.453125" style="6" bestFit="1" customWidth="1"/>
    <col min="63" max="63" width="37.26953125" style="6" bestFit="1" customWidth="1"/>
    <col min="64" max="64" width="11" style="6" bestFit="1" customWidth="1"/>
    <col min="65" max="65" width="15.26953125" style="6" bestFit="1" customWidth="1"/>
    <col min="66" max="66" width="18.08984375" style="6" bestFit="1" customWidth="1"/>
    <col min="67" max="67" width="12.7265625" style="6" customWidth="1"/>
    <col min="68" max="68" width="19.453125" style="6" customWidth="1"/>
    <col min="69" max="71" width="1.26953125" style="6" customWidth="1"/>
    <col min="72" max="72" width="17.36328125" style="6" customWidth="1"/>
    <col min="73" max="73" width="14.453125" style="6" bestFit="1" customWidth="1"/>
    <col min="74" max="74" width="13.90625" style="6" bestFit="1" customWidth="1"/>
    <col min="75" max="75" width="14.6328125" style="6" customWidth="1"/>
    <col min="76" max="76" width="13.453125" style="6" bestFit="1" customWidth="1"/>
    <col min="77" max="77" width="15.26953125" style="6" customWidth="1"/>
    <col min="78" max="78" width="16.26953125" style="6" customWidth="1"/>
    <col min="79" max="79" width="12.36328125" style="6" bestFit="1" customWidth="1"/>
    <col min="80" max="80" width="13.453125" style="6" bestFit="1" customWidth="1"/>
    <col min="81" max="81" width="15.36328125" style="6" customWidth="1"/>
    <col min="82" max="82" width="11" style="6" bestFit="1" customWidth="1"/>
    <col min="83" max="83" width="14.54296875" style="6" customWidth="1"/>
    <col min="84" max="84" width="1.453125" style="6" customWidth="1"/>
    <col min="85" max="87" width="15.7265625" style="6" customWidth="1"/>
    <col min="88" max="88" width="16.7265625" style="6" customWidth="1"/>
  </cols>
  <sheetData>
    <row r="1" spans="2:88" ht="5.5" customHeight="1" x14ac:dyDescent="0.35"/>
    <row r="3" spans="2:88" ht="16" thickBot="1" x14ac:dyDescent="0.4"/>
    <row r="4" spans="2:88" ht="19" customHeight="1" x14ac:dyDescent="0.35">
      <c r="C4" s="980" t="s">
        <v>232</v>
      </c>
      <c r="D4" s="981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Y4" s="128"/>
      <c r="Z4" s="128"/>
      <c r="AM4" s="128"/>
      <c r="AV4" s="980" t="s">
        <v>233</v>
      </c>
      <c r="AW4" s="981"/>
      <c r="AY4" s="128"/>
      <c r="AZ4" s="128"/>
      <c r="BA4" s="128"/>
      <c r="BB4" s="128"/>
      <c r="BC4" s="128"/>
      <c r="BD4" s="128"/>
      <c r="BE4" s="128"/>
      <c r="BF4" s="128"/>
      <c r="BG4" s="128"/>
      <c r="BH4" s="128"/>
      <c r="BI4" s="128"/>
      <c r="BJ4" s="128"/>
      <c r="BK4" s="128"/>
      <c r="BL4" s="128"/>
      <c r="BM4" s="128"/>
      <c r="BN4" s="128"/>
      <c r="BO4" s="128"/>
      <c r="BP4" s="128"/>
      <c r="BQ4" s="128"/>
      <c r="BR4" s="128"/>
      <c r="BS4" s="128"/>
      <c r="CF4" s="128"/>
    </row>
    <row r="5" spans="2:88" ht="37" customHeight="1" thickBot="1" x14ac:dyDescent="0.4">
      <c r="C5" s="982"/>
      <c r="D5" s="983"/>
      <c r="E5" s="128"/>
      <c r="F5" s="129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L5" s="158"/>
      <c r="AM5" s="128"/>
      <c r="AV5" s="982"/>
      <c r="AW5" s="983"/>
      <c r="AX5" s="128"/>
      <c r="AY5" s="129"/>
      <c r="AZ5" s="128"/>
      <c r="BA5" s="128"/>
      <c r="BB5" s="128"/>
      <c r="BC5" s="128"/>
      <c r="BD5" s="128"/>
      <c r="BE5" s="128"/>
      <c r="BF5" s="128"/>
      <c r="BG5" s="128"/>
      <c r="BH5" s="128"/>
      <c r="BI5" s="128"/>
      <c r="BJ5" s="128"/>
      <c r="BK5" s="128"/>
      <c r="BL5" s="128"/>
      <c r="BM5" s="128"/>
      <c r="BN5" s="128"/>
      <c r="BO5" s="128"/>
      <c r="BP5" s="128"/>
      <c r="BQ5" s="128"/>
      <c r="BR5" s="128"/>
      <c r="BS5" s="128"/>
      <c r="CF5" s="128"/>
    </row>
    <row r="6" spans="2:88" ht="26.5" customHeight="1" x14ac:dyDescent="0.35">
      <c r="C6" s="410"/>
      <c r="D6" s="128"/>
      <c r="E6" s="128"/>
      <c r="F6" s="129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8"/>
      <c r="X6" s="128"/>
      <c r="Y6" s="128"/>
      <c r="Z6" s="128"/>
      <c r="AM6" s="128"/>
      <c r="AV6" s="410"/>
      <c r="AW6" s="128"/>
      <c r="AX6" s="128"/>
      <c r="AY6" s="129"/>
      <c r="AZ6" s="128"/>
      <c r="BA6" s="128"/>
      <c r="BB6" s="128"/>
      <c r="BC6" s="128"/>
      <c r="BD6" s="128"/>
      <c r="BE6" s="128"/>
      <c r="BF6" s="128"/>
      <c r="BG6" s="128"/>
      <c r="BH6" s="128"/>
      <c r="BI6" s="128"/>
      <c r="BJ6" s="128"/>
      <c r="BK6" s="128"/>
      <c r="BL6" s="128"/>
      <c r="BM6" s="128"/>
      <c r="BN6" s="128"/>
      <c r="BO6" s="128"/>
      <c r="BP6" s="128"/>
      <c r="BQ6" s="128"/>
      <c r="BR6" s="128"/>
      <c r="BS6" s="128"/>
      <c r="CF6" s="128"/>
    </row>
    <row r="7" spans="2:88" ht="20" customHeight="1" thickBot="1" x14ac:dyDescent="0.4">
      <c r="C7" s="421" t="s">
        <v>332</v>
      </c>
      <c r="D7" s="474">
        <f>DP!W14</f>
        <v>0</v>
      </c>
      <c r="E7" s="68"/>
      <c r="F7" s="124"/>
      <c r="G7" s="125"/>
      <c r="H7" s="125"/>
      <c r="J7" s="125"/>
      <c r="AV7" s="421" t="s">
        <v>332</v>
      </c>
      <c r="AW7" s="482">
        <f>DP!AY14</f>
        <v>183600</v>
      </c>
      <c r="AX7" s="488"/>
      <c r="AY7" s="124"/>
      <c r="AZ7" s="125"/>
      <c r="BA7" s="125"/>
      <c r="BC7" s="125"/>
    </row>
    <row r="8" spans="2:88" ht="15" customHeight="1" x14ac:dyDescent="0.35">
      <c r="C8" s="1026" t="s">
        <v>78</v>
      </c>
      <c r="D8" s="1009" t="s">
        <v>169</v>
      </c>
      <c r="E8" s="1010"/>
      <c r="F8" s="1010"/>
      <c r="G8" s="1010"/>
      <c r="H8" s="1011"/>
      <c r="I8" s="130"/>
      <c r="J8" s="1015" t="s">
        <v>170</v>
      </c>
      <c r="K8" s="1015" t="s">
        <v>215</v>
      </c>
      <c r="L8" s="1015" t="s">
        <v>216</v>
      </c>
      <c r="M8" s="1017" t="s">
        <v>217</v>
      </c>
      <c r="N8" s="130"/>
      <c r="O8" s="1019" t="s">
        <v>213</v>
      </c>
      <c r="P8" s="1007"/>
      <c r="Q8" s="1007"/>
      <c r="R8" s="1007"/>
      <c r="S8" s="1007"/>
      <c r="T8" s="1007"/>
      <c r="U8" s="1007"/>
      <c r="V8" s="1007"/>
      <c r="W8" s="1007"/>
      <c r="X8" s="1007"/>
      <c r="Y8" s="1007"/>
      <c r="Z8" s="130"/>
      <c r="AA8" s="1019" t="s">
        <v>180</v>
      </c>
      <c r="AB8" s="1007"/>
      <c r="AC8" s="1007"/>
      <c r="AD8" s="1007"/>
      <c r="AE8" s="1007"/>
      <c r="AF8" s="1007"/>
      <c r="AG8" s="1007"/>
      <c r="AH8" s="1007"/>
      <c r="AI8" s="1007"/>
      <c r="AJ8" s="1007"/>
      <c r="AK8" s="1007"/>
      <c r="AL8" s="1020"/>
      <c r="AM8" s="130"/>
      <c r="AN8" s="131" t="s">
        <v>214</v>
      </c>
      <c r="AO8" s="1006" t="s">
        <v>361</v>
      </c>
      <c r="AP8" s="1007"/>
      <c r="AQ8" s="1008"/>
      <c r="AV8" s="1026" t="s">
        <v>78</v>
      </c>
      <c r="AW8" s="1009" t="s">
        <v>169</v>
      </c>
      <c r="AX8" s="1010"/>
      <c r="AY8" s="1010"/>
      <c r="AZ8" s="1010"/>
      <c r="BA8" s="1011"/>
      <c r="BB8" s="130"/>
      <c r="BC8" s="1015" t="s">
        <v>170</v>
      </c>
      <c r="BD8" s="1015" t="s">
        <v>215</v>
      </c>
      <c r="BE8" s="1015" t="s">
        <v>216</v>
      </c>
      <c r="BF8" s="1017" t="s">
        <v>217</v>
      </c>
      <c r="BG8" s="130"/>
      <c r="BH8" s="1019" t="s">
        <v>213</v>
      </c>
      <c r="BI8" s="1007"/>
      <c r="BJ8" s="1007"/>
      <c r="BK8" s="1029"/>
      <c r="BL8" s="1029"/>
      <c r="BM8" s="1029"/>
      <c r="BN8" s="1029"/>
      <c r="BO8" s="1029"/>
      <c r="BP8" s="1029"/>
      <c r="BQ8" s="130"/>
      <c r="BR8" s="130"/>
      <c r="BS8" s="130"/>
      <c r="BT8" s="1019" t="s">
        <v>180</v>
      </c>
      <c r="BU8" s="1007"/>
      <c r="BV8" s="1007"/>
      <c r="BW8" s="1007"/>
      <c r="BX8" s="1007"/>
      <c r="BY8" s="1007"/>
      <c r="BZ8" s="1007"/>
      <c r="CA8" s="1007"/>
      <c r="CB8" s="1007"/>
      <c r="CC8" s="1007"/>
      <c r="CD8" s="1007"/>
      <c r="CE8" s="1020"/>
      <c r="CF8" s="130"/>
      <c r="CG8" s="131" t="s">
        <v>214</v>
      </c>
      <c r="CH8" s="1006" t="s">
        <v>361</v>
      </c>
      <c r="CI8" s="1007"/>
      <c r="CJ8" s="1008"/>
    </row>
    <row r="9" spans="2:88" ht="30.5" thickBot="1" x14ac:dyDescent="0.4">
      <c r="C9" s="1027"/>
      <c r="D9" s="1012"/>
      <c r="E9" s="1013"/>
      <c r="F9" s="1013"/>
      <c r="G9" s="1013"/>
      <c r="H9" s="1014"/>
      <c r="I9" s="130"/>
      <c r="J9" s="1016"/>
      <c r="K9" s="1016"/>
      <c r="L9" s="1016"/>
      <c r="M9" s="1018"/>
      <c r="N9" s="130"/>
      <c r="O9" s="134" t="s">
        <v>218</v>
      </c>
      <c r="P9" s="415"/>
      <c r="Q9" s="415"/>
      <c r="R9" s="135"/>
      <c r="S9" s="135"/>
      <c r="T9" s="69" t="s">
        <v>371</v>
      </c>
      <c r="U9" s="69"/>
      <c r="V9" s="69"/>
      <c r="W9" s="69" t="s">
        <v>172</v>
      </c>
      <c r="X9" s="69"/>
      <c r="Y9" s="69"/>
      <c r="Z9" s="130"/>
      <c r="AA9" s="1021" t="s">
        <v>173</v>
      </c>
      <c r="AB9" s="1022"/>
      <c r="AC9" s="1023"/>
      <c r="AD9" s="1024" t="s">
        <v>174</v>
      </c>
      <c r="AE9" s="1022"/>
      <c r="AF9" s="1023"/>
      <c r="AG9" s="1024" t="s">
        <v>175</v>
      </c>
      <c r="AH9" s="1022"/>
      <c r="AI9" s="1023"/>
      <c r="AJ9" s="1024" t="s">
        <v>176</v>
      </c>
      <c r="AK9" s="1022"/>
      <c r="AL9" s="1025"/>
      <c r="AM9" s="130"/>
      <c r="AN9" s="115" t="s">
        <v>177</v>
      </c>
      <c r="AO9" s="458" t="s">
        <v>362</v>
      </c>
      <c r="AP9" s="458" t="s">
        <v>363</v>
      </c>
      <c r="AQ9" s="96" t="s">
        <v>364</v>
      </c>
      <c r="AV9" s="1027"/>
      <c r="AW9" s="1012"/>
      <c r="AX9" s="1013"/>
      <c r="AY9" s="1013"/>
      <c r="AZ9" s="1013"/>
      <c r="BA9" s="1014"/>
      <c r="BB9" s="130"/>
      <c r="BC9" s="1016"/>
      <c r="BD9" s="1016"/>
      <c r="BE9" s="1016"/>
      <c r="BF9" s="1018"/>
      <c r="BG9" s="130"/>
      <c r="BH9" s="1031" t="s">
        <v>234</v>
      </c>
      <c r="BI9" s="1032"/>
      <c r="BJ9" s="1032"/>
      <c r="BK9" s="1030" t="s">
        <v>171</v>
      </c>
      <c r="BL9" s="1030"/>
      <c r="BM9" s="1030"/>
      <c r="BN9" s="1030" t="s">
        <v>231</v>
      </c>
      <c r="BO9" s="1030"/>
      <c r="BP9" s="1030"/>
      <c r="BQ9" s="130"/>
      <c r="BR9" s="130"/>
      <c r="BS9" s="130"/>
      <c r="BT9" s="1021" t="s">
        <v>173</v>
      </c>
      <c r="BU9" s="1022"/>
      <c r="BV9" s="1023"/>
      <c r="BW9" s="1024" t="s">
        <v>174</v>
      </c>
      <c r="BX9" s="1022"/>
      <c r="BY9" s="1023"/>
      <c r="BZ9" s="1024" t="s">
        <v>175</v>
      </c>
      <c r="CA9" s="1022"/>
      <c r="CB9" s="1023"/>
      <c r="CC9" s="1024" t="s">
        <v>176</v>
      </c>
      <c r="CD9" s="1022"/>
      <c r="CE9" s="1025"/>
      <c r="CF9" s="130"/>
      <c r="CG9" s="115" t="s">
        <v>177</v>
      </c>
      <c r="CH9" s="458" t="s">
        <v>362</v>
      </c>
      <c r="CI9" s="458" t="s">
        <v>363</v>
      </c>
      <c r="CJ9" s="494" t="s">
        <v>364</v>
      </c>
    </row>
    <row r="10" spans="2:88" ht="16" thickBot="1" x14ac:dyDescent="0.4">
      <c r="C10" s="1028"/>
      <c r="D10" s="111" t="s">
        <v>225</v>
      </c>
      <c r="E10" s="111" t="s">
        <v>329</v>
      </c>
      <c r="F10" s="112" t="s">
        <v>178</v>
      </c>
      <c r="G10" s="113" t="s">
        <v>226</v>
      </c>
      <c r="H10" s="114" t="s">
        <v>227</v>
      </c>
      <c r="I10" s="136"/>
      <c r="J10" s="119" t="s">
        <v>179</v>
      </c>
      <c r="K10" s="137" t="s">
        <v>224</v>
      </c>
      <c r="L10" s="137" t="s">
        <v>224</v>
      </c>
      <c r="M10" s="138" t="s">
        <v>224</v>
      </c>
      <c r="N10" s="136"/>
      <c r="O10" s="118" t="s">
        <v>223</v>
      </c>
      <c r="P10" s="119" t="s">
        <v>179</v>
      </c>
      <c r="Q10" s="137" t="s">
        <v>224</v>
      </c>
      <c r="R10" s="119" t="s">
        <v>330</v>
      </c>
      <c r="S10" s="137" t="s">
        <v>224</v>
      </c>
      <c r="T10" s="119" t="s">
        <v>219</v>
      </c>
      <c r="U10" s="119" t="s">
        <v>179</v>
      </c>
      <c r="V10" s="137" t="s">
        <v>224</v>
      </c>
      <c r="W10" s="119" t="s">
        <v>219</v>
      </c>
      <c r="X10" s="119" t="s">
        <v>179</v>
      </c>
      <c r="Y10" s="137" t="s">
        <v>224</v>
      </c>
      <c r="Z10" s="136"/>
      <c r="AA10" s="118" t="s">
        <v>220</v>
      </c>
      <c r="AB10" s="119" t="s">
        <v>179</v>
      </c>
      <c r="AC10" s="137" t="s">
        <v>224</v>
      </c>
      <c r="AD10" s="119" t="s">
        <v>220</v>
      </c>
      <c r="AE10" s="119" t="s">
        <v>179</v>
      </c>
      <c r="AF10" s="137" t="s">
        <v>224</v>
      </c>
      <c r="AG10" s="119" t="s">
        <v>220</v>
      </c>
      <c r="AH10" s="119" t="s">
        <v>179</v>
      </c>
      <c r="AI10" s="137" t="s">
        <v>224</v>
      </c>
      <c r="AJ10" s="119" t="s">
        <v>221</v>
      </c>
      <c r="AK10" s="119" t="s">
        <v>179</v>
      </c>
      <c r="AL10" s="138" t="s">
        <v>224</v>
      </c>
      <c r="AM10" s="136"/>
      <c r="AN10" s="139" t="s">
        <v>224</v>
      </c>
      <c r="AO10" s="137" t="s">
        <v>224</v>
      </c>
      <c r="AP10" s="137" t="s">
        <v>224</v>
      </c>
      <c r="AQ10" s="137" t="s">
        <v>224</v>
      </c>
      <c r="AV10" s="1028"/>
      <c r="AW10" s="111" t="s">
        <v>225</v>
      </c>
      <c r="AX10" s="111" t="s">
        <v>329</v>
      </c>
      <c r="AY10" s="112" t="s">
        <v>178</v>
      </c>
      <c r="AZ10" s="113" t="s">
        <v>226</v>
      </c>
      <c r="BA10" s="114" t="s">
        <v>227</v>
      </c>
      <c r="BB10" s="136"/>
      <c r="BC10" s="119" t="s">
        <v>179</v>
      </c>
      <c r="BD10" s="137" t="s">
        <v>224</v>
      </c>
      <c r="BE10" s="137" t="s">
        <v>224</v>
      </c>
      <c r="BF10" s="138" t="s">
        <v>224</v>
      </c>
      <c r="BG10" s="136"/>
      <c r="BH10" s="118" t="s">
        <v>219</v>
      </c>
      <c r="BI10" s="119" t="s">
        <v>179</v>
      </c>
      <c r="BJ10" s="434" t="s">
        <v>224</v>
      </c>
      <c r="BK10" s="3" t="s">
        <v>219</v>
      </c>
      <c r="BL10" s="3" t="s">
        <v>179</v>
      </c>
      <c r="BM10" s="490" t="s">
        <v>224</v>
      </c>
      <c r="BN10" s="3" t="s">
        <v>219</v>
      </c>
      <c r="BO10" s="3" t="s">
        <v>179</v>
      </c>
      <c r="BP10" s="490" t="s">
        <v>224</v>
      </c>
      <c r="BQ10" s="136"/>
      <c r="BR10" s="136"/>
      <c r="BS10" s="136"/>
      <c r="BT10" s="118" t="s">
        <v>220</v>
      </c>
      <c r="BU10" s="119" t="s">
        <v>179</v>
      </c>
      <c r="BV10" s="137" t="s">
        <v>224</v>
      </c>
      <c r="BW10" s="119" t="s">
        <v>220</v>
      </c>
      <c r="BX10" s="119" t="s">
        <v>179</v>
      </c>
      <c r="BY10" s="137" t="s">
        <v>224</v>
      </c>
      <c r="BZ10" s="119" t="s">
        <v>220</v>
      </c>
      <c r="CA10" s="119" t="s">
        <v>179</v>
      </c>
      <c r="CB10" s="137" t="s">
        <v>224</v>
      </c>
      <c r="CC10" s="119" t="s">
        <v>221</v>
      </c>
      <c r="CD10" s="119" t="s">
        <v>179</v>
      </c>
      <c r="CE10" s="138" t="s">
        <v>224</v>
      </c>
      <c r="CF10" s="136"/>
      <c r="CG10" s="139" t="s">
        <v>224</v>
      </c>
      <c r="CH10" s="137" t="s">
        <v>224</v>
      </c>
      <c r="CI10" s="137" t="s">
        <v>224</v>
      </c>
      <c r="CJ10" s="137" t="s">
        <v>224</v>
      </c>
    </row>
    <row r="11" spans="2:88" ht="16" thickBot="1" x14ac:dyDescent="0.4">
      <c r="C11" s="117" t="s">
        <v>331</v>
      </c>
      <c r="D11" s="117"/>
      <c r="E11" s="11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V11" s="117" t="s">
        <v>230</v>
      </c>
      <c r="AW11" s="117"/>
      <c r="AX11" s="11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491"/>
      <c r="BL11" s="491"/>
      <c r="BM11" s="491"/>
      <c r="BN11" s="491"/>
      <c r="BO11" s="491"/>
      <c r="BP11" s="491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</row>
    <row r="12" spans="2:88" x14ac:dyDescent="0.35">
      <c r="B12" s="469">
        <f>DP!S18</f>
        <v>1</v>
      </c>
      <c r="C12" s="94" t="str">
        <f>DP!T18</f>
        <v xml:space="preserve">PALMITO ENTERO 800 </v>
      </c>
      <c r="D12" s="450">
        <f>DP!U18</f>
        <v>800</v>
      </c>
      <c r="E12" s="450">
        <f>DP!V18</f>
        <v>500</v>
      </c>
      <c r="F12" s="413">
        <f t="shared" ref="F12:F30" si="0">IFERROR((H12*1000)/E12,0*1)</f>
        <v>0</v>
      </c>
      <c r="G12" s="470">
        <f>DP!W18</f>
        <v>0</v>
      </c>
      <c r="H12" s="471">
        <f t="shared" ref="H12:H30" si="1">$D$7*G12</f>
        <v>0</v>
      </c>
      <c r="I12" s="97"/>
      <c r="J12" s="101">
        <f t="shared" ref="J12:J30" si="2">IF(F12&gt;0,L12/F12,0*1)</f>
        <v>0</v>
      </c>
      <c r="K12" s="122">
        <f t="shared" ref="K12:K30" si="3">IF(F12&gt;0,M12/F12,0*1)</f>
        <v>0</v>
      </c>
      <c r="L12" s="140">
        <f t="shared" ref="L12:L30" si="4">IF(F12&gt;0,M12+AQ12,0*1)</f>
        <v>0</v>
      </c>
      <c r="M12" s="123">
        <f t="shared" ref="M12:M30" si="5">IF(F12&gt;0,(S12+V12+Y12+AC12+AF12+AI12+AL12+AN12),0*1)</f>
        <v>0</v>
      </c>
      <c r="N12" s="100"/>
      <c r="O12" s="141">
        <f>($E12/DP!$M$29)*F12</f>
        <v>0</v>
      </c>
      <c r="P12" s="102">
        <f>IF(O12&gt;0,(DP!$M$31),0*1)</f>
        <v>0</v>
      </c>
      <c r="Q12" s="102">
        <f t="shared" ref="Q12:Q30" si="6">O12*P12</f>
        <v>0</v>
      </c>
      <c r="R12" s="101">
        <f t="shared" ref="R12:R30" si="7">IF(O12&gt;0,S12/O12,0*1)</f>
        <v>0</v>
      </c>
      <c r="S12" s="418">
        <f t="shared" ref="S12:S30" si="8">IFERROR(IF(B12=1,(S$34+70%*S$35)/(SUMIF($B$12:$B$30,1,$H$12:$H$30))*H12,(30%*S$35)/(SUMIF($B$12:$B$30,0,$H$12:$H$30))*H12),0*1)</f>
        <v>0</v>
      </c>
      <c r="T12" s="475">
        <f>H12*DP!$K$44</f>
        <v>0</v>
      </c>
      <c r="U12" s="475">
        <f>IF(H12&gt;0,DP!$L$44,0*1)</f>
        <v>0</v>
      </c>
      <c r="V12" s="475">
        <f t="shared" ref="V12:V30" si="9">T12*U12</f>
        <v>0</v>
      </c>
      <c r="W12" s="475">
        <f>H12*DP!$K$45</f>
        <v>0</v>
      </c>
      <c r="X12" s="475">
        <f>IF(H12&gt;0,DP!$L$45,0*1)</f>
        <v>0</v>
      </c>
      <c r="Y12" s="475">
        <f t="shared" ref="Y12:Y30" si="10">W12*X12</f>
        <v>0</v>
      </c>
      <c r="Z12" s="100"/>
      <c r="AA12" s="93">
        <f>IF(D12=DP!$L$15,F12*(1+DP!$M$15),IF(D12=DP!$L$16,F12*(1+DP!$M$16),IF(D12=DP!$L$17,F12*(1+DP!$M$17),IF(D12=DP!$L$18,F12*(1+DP!$M$18),0*1))))</f>
        <v>0</v>
      </c>
      <c r="AB12" s="102">
        <f>IF(D12=DP!$L$22,(DP!$M$22),IF(D12=DP!$L$23,(DP!$M$23),IF(D12=DP!$L$24,(DP!$M$24),IF(D12=DP!$L$25,(DP!$M$25),((0*1))))))</f>
        <v>0</v>
      </c>
      <c r="AC12" s="93">
        <f t="shared" ref="AC12:AC30" si="11">AA12*AB12</f>
        <v>0</v>
      </c>
      <c r="AD12" s="93">
        <f>IF(D12=DP!$L$15,F12*(1+DP!$M$15),IF(D12=DP!$L$16,F12*(1+DP!$M$16),IF(D12=DP!$L$17,F12*(1+DP!$M$17),IF(D12=DP!$L$18,F12*(1+DP!$M$18),0*1))))</f>
        <v>0</v>
      </c>
      <c r="AE12" s="102">
        <f>IF(D12=DP!$L$22,(DP!$N$22),IF(D12=DP!$L$23,(DP!$N$23),IF(D12=DP!$L$24,(DP!$N$24),IF(D12=DP!$L$25,(DP!$N$25),((0*1))))))</f>
        <v>0</v>
      </c>
      <c r="AF12" s="93">
        <f t="shared" ref="AF12:AF30" si="12">AD12*AE12</f>
        <v>0</v>
      </c>
      <c r="AG12" s="93">
        <f>IF(D12=DP!$L$15,(F12/DP!$K$15)*(1+DP!$M$15),IF(D12=DP!$L$16,(F12/DP!$K$16)*(1+DP!$M$16),IF(D12=DP!$L$17,(F12/DP!$K$17)*(1+DP!$M$17),IF(D12=DP!$L$18,(F12/DP!$K$18)*(1+DP!$M$18),0*1))))</f>
        <v>0</v>
      </c>
      <c r="AH12" s="102">
        <f>IF(D12=DP!$L$22,(DP!$O$22),IF(D12=DP!$L$23,(DP!$O$23),IF(D12=DP!$L$24,(DP!$O$24),IF(D12=DP!$L$25,(DP!$O$25),((0*1))))))</f>
        <v>0</v>
      </c>
      <c r="AI12" s="93">
        <f t="shared" ref="AI12:AI30" si="13">AG12*AH12</f>
        <v>0</v>
      </c>
      <c r="AJ12" s="93">
        <f>IF(D12=DP!$L$15,F12*(1+DP!$M$15),IF(D12=DP!$L$16,F12*(1+DP!$M$16),IF(D12=DP!$L$17,F12*(1+DP!$M$17),IF(D12=DP!$L$18,F12*(1+DP!$M$18),0*1))))</f>
        <v>0</v>
      </c>
      <c r="AK12" s="102">
        <f>IF(D12=DP!$L$22,(DP!$P$22),IF(D12=DP!$L$23,(DP!$P$23),IF(D12=DP!$L$24,(DP!$P$24),IF(D12=DP!$L$25,(DP!$P$25),((0*1))))))</f>
        <v>0</v>
      </c>
      <c r="AL12" s="93">
        <f t="shared" ref="AL12:AL30" si="14">AJ12*AK12</f>
        <v>0</v>
      </c>
      <c r="AM12" s="100"/>
      <c r="AN12" s="149">
        <f t="shared" ref="AN12:AN30" si="15">IF(F12&gt;0,AN$32/H$31*H12,0*1)</f>
        <v>0</v>
      </c>
      <c r="AO12" s="149">
        <f>DP!$N$35*H12</f>
        <v>0</v>
      </c>
      <c r="AP12" s="149">
        <f>DP!$O$35*H12</f>
        <v>0</v>
      </c>
      <c r="AQ12" s="149">
        <f>DP!$P$35*H12</f>
        <v>0</v>
      </c>
      <c r="AV12" s="412" t="str">
        <f>DP!AV18</f>
        <v>PIÑA RODAJA 850</v>
      </c>
      <c r="AW12" s="412">
        <f>DP!AW18</f>
        <v>850</v>
      </c>
      <c r="AX12" s="412">
        <f>DP!AX18</f>
        <v>425</v>
      </c>
      <c r="AY12" s="412">
        <f>IFERROR((BA12*1000)/AX12,0*1)</f>
        <v>0</v>
      </c>
      <c r="AZ12" s="487">
        <f>DP!AY18</f>
        <v>0</v>
      </c>
      <c r="BA12" s="98">
        <f t="shared" ref="BA12:BA30" si="16">$AW$7*AZ12</f>
        <v>0</v>
      </c>
      <c r="BB12" s="97"/>
      <c r="BC12" s="101">
        <f>IF(AY12&gt;0,BE12/AY12,0*1)</f>
        <v>0</v>
      </c>
      <c r="BD12" s="122">
        <f>IF(AY12&gt;0,BF12/AY12,0*1)</f>
        <v>0</v>
      </c>
      <c r="BE12" s="140">
        <f>IF(AY12&gt;0,BF12+CJ12,0*1)</f>
        <v>0</v>
      </c>
      <c r="BF12" s="123">
        <f>IF(AY12&gt;0,(BJ12+BM12+BP12+BV12+BY12+CB12+CE12+CG12),0*1)</f>
        <v>0</v>
      </c>
      <c r="BG12" s="100"/>
      <c r="BH12" s="102">
        <f>IFERROR((BA12*100%)/DP!$AO$29,(0*1))</f>
        <v>0</v>
      </c>
      <c r="BI12" s="102">
        <f>IF(BH12&gt;0,(DP!$AO$31),0*1)</f>
        <v>0</v>
      </c>
      <c r="BJ12" s="435">
        <f t="shared" ref="BJ12:BJ30" si="17">BH12*BI12</f>
        <v>0</v>
      </c>
      <c r="BK12" s="475">
        <f>BA12*DP!$AM$44</f>
        <v>0</v>
      </c>
      <c r="BL12" s="475">
        <f>IF(BA12&gt;0,DP!$AN$44,0*1)</f>
        <v>0</v>
      </c>
      <c r="BM12" s="475">
        <f t="shared" ref="BM12:BM30" si="18">BK12*BL12</f>
        <v>0</v>
      </c>
      <c r="BN12" s="102">
        <f>BA12*DP!$AM$45</f>
        <v>0</v>
      </c>
      <c r="BO12" s="102">
        <f>IF(BA12&gt;0,DP!$AN$45,0*1)</f>
        <v>0</v>
      </c>
      <c r="BP12" s="475">
        <f t="shared" ref="BP12:BP30" si="19">BN12*BO12</f>
        <v>0</v>
      </c>
      <c r="BQ12" s="100"/>
      <c r="BR12" s="100"/>
      <c r="BS12" s="100"/>
      <c r="BT12" s="93">
        <f>IF(AW12=DP!$AN$15,AY12*(1+DP!$AO$15),IF(AW12=DP!$AN$16,AY12*(1+DP!$AO$16),IF(AW12=DP!$AN$17,AY12*(1+DP!$AO$17),IF(AW12=DP!$AN$18,AY12*(1+DP!$AO$18),0*1))))</f>
        <v>0</v>
      </c>
      <c r="BU12" s="102">
        <f>IF(AW12=DP!$AN$22,(DP!$AO$22),IF(AW12=DP!$AN$23,(DP!$AO$23),IF(AW12=DP!$AN$24,(DP!$AO$24),IF(AW12=DP!$AN$25,(DP!$AO$25),((0*1))))))</f>
        <v>0</v>
      </c>
      <c r="BV12" s="93">
        <f t="shared" ref="BV12:BV30" si="20">BT12*BU12</f>
        <v>0</v>
      </c>
      <c r="BW12" s="93">
        <f>IF(AW12=DP!$AN$15,AY12*(1+DP!$AO$15),IF(AW12=DP!$AN$16,AY12*(1+DP!$AO$16),IF(AW12=DP!$AN$17,AY12*(1+DP!$AO$17),IF(AW12=DP!$AN$18,AY12*(1+DP!$AO$18),0*1))))</f>
        <v>0</v>
      </c>
      <c r="BX12" s="102">
        <f>IF(AW12=DP!$AN$22,(DP!$AP$22),IF(AW12=DP!$AN$23,(DP!$AP$23),IF(AW12=DP!$AN$24,(DP!$AP$24),IF(AW12=DP!$AN$25,(DP!$AP$25),((0*1))))))</f>
        <v>0</v>
      </c>
      <c r="BY12" s="93">
        <f t="shared" ref="BY12:BY30" si="21">BW12*BX12</f>
        <v>0</v>
      </c>
      <c r="BZ12" s="93">
        <f>IF(AW12=DP!$AN$15,(AY12/DP!$AM$15)*(1+DP!$AO$15),IF(AW12=DP!$AN$16,(AY12/DP!$AM$16)*(1+DP!$AO$16),IF(AW12=DP!$AN$17,(AY12/DP!$AM$17)*(1+DP!$AO$17),IF(AW12=DP!$AN$18,(AY12/DP!$AM$18)*(1+DP!$AO$18),0*1))))</f>
        <v>0</v>
      </c>
      <c r="CA12" s="102">
        <f>IF(AW12=DP!$AN$22,(DP!$AQ$22),IF(AW12=DP!$AN$23,(DP!$AQ$23),IF(AW12=DP!$AN$24,(DP!$AQ$24),IF(AW12=DP!$AN$25,(DP!$AQ$25),((0*1))))))</f>
        <v>0</v>
      </c>
      <c r="CB12" s="93">
        <f t="shared" ref="CB12:CB30" si="22">BZ12*CA12</f>
        <v>0</v>
      </c>
      <c r="CC12" s="93">
        <f>IF(AW12=DP!$AN$15,AY12*(1+DP!$AO$15),IF(AW12=DP!$AN$16,AY12*(1+DP!$AO$16),IF(AW12=DP!$AN$17,AY12*(1+DP!$AO$17),IF(AW12=DP!$AN$18,AY12*(1+DP!$AO$18),0*1))))</f>
        <v>0</v>
      </c>
      <c r="CD12" s="102">
        <f>IF(AW12=DP!$AN$22,(DP!$AR$22),IF(AW12=DP!$AN$23,(DP!$AR$23),IF(AW12=DP!$AN$24,(DP!$AR$24),IF(AW12=DP!$AN$25,(DP!$AR$25),((0*1))))))</f>
        <v>0</v>
      </c>
      <c r="CE12" s="93">
        <f t="shared" ref="CE12:CE30" si="23">CC12*CD12</f>
        <v>0</v>
      </c>
      <c r="CF12" s="100"/>
      <c r="CG12" s="143">
        <f t="shared" ref="CG12:CG30" si="24">IF(AY12&gt;0,CG$32/BA$31*BA12,0*1)</f>
        <v>0</v>
      </c>
      <c r="CH12" s="149">
        <f>DP!$N$35*BA12</f>
        <v>0</v>
      </c>
      <c r="CI12" s="149">
        <f>DP!$O$35*BA12</f>
        <v>0</v>
      </c>
      <c r="CJ12" s="149">
        <f>DP!$P$35*BA12</f>
        <v>0</v>
      </c>
    </row>
    <row r="13" spans="2:88" x14ac:dyDescent="0.35">
      <c r="B13" s="469">
        <f>DP!S19</f>
        <v>0</v>
      </c>
      <c r="C13" s="94" t="str">
        <f>DP!T19</f>
        <v>PALMITO RODAJA 800</v>
      </c>
      <c r="D13" s="450">
        <f>DP!U19</f>
        <v>800</v>
      </c>
      <c r="E13" s="450">
        <f>DP!V19</f>
        <v>500</v>
      </c>
      <c r="F13" s="412">
        <f t="shared" si="0"/>
        <v>0</v>
      </c>
      <c r="G13" s="470">
        <f>DP!W19</f>
        <v>0</v>
      </c>
      <c r="H13" s="472">
        <f t="shared" si="1"/>
        <v>0</v>
      </c>
      <c r="I13" s="97"/>
      <c r="J13" s="102">
        <f t="shared" si="2"/>
        <v>0</v>
      </c>
      <c r="K13" s="98">
        <f t="shared" si="3"/>
        <v>0</v>
      </c>
      <c r="L13" s="93">
        <f t="shared" si="4"/>
        <v>0</v>
      </c>
      <c r="M13" s="99">
        <f t="shared" si="5"/>
        <v>0</v>
      </c>
      <c r="N13" s="100"/>
      <c r="O13" s="146">
        <f>($E13/DP!$M$29)*F13</f>
        <v>0</v>
      </c>
      <c r="P13" s="102">
        <f>IF(O13&gt;0,(DP!$M$31),0*1)</f>
        <v>0</v>
      </c>
      <c r="Q13" s="102">
        <f t="shared" si="6"/>
        <v>0</v>
      </c>
      <c r="R13" s="102">
        <f t="shared" si="7"/>
        <v>0</v>
      </c>
      <c r="S13" s="418">
        <f t="shared" si="8"/>
        <v>0</v>
      </c>
      <c r="T13" s="475">
        <f>H13*DP!$K$44</f>
        <v>0</v>
      </c>
      <c r="U13" s="475">
        <f>IF(H13&gt;0,DP!$L$44,0*1)</f>
        <v>0</v>
      </c>
      <c r="V13" s="475">
        <f t="shared" si="9"/>
        <v>0</v>
      </c>
      <c r="W13" s="475">
        <f>H13*DP!$K$45</f>
        <v>0</v>
      </c>
      <c r="X13" s="475">
        <f>IF(H13&gt;0,DP!$L$45,0*1)</f>
        <v>0</v>
      </c>
      <c r="Y13" s="475">
        <f t="shared" si="10"/>
        <v>0</v>
      </c>
      <c r="Z13" s="100"/>
      <c r="AA13" s="93">
        <f>IF(D13=DP!$L$15,F13*(1+DP!$M$15),IF(D13=DP!$L$16,F13*(1+DP!$M$16),IF(D13=DP!$L$17,F13*(1+DP!$M$17),IF(D13=DP!$L$18,F13*(1+DP!$M$18),0*1))))</f>
        <v>0</v>
      </c>
      <c r="AB13" s="102">
        <f>IF(D13=DP!$L$22,(DP!$M$22),IF(D13=DP!$L$23,(DP!$M$23),IF(D13=DP!$L$24,(DP!$M$24),IF(D13=DP!$L$25,(DP!$M$25),((0*1))))))</f>
        <v>0</v>
      </c>
      <c r="AC13" s="93">
        <f t="shared" si="11"/>
        <v>0</v>
      </c>
      <c r="AD13" s="93">
        <f>IF(D13=DP!$L$15,F13*(1+DP!$M$15),IF(D13=DP!$L$16,F13*(1+DP!$M$16),IF(D13=DP!$L$17,F13*(1+DP!$M$17),IF(D13=DP!$L$18,F13*(1+DP!$M$18),0*1))))</f>
        <v>0</v>
      </c>
      <c r="AE13" s="102">
        <f>IF(D13=DP!$L$22,(DP!$N$22),IF(D13=DP!$L$23,(DP!$N$23),IF(D13=DP!$L$24,(DP!$N$24),IF(D13=DP!$L$25,(DP!$N$25),((0*1))))))</f>
        <v>0</v>
      </c>
      <c r="AF13" s="93">
        <f t="shared" si="12"/>
        <v>0</v>
      </c>
      <c r="AG13" s="93">
        <f>IF(D13=DP!$L$15,(F13/DP!$K$15)*(1+DP!$M$15),IF(D13=DP!$L$16,(F13/DP!$K$16)*(1+DP!$M$16),IF(D13=DP!$L$17,(F13/DP!$K$17)*(1+DP!$M$17),IF(D13=DP!$L$18,(F13/DP!$K$18)*(1+DP!$M$18),0*1))))</f>
        <v>0</v>
      </c>
      <c r="AH13" s="102">
        <f>IF(D13=DP!$L$22,(DP!$O$22),IF(D13=DP!$L$23,(DP!$O$23),IF(D13=DP!$L$24,(DP!$O$24),IF(D13=DP!$L$25,(DP!$O$25),((0*1))))))</f>
        <v>0</v>
      </c>
      <c r="AI13" s="93">
        <f t="shared" si="13"/>
        <v>0</v>
      </c>
      <c r="AJ13" s="93">
        <f>IF(D13=DP!$L$15,F13*(1+DP!$M$15),IF(D13=DP!$L$16,F13*(1+DP!$M$16),IF(D13=DP!$L$17,F13*(1+DP!$M$17),IF(D13=DP!$L$18,F13*(1+DP!$M$18),0*1))))</f>
        <v>0</v>
      </c>
      <c r="AK13" s="102">
        <f>IF(D13=DP!$L$22,(DP!$P$22),IF(D13=DP!$L$23,(DP!$P$23),IF(D13=DP!$L$24,(DP!$P$24),IF(D13=DP!$L$25,(DP!$P$25),((0*1))))))</f>
        <v>0</v>
      </c>
      <c r="AL13" s="93">
        <f t="shared" si="14"/>
        <v>0</v>
      </c>
      <c r="AM13" s="100"/>
      <c r="AN13" s="149">
        <f t="shared" si="15"/>
        <v>0</v>
      </c>
      <c r="AO13" s="149">
        <f>DP!$N$35*H13</f>
        <v>0</v>
      </c>
      <c r="AP13" s="149">
        <f>DP!$O$35*H13</f>
        <v>0</v>
      </c>
      <c r="AQ13" s="149">
        <f>DP!$P$35*H13</f>
        <v>0</v>
      </c>
      <c r="AV13" s="412" t="str">
        <f>DP!AV19</f>
        <v>PIÑA TROZO 850</v>
      </c>
      <c r="AW13" s="412">
        <f>DP!AW19</f>
        <v>850</v>
      </c>
      <c r="AX13" s="412">
        <f>DP!AX19</f>
        <v>440</v>
      </c>
      <c r="AY13" s="412">
        <f t="shared" ref="AY13:AY30" si="25">IFERROR((BA13*1000)/AX13,0*1)</f>
        <v>0</v>
      </c>
      <c r="AZ13" s="487">
        <f>DP!AY19</f>
        <v>0</v>
      </c>
      <c r="BA13" s="98">
        <f t="shared" si="16"/>
        <v>0</v>
      </c>
      <c r="BB13" s="97"/>
      <c r="BC13" s="102">
        <f t="shared" ref="BC13:BC30" si="26">IF(AY13&gt;0,BE13/AY13,0*1)</f>
        <v>0</v>
      </c>
      <c r="BD13" s="98">
        <f t="shared" ref="BD13:BD30" si="27">IF(AY13&gt;0,BF13/AY13,0*1)</f>
        <v>0</v>
      </c>
      <c r="BE13" s="93">
        <f t="shared" ref="BE13:BE30" si="28">IF(AY13&gt;0,BF13+CJ13,0*1)</f>
        <v>0</v>
      </c>
      <c r="BF13" s="99">
        <f t="shared" ref="BF13:BF30" si="29">IF(AY13&gt;0,(BJ13+BM13+BP13+BV13+BY13+CB13+CE13+CG13),0*1)</f>
        <v>0</v>
      </c>
      <c r="BG13" s="100"/>
      <c r="BH13" s="102">
        <f>IFERROR((BA13*100%)/DP!$AO$29,(0*1))</f>
        <v>0</v>
      </c>
      <c r="BI13" s="102">
        <f>IF(BH13&gt;0,(DP!$AO$31),0*1)</f>
        <v>0</v>
      </c>
      <c r="BJ13" s="435">
        <f t="shared" si="17"/>
        <v>0</v>
      </c>
      <c r="BK13" s="475">
        <f>BA13*DP!$AM$44</f>
        <v>0</v>
      </c>
      <c r="BL13" s="475">
        <f>IF(BA13&gt;0,DP!$AN$44,0*1)</f>
        <v>0</v>
      </c>
      <c r="BM13" s="475">
        <f t="shared" si="18"/>
        <v>0</v>
      </c>
      <c r="BN13" s="102">
        <f>BA13*DP!$AM$45</f>
        <v>0</v>
      </c>
      <c r="BO13" s="102">
        <f>IF(BA13&gt;0,DP!$AN$45,0*1)</f>
        <v>0</v>
      </c>
      <c r="BP13" s="475">
        <f t="shared" si="19"/>
        <v>0</v>
      </c>
      <c r="BQ13" s="100"/>
      <c r="BR13" s="100"/>
      <c r="BS13" s="100"/>
      <c r="BT13" s="93">
        <f>IF(AW13=DP!$AN$15,AY13*(1+DP!$AO$15),IF(AW13=DP!$AN$16,AY13*(1+DP!$AO$16),IF(AW13=DP!$AN$17,AY13*(1+DP!$AO$17),IF(AW13=DP!$AN$18,AY13*(1+DP!$AO$18),0*1))))</f>
        <v>0</v>
      </c>
      <c r="BU13" s="102">
        <f>IF(AW13=DP!$AN$22,(DP!$AO$22),IF(AW13=DP!$AN$23,(DP!$AO$23),IF(AW13=DP!$AN$24,(DP!$AO$24),IF(AW13=DP!$AN$25,(DP!$AO$25),((0*1))))))</f>
        <v>0</v>
      </c>
      <c r="BV13" s="93">
        <f t="shared" si="20"/>
        <v>0</v>
      </c>
      <c r="BW13" s="93">
        <f>IF(AW13=DP!$AN$15,AY13*(1+DP!$AO$15),IF(AW13=DP!$AN$16,AY13*(1+DP!$AO$16),IF(AW13=DP!$AN$17,AY13*(1+DP!$AO$17),IF(AW13=DP!$AN$18,AY13*(1+DP!$AO$18),0*1))))</f>
        <v>0</v>
      </c>
      <c r="BX13" s="102">
        <f>IF(AW13=DP!$AN$22,(DP!$AP$22),IF(AW13=DP!$AN$23,(DP!$AP$23),IF(AW13=DP!$AN$24,(DP!$AP$24),IF(AW13=DP!$AN$25,(DP!$AP$25),((0*1))))))</f>
        <v>0</v>
      </c>
      <c r="BY13" s="93">
        <f t="shared" si="21"/>
        <v>0</v>
      </c>
      <c r="BZ13" s="93">
        <f>IF(AW13=DP!$AN$15,(AY13/DP!$AM$15)*(1+DP!$AO$15),IF(AW13=DP!$AN$16,(AY13/DP!$AM$16)*(1+DP!$AO$16),IF(AW13=DP!$AN$17,(AY13/DP!$AM$17)*(1+DP!$AO$17),IF(AW13=DP!$AN$18,(AY13/DP!$AM$18)*(1+DP!$AO$18),0*1))))</f>
        <v>0</v>
      </c>
      <c r="CA13" s="102">
        <f>IF(AW13=DP!$AN$22,(DP!$AQ$22),IF(AW13=DP!$AN$23,(DP!$AQ$23),IF(AW13=DP!$AN$24,(DP!$AQ$24),IF(AW13=DP!$AN$25,(DP!$AQ$25),((0*1))))))</f>
        <v>0</v>
      </c>
      <c r="CB13" s="93">
        <f t="shared" si="22"/>
        <v>0</v>
      </c>
      <c r="CC13" s="93">
        <f>IF(AW13=DP!$AN$15,AY13*(1+DP!$AO$15),IF(AW13=DP!$AN$16,AY13*(1+DP!$AO$16),IF(AW13=DP!$AN$17,AY13*(1+DP!$AO$17),IF(AW13=DP!$AN$18,AY13*(1+DP!$AO$18),0*1))))</f>
        <v>0</v>
      </c>
      <c r="CD13" s="102">
        <f>IF(AW13=DP!$AN$22,(DP!$AR$22),IF(AW13=DP!$AN$23,(DP!$AR$23),IF(AW13=DP!$AN$24,(DP!$AR$24),IF(AW13=DP!$AN$25,(DP!$AR$25),((0*1))))))</f>
        <v>0</v>
      </c>
      <c r="CE13" s="93">
        <f t="shared" si="23"/>
        <v>0</v>
      </c>
      <c r="CF13" s="100"/>
      <c r="CG13" s="148">
        <f t="shared" si="24"/>
        <v>0</v>
      </c>
      <c r="CH13" s="149">
        <f>DP!$N$35*BA13</f>
        <v>0</v>
      </c>
      <c r="CI13" s="149">
        <f>DP!$O$35*BA13</f>
        <v>0</v>
      </c>
      <c r="CJ13" s="149">
        <f>DP!$P$35*BA13</f>
        <v>0</v>
      </c>
    </row>
    <row r="14" spans="2:88" x14ac:dyDescent="0.35">
      <c r="B14" s="469">
        <f>DP!S20</f>
        <v>0</v>
      </c>
      <c r="C14" s="94" t="str">
        <f>DP!T20</f>
        <v>PALMITO TROZO 800</v>
      </c>
      <c r="D14" s="450">
        <f>DP!U20</f>
        <v>800</v>
      </c>
      <c r="E14" s="450">
        <f>DP!V20</f>
        <v>500</v>
      </c>
      <c r="F14" s="412">
        <f t="shared" si="0"/>
        <v>0</v>
      </c>
      <c r="G14" s="470">
        <f>DP!W20</f>
        <v>0</v>
      </c>
      <c r="H14" s="472">
        <f t="shared" si="1"/>
        <v>0</v>
      </c>
      <c r="I14" s="97"/>
      <c r="J14" s="102">
        <f t="shared" si="2"/>
        <v>0</v>
      </c>
      <c r="K14" s="98">
        <f t="shared" si="3"/>
        <v>0</v>
      </c>
      <c r="L14" s="93">
        <f t="shared" si="4"/>
        <v>0</v>
      </c>
      <c r="M14" s="99">
        <f t="shared" si="5"/>
        <v>0</v>
      </c>
      <c r="N14" s="100"/>
      <c r="O14" s="146">
        <f>($E14/DP!$M$29)*F14</f>
        <v>0</v>
      </c>
      <c r="P14" s="102">
        <f>IF(O14&gt;0,(DP!$M$31),0*1)</f>
        <v>0</v>
      </c>
      <c r="Q14" s="102">
        <f t="shared" si="6"/>
        <v>0</v>
      </c>
      <c r="R14" s="102">
        <f t="shared" si="7"/>
        <v>0</v>
      </c>
      <c r="S14" s="418">
        <f t="shared" si="8"/>
        <v>0</v>
      </c>
      <c r="T14" s="475">
        <f>H14*DP!$K$44</f>
        <v>0</v>
      </c>
      <c r="U14" s="475">
        <f>IF(H14&gt;0,DP!$L$44,0*1)</f>
        <v>0</v>
      </c>
      <c r="V14" s="475">
        <f t="shared" si="9"/>
        <v>0</v>
      </c>
      <c r="W14" s="475">
        <f>H14*DP!$K$45</f>
        <v>0</v>
      </c>
      <c r="X14" s="475">
        <f>IF(H14&gt;0,DP!$L$45,0*1)</f>
        <v>0</v>
      </c>
      <c r="Y14" s="475">
        <f t="shared" si="10"/>
        <v>0</v>
      </c>
      <c r="Z14" s="100"/>
      <c r="AA14" s="93">
        <f>IF(D14=DP!$L$15,F14*(1+DP!$M$15),IF(D14=DP!$L$16,F14*(1+DP!$M$16),IF(D14=DP!$L$17,F14*(1+DP!$M$17),IF(D14=DP!$L$18,F14*(1+DP!$M$18),0*1))))</f>
        <v>0</v>
      </c>
      <c r="AB14" s="102">
        <f>IF(D14=DP!$L$22,(DP!$M$22),IF(D14=DP!$L$23,(DP!$M$23),IF(D14=DP!$L$24,(DP!$M$24),IF(D14=DP!$L$25,(DP!$M$25),((0*1))))))</f>
        <v>0</v>
      </c>
      <c r="AC14" s="93">
        <f t="shared" si="11"/>
        <v>0</v>
      </c>
      <c r="AD14" s="93">
        <f>IF(D14=DP!$L$15,F14*(1+DP!$M$15),IF(D14=DP!$L$16,F14*(1+DP!$M$16),IF(D14=DP!$L$17,F14*(1+DP!$M$17),IF(D14=DP!$L$18,F14*(1+DP!$M$18),0*1))))</f>
        <v>0</v>
      </c>
      <c r="AE14" s="102">
        <f>IF(D14=DP!$L$22,(DP!$N$22),IF(D14=DP!$L$23,(DP!$N$23),IF(D14=DP!$L$24,(DP!$N$24),IF(D14=DP!$L$25,(DP!$N$25),((0*1))))))</f>
        <v>0</v>
      </c>
      <c r="AF14" s="93">
        <f t="shared" si="12"/>
        <v>0</v>
      </c>
      <c r="AG14" s="93">
        <f>IF(D14=DP!$L$15,(F14/DP!$K$15)*(1+DP!$M$15),IF(D14=DP!$L$16,(F14/DP!$K$16)*(1+DP!$M$16),IF(D14=DP!$L$17,(F14/DP!$K$17)*(1+DP!$M$17),IF(D14=DP!$L$18,(F14/DP!$K$18)*(1+DP!$M$18),0*1))))</f>
        <v>0</v>
      </c>
      <c r="AH14" s="102">
        <f>IF(D14=DP!$L$22,(DP!$O$22),IF(D14=DP!$L$23,(DP!$O$23),IF(D14=DP!$L$24,(DP!$O$24),IF(D14=DP!$L$25,(DP!$O$25),((0*1))))))</f>
        <v>0</v>
      </c>
      <c r="AI14" s="93">
        <f t="shared" si="13"/>
        <v>0</v>
      </c>
      <c r="AJ14" s="93">
        <f>IF(D14=DP!$L$15,F14*(1+DP!$M$15),IF(D14=DP!$L$16,F14*(1+DP!$M$16),IF(D14=DP!$L$17,F14*(1+DP!$M$17),IF(D14=DP!$L$18,F14*(1+DP!$M$18),0*1))))</f>
        <v>0</v>
      </c>
      <c r="AK14" s="102">
        <f>IF(D14=DP!$L$22,(DP!$P$22),IF(D14=DP!$L$23,(DP!$P$23),IF(D14=DP!$L$24,(DP!$P$24),IF(D14=DP!$L$25,(DP!$P$25),((0*1))))))</f>
        <v>0</v>
      </c>
      <c r="AL14" s="93">
        <f t="shared" si="14"/>
        <v>0</v>
      </c>
      <c r="AM14" s="100"/>
      <c r="AN14" s="149">
        <f t="shared" si="15"/>
        <v>0</v>
      </c>
      <c r="AO14" s="149">
        <f>DP!$N$35*H14</f>
        <v>0</v>
      </c>
      <c r="AP14" s="149">
        <f>DP!$O$35*H14</f>
        <v>0</v>
      </c>
      <c r="AQ14" s="149">
        <f>DP!$P$35*H14</f>
        <v>0</v>
      </c>
      <c r="AV14" s="412" t="str">
        <f>DP!AV20</f>
        <v>PIÑA TROZO A-10</v>
      </c>
      <c r="AW14" s="412">
        <f>DP!AW20</f>
        <v>2920</v>
      </c>
      <c r="AX14" s="412">
        <f>DP!AX20</f>
        <v>1825</v>
      </c>
      <c r="AY14" s="412">
        <f t="shared" si="25"/>
        <v>0</v>
      </c>
      <c r="AZ14" s="487">
        <f>DP!AY20</f>
        <v>0</v>
      </c>
      <c r="BA14" s="98">
        <f t="shared" si="16"/>
        <v>0</v>
      </c>
      <c r="BB14" s="97"/>
      <c r="BC14" s="102">
        <f t="shared" si="26"/>
        <v>0</v>
      </c>
      <c r="BD14" s="98">
        <f t="shared" si="27"/>
        <v>0</v>
      </c>
      <c r="BE14" s="93">
        <f t="shared" si="28"/>
        <v>0</v>
      </c>
      <c r="BF14" s="99">
        <f t="shared" si="29"/>
        <v>0</v>
      </c>
      <c r="BG14" s="100"/>
      <c r="BH14" s="102">
        <f>IFERROR((BA14*100%)/DP!$AO$29,(0*1))</f>
        <v>0</v>
      </c>
      <c r="BI14" s="102">
        <f>IF(BH14&gt;0,(DP!$AO$31),0*1)</f>
        <v>0</v>
      </c>
      <c r="BJ14" s="435">
        <f t="shared" si="17"/>
        <v>0</v>
      </c>
      <c r="BK14" s="475">
        <f>BA14*DP!$AM$44</f>
        <v>0</v>
      </c>
      <c r="BL14" s="475">
        <f>IF(BA14&gt;0,DP!$AN$44,0*1)</f>
        <v>0</v>
      </c>
      <c r="BM14" s="475">
        <f t="shared" si="18"/>
        <v>0</v>
      </c>
      <c r="BN14" s="102">
        <f>BA14*DP!$AM$45</f>
        <v>0</v>
      </c>
      <c r="BO14" s="102">
        <f>IF(BA14&gt;0,DP!$AN$45,0*1)</f>
        <v>0</v>
      </c>
      <c r="BP14" s="475">
        <f t="shared" si="19"/>
        <v>0</v>
      </c>
      <c r="BQ14" s="100"/>
      <c r="BR14" s="100"/>
      <c r="BS14" s="100"/>
      <c r="BT14" s="93">
        <f>IF(AW14=DP!$AN$15,AY14*(1+DP!$AO$15),IF(AW14=DP!$AN$16,AY14*(1+DP!$AO$16),IF(AW14=DP!$AN$17,AY14*(1+DP!$AO$17),IF(AW14=DP!$AN$18,AY14*(1+DP!$AO$18),0*1))))</f>
        <v>0</v>
      </c>
      <c r="BU14" s="102">
        <f>IF(AW14=DP!$AN$22,(DP!$AO$22),IF(AW14=DP!$AN$23,(DP!$AO$23),IF(AW14=DP!$AN$24,(DP!$AO$24),IF(AW14=DP!$AN$25,(DP!$AO$25),((0*1))))))</f>
        <v>0</v>
      </c>
      <c r="BV14" s="93">
        <f t="shared" si="20"/>
        <v>0</v>
      </c>
      <c r="BW14" s="93">
        <f>IF(AW14=DP!$AN$15,AY14*(1+DP!$AO$15),IF(AW14=DP!$AN$16,AY14*(1+DP!$AO$16),IF(AW14=DP!$AN$17,AY14*(1+DP!$AO$17),IF(AW14=DP!$AN$18,AY14*(1+DP!$AO$18),0*1))))</f>
        <v>0</v>
      </c>
      <c r="BX14" s="102">
        <f>IF(AW14=DP!$AN$22,(DP!$AP$22),IF(AW14=DP!$AN$23,(DP!$AP$23),IF(AW14=DP!$AN$24,(DP!$AP$24),IF(AW14=DP!$AN$25,(DP!$AP$25),((0*1))))))</f>
        <v>0</v>
      </c>
      <c r="BY14" s="93">
        <f t="shared" si="21"/>
        <v>0</v>
      </c>
      <c r="BZ14" s="93">
        <f>IF(AW14=DP!$AN$15,(AY14/DP!$AM$15)*(1+DP!$AO$15),IF(AW14=DP!$AN$16,(AY14/DP!$AM$16)*(1+DP!$AO$16),IF(AW14=DP!$AN$17,(AY14/DP!$AM$17)*(1+DP!$AO$17),IF(AW14=DP!$AN$18,(AY14/DP!$AM$18)*(1+DP!$AO$18),0*1))))</f>
        <v>0</v>
      </c>
      <c r="CA14" s="102">
        <f>IF(AW14=DP!$AN$22,(DP!$AQ$22),IF(AW14=DP!$AN$23,(DP!$AQ$23),IF(AW14=DP!$AN$24,(DP!$AQ$24),IF(AW14=DP!$AN$25,(DP!$AQ$25),((0*1))))))</f>
        <v>0</v>
      </c>
      <c r="CB14" s="93">
        <f t="shared" si="22"/>
        <v>0</v>
      </c>
      <c r="CC14" s="93">
        <f>IF(AW14=DP!$AN$15,AY14*(1+DP!$AO$15),IF(AW14=DP!$AN$16,AY14*(1+DP!$AO$16),IF(AW14=DP!$AN$17,AY14*(1+DP!$AO$17),IF(AW14=DP!$AN$18,AY14*(1+DP!$AO$18),0*1))))</f>
        <v>0</v>
      </c>
      <c r="CD14" s="102">
        <f>IF(AW14=DP!$AN$22,(DP!$AR$22),IF(AW14=DP!$AN$23,(DP!$AR$23),IF(AW14=DP!$AN$24,(DP!$AR$24),IF(AW14=DP!$AN$25,(DP!$AR$25),((0*1))))))</f>
        <v>0</v>
      </c>
      <c r="CE14" s="93">
        <f t="shared" si="23"/>
        <v>0</v>
      </c>
      <c r="CF14" s="100"/>
      <c r="CG14" s="148">
        <f t="shared" si="24"/>
        <v>0</v>
      </c>
      <c r="CH14" s="149">
        <f>DP!$N$35*BA14</f>
        <v>0</v>
      </c>
      <c r="CI14" s="149">
        <f>DP!$O$35*BA14</f>
        <v>0</v>
      </c>
      <c r="CJ14" s="149">
        <f>DP!$P$35*BA14</f>
        <v>0</v>
      </c>
    </row>
    <row r="15" spans="2:88" x14ac:dyDescent="0.35">
      <c r="B15" s="469">
        <f>DP!S21</f>
        <v>1</v>
      </c>
      <c r="C15" s="94" t="str">
        <f>DP!T21</f>
        <v>PALMITO ENTERO 400</v>
      </c>
      <c r="D15" s="450">
        <f>DP!U21</f>
        <v>400</v>
      </c>
      <c r="E15" s="450">
        <f>DP!V21</f>
        <v>220</v>
      </c>
      <c r="F15" s="412">
        <f t="shared" si="0"/>
        <v>0</v>
      </c>
      <c r="G15" s="470">
        <f>DP!W21</f>
        <v>0</v>
      </c>
      <c r="H15" s="472">
        <f t="shared" si="1"/>
        <v>0</v>
      </c>
      <c r="I15" s="97"/>
      <c r="J15" s="102">
        <f t="shared" si="2"/>
        <v>0</v>
      </c>
      <c r="K15" s="98">
        <f t="shared" si="3"/>
        <v>0</v>
      </c>
      <c r="L15" s="93">
        <f t="shared" si="4"/>
        <v>0</v>
      </c>
      <c r="M15" s="99">
        <f t="shared" si="5"/>
        <v>0</v>
      </c>
      <c r="N15" s="100"/>
      <c r="O15" s="146">
        <f>($E15/DP!$M$29)*F15</f>
        <v>0</v>
      </c>
      <c r="P15" s="102">
        <f>IF(O15&gt;0,(DP!$M$31),0*1)</f>
        <v>0</v>
      </c>
      <c r="Q15" s="102">
        <f t="shared" si="6"/>
        <v>0</v>
      </c>
      <c r="R15" s="102">
        <f t="shared" si="7"/>
        <v>0</v>
      </c>
      <c r="S15" s="418">
        <f t="shared" si="8"/>
        <v>0</v>
      </c>
      <c r="T15" s="475">
        <f>H15*DP!$K$44</f>
        <v>0</v>
      </c>
      <c r="U15" s="475">
        <f>IF(H15&gt;0,DP!$L$44,0*1)</f>
        <v>0</v>
      </c>
      <c r="V15" s="475">
        <f t="shared" si="9"/>
        <v>0</v>
      </c>
      <c r="W15" s="475">
        <f>H15*DP!$K$45</f>
        <v>0</v>
      </c>
      <c r="X15" s="475">
        <f>IF(H15&gt;0,DP!$L$45,0*1)</f>
        <v>0</v>
      </c>
      <c r="Y15" s="475">
        <f t="shared" si="10"/>
        <v>0</v>
      </c>
      <c r="Z15" s="100"/>
      <c r="AA15" s="93">
        <f>IF(D15=DP!$L$15,F15*(1+DP!$M$15),IF(D15=DP!$L$16,F15*(1+DP!$M$16),IF(D15=DP!$L$17,F15*(1+DP!$M$17),IF(D15=DP!$L$18,F15*(1+DP!$M$18),0*1))))</f>
        <v>0</v>
      </c>
      <c r="AB15" s="102">
        <f>IF(D15=DP!$L$22,(DP!$M$22),IF(D15=DP!$L$23,(DP!$M$23),IF(D15=DP!$L$24,(DP!$M$24),IF(D15=DP!$L$25,(DP!$M$25),((0*1))))))</f>
        <v>0</v>
      </c>
      <c r="AC15" s="93">
        <f t="shared" si="11"/>
        <v>0</v>
      </c>
      <c r="AD15" s="93">
        <f>IF(D15=DP!$L$15,F15*(1+DP!$M$15),IF(D15=DP!$L$16,F15*(1+DP!$M$16),IF(D15=DP!$L$17,F15*(1+DP!$M$17),IF(D15=DP!$L$18,F15*(1+DP!$M$18),0*1))))</f>
        <v>0</v>
      </c>
      <c r="AE15" s="102">
        <f>IF(D15=DP!$L$22,(DP!$N$22),IF(D15=DP!$L$23,(DP!$N$23),IF(D15=DP!$L$24,(DP!$N$24),IF(D15=DP!$L$25,(DP!$N$25),((0*1))))))</f>
        <v>0</v>
      </c>
      <c r="AF15" s="93">
        <f t="shared" si="12"/>
        <v>0</v>
      </c>
      <c r="AG15" s="93">
        <f>IF(D15=DP!$L$15,(F15/DP!$K$15)*(1+DP!$M$15),IF(D15=DP!$L$16,(F15/DP!$K$16)*(1+DP!$M$16),IF(D15=DP!$L$17,(F15/DP!$K$17)*(1+DP!$M$17),IF(D15=DP!$L$18,(F15/DP!$K$18)*(1+DP!$M$18),0*1))))</f>
        <v>0</v>
      </c>
      <c r="AH15" s="102">
        <f>IF(D15=DP!$L$22,(DP!$O$22),IF(D15=DP!$L$23,(DP!$O$23),IF(D15=DP!$L$24,(DP!$O$24),IF(D15=DP!$L$25,(DP!$O$25),((0*1))))))</f>
        <v>0</v>
      </c>
      <c r="AI15" s="93">
        <f t="shared" si="13"/>
        <v>0</v>
      </c>
      <c r="AJ15" s="93">
        <f>IF(D15=DP!$L$15,F15*(1+DP!$M$15),IF(D15=DP!$L$16,F15*(1+DP!$M$16),IF(D15=DP!$L$17,F15*(1+DP!$M$17),IF(D15=DP!$L$18,F15*(1+DP!$M$18),0*1))))</f>
        <v>0</v>
      </c>
      <c r="AK15" s="102">
        <f>IF(D15=DP!$L$22,(DP!$P$22),IF(D15=DP!$L$23,(DP!$P$23),IF(D15=DP!$L$24,(DP!$P$24),IF(D15=DP!$L$25,(DP!$P$25),((0*1))))))</f>
        <v>0</v>
      </c>
      <c r="AL15" s="93">
        <f t="shared" si="14"/>
        <v>0</v>
      </c>
      <c r="AM15" s="100"/>
      <c r="AN15" s="149">
        <f t="shared" si="15"/>
        <v>0</v>
      </c>
      <c r="AO15" s="149">
        <f>DP!$N$35*H15</f>
        <v>0</v>
      </c>
      <c r="AP15" s="149">
        <f>DP!$O$35*H15</f>
        <v>0</v>
      </c>
      <c r="AQ15" s="149">
        <f>DP!$P$35*H15</f>
        <v>0</v>
      </c>
      <c r="AV15" s="412" t="str">
        <f>DP!AV21</f>
        <v>PIÑA RODAJA A-10</v>
      </c>
      <c r="AW15" s="412">
        <f>DP!AW21</f>
        <v>2920</v>
      </c>
      <c r="AX15" s="412">
        <f>DP!AX21</f>
        <v>1825</v>
      </c>
      <c r="AY15" s="412">
        <f t="shared" si="25"/>
        <v>0</v>
      </c>
      <c r="AZ15" s="487">
        <f>DP!AY21</f>
        <v>0</v>
      </c>
      <c r="BA15" s="98">
        <f t="shared" si="16"/>
        <v>0</v>
      </c>
      <c r="BB15" s="97"/>
      <c r="BC15" s="102">
        <f t="shared" si="26"/>
        <v>0</v>
      </c>
      <c r="BD15" s="98">
        <f t="shared" si="27"/>
        <v>0</v>
      </c>
      <c r="BE15" s="93">
        <f t="shared" si="28"/>
        <v>0</v>
      </c>
      <c r="BF15" s="99">
        <f t="shared" si="29"/>
        <v>0</v>
      </c>
      <c r="BG15" s="100"/>
      <c r="BH15" s="102">
        <f>IFERROR((BA15*100%)/DP!$AO$29,(0*1))</f>
        <v>0</v>
      </c>
      <c r="BI15" s="102">
        <f>IF(BH15&gt;0,(DP!$AO$31),0*1)</f>
        <v>0</v>
      </c>
      <c r="BJ15" s="435">
        <f t="shared" si="17"/>
        <v>0</v>
      </c>
      <c r="BK15" s="475">
        <f>BA15*DP!$AM$44</f>
        <v>0</v>
      </c>
      <c r="BL15" s="475">
        <f>IF(BA15&gt;0,DP!$AN$44,0*1)</f>
        <v>0</v>
      </c>
      <c r="BM15" s="475">
        <f t="shared" si="18"/>
        <v>0</v>
      </c>
      <c r="BN15" s="102">
        <f>BA15*DP!$AM$45</f>
        <v>0</v>
      </c>
      <c r="BO15" s="102">
        <f>IF(BA15&gt;0,DP!$AN$45,0*1)</f>
        <v>0</v>
      </c>
      <c r="BP15" s="475">
        <f t="shared" si="19"/>
        <v>0</v>
      </c>
      <c r="BQ15" s="100"/>
      <c r="BR15" s="100"/>
      <c r="BS15" s="100"/>
      <c r="BT15" s="93">
        <f>IF(AW15=DP!$AN$15,AY15*(1+DP!$AO$15),IF(AW15=DP!$AN$16,AY15*(1+DP!$AO$16),IF(AW15=DP!$AN$17,AY15*(1+DP!$AO$17),IF(AW15=DP!$AN$18,AY15*(1+DP!$AO$18),0*1))))</f>
        <v>0</v>
      </c>
      <c r="BU15" s="102">
        <f>IF(AW15=DP!$AN$22,(DP!$AO$22),IF(AW15=DP!$AN$23,(DP!$AO$23),IF(AW15=DP!$AN$24,(DP!$AO$24),IF(AW15=DP!$AN$25,(DP!$AO$25),((0*1))))))</f>
        <v>0</v>
      </c>
      <c r="BV15" s="93">
        <f t="shared" si="20"/>
        <v>0</v>
      </c>
      <c r="BW15" s="93">
        <f>IF(AW15=DP!$AN$15,AY15*(1+DP!$AO$15),IF(AW15=DP!$AN$16,AY15*(1+DP!$AO$16),IF(AW15=DP!$AN$17,AY15*(1+DP!$AO$17),IF(AW15=DP!$AN$18,AY15*(1+DP!$AO$18),0*1))))</f>
        <v>0</v>
      </c>
      <c r="BX15" s="102">
        <f>IF(AW15=DP!$AN$22,(DP!$AP$22),IF(AW15=DP!$AN$23,(DP!$AP$23),IF(AW15=DP!$AN$24,(DP!$AP$24),IF(AW15=DP!$AN$25,(DP!$AP$25),((0*1))))))</f>
        <v>0</v>
      </c>
      <c r="BY15" s="93">
        <f t="shared" si="21"/>
        <v>0</v>
      </c>
      <c r="BZ15" s="93">
        <f>IF(AW15=DP!$AN$15,(AY15/DP!$AM$15)*(1+DP!$AO$15),IF(AW15=DP!$AN$16,(AY15/DP!$AM$16)*(1+DP!$AO$16),IF(AW15=DP!$AN$17,(AY15/DP!$AM$17)*(1+DP!$AO$17),IF(AW15=DP!$AN$18,(AY15/DP!$AM$18)*(1+DP!$AO$18),0*1))))</f>
        <v>0</v>
      </c>
      <c r="CA15" s="102">
        <f>IF(AW15=DP!$AN$22,(DP!$AQ$22),IF(AW15=DP!$AN$23,(DP!$AQ$23),IF(AW15=DP!$AN$24,(DP!$AQ$24),IF(AW15=DP!$AN$25,(DP!$AQ$25),((0*1))))))</f>
        <v>0</v>
      </c>
      <c r="CB15" s="93">
        <f t="shared" si="22"/>
        <v>0</v>
      </c>
      <c r="CC15" s="93">
        <f>IF(AW15=DP!$AN$15,AY15*(1+DP!$AO$15),IF(AW15=DP!$AN$16,AY15*(1+DP!$AO$16),IF(AW15=DP!$AN$17,AY15*(1+DP!$AO$17),IF(AW15=DP!$AN$18,AY15*(1+DP!$AO$18),0*1))))</f>
        <v>0</v>
      </c>
      <c r="CD15" s="102">
        <f>IF(AW15=DP!$AN$22,(DP!$AR$22),IF(AW15=DP!$AN$23,(DP!$AR$23),IF(AW15=DP!$AN$24,(DP!$AR$24),IF(AW15=DP!$AN$25,(DP!$AR$25),((0*1))))))</f>
        <v>0</v>
      </c>
      <c r="CE15" s="93">
        <f t="shared" si="23"/>
        <v>0</v>
      </c>
      <c r="CF15" s="100"/>
      <c r="CG15" s="148">
        <f t="shared" si="24"/>
        <v>0</v>
      </c>
      <c r="CH15" s="149">
        <f>DP!$N$35*BA15</f>
        <v>0</v>
      </c>
      <c r="CI15" s="149">
        <f>DP!$O$35*BA15</f>
        <v>0</v>
      </c>
      <c r="CJ15" s="149">
        <f>DP!$P$35*BA15</f>
        <v>0</v>
      </c>
    </row>
    <row r="16" spans="2:88" x14ac:dyDescent="0.35">
      <c r="B16" s="469">
        <f>DP!S22</f>
        <v>0</v>
      </c>
      <c r="C16" s="94" t="str">
        <f>DP!T22</f>
        <v>PALMITO RODAJA 400</v>
      </c>
      <c r="D16" s="450">
        <f>DP!U22</f>
        <v>400</v>
      </c>
      <c r="E16" s="450">
        <f>DP!V22</f>
        <v>220</v>
      </c>
      <c r="F16" s="412">
        <f t="shared" si="0"/>
        <v>0</v>
      </c>
      <c r="G16" s="470">
        <f>DP!W22</f>
        <v>0</v>
      </c>
      <c r="H16" s="472">
        <f t="shared" si="1"/>
        <v>0</v>
      </c>
      <c r="I16" s="97"/>
      <c r="J16" s="102">
        <f t="shared" si="2"/>
        <v>0</v>
      </c>
      <c r="K16" s="98">
        <f t="shared" si="3"/>
        <v>0</v>
      </c>
      <c r="L16" s="93">
        <f t="shared" si="4"/>
        <v>0</v>
      </c>
      <c r="M16" s="99">
        <f t="shared" si="5"/>
        <v>0</v>
      </c>
      <c r="N16" s="100"/>
      <c r="O16" s="146">
        <f>($E16/DP!$M$29)*F16</f>
        <v>0</v>
      </c>
      <c r="P16" s="102">
        <f>IF(O16&gt;0,(DP!$M$31),0*1)</f>
        <v>0</v>
      </c>
      <c r="Q16" s="102">
        <f t="shared" si="6"/>
        <v>0</v>
      </c>
      <c r="R16" s="102">
        <f t="shared" si="7"/>
        <v>0</v>
      </c>
      <c r="S16" s="418">
        <f t="shared" si="8"/>
        <v>0</v>
      </c>
      <c r="T16" s="475">
        <f>H16*DP!$K$44</f>
        <v>0</v>
      </c>
      <c r="U16" s="475">
        <f>IF(H16&gt;0,DP!$L$44,0*1)</f>
        <v>0</v>
      </c>
      <c r="V16" s="475">
        <f t="shared" si="9"/>
        <v>0</v>
      </c>
      <c r="W16" s="475">
        <f>H16*DP!$K$45</f>
        <v>0</v>
      </c>
      <c r="X16" s="475">
        <f>IF(H16&gt;0,DP!$L$45,0*1)</f>
        <v>0</v>
      </c>
      <c r="Y16" s="475">
        <f t="shared" si="10"/>
        <v>0</v>
      </c>
      <c r="Z16" s="100"/>
      <c r="AA16" s="93">
        <f>IF(D16=DP!$L$15,F16*(1+DP!$M$15),IF(D16=DP!$L$16,F16*(1+DP!$M$16),IF(D16=DP!$L$17,F16*(1+DP!$M$17),IF(D16=DP!$L$18,F16*(1+DP!$M$18),0*1))))</f>
        <v>0</v>
      </c>
      <c r="AB16" s="102">
        <f>IF(D16=DP!$L$22,(DP!$M$22),IF(D16=DP!$L$23,(DP!$M$23),IF(D16=DP!$L$24,(DP!$M$24),IF(D16=DP!$L$25,(DP!$M$25),((0*1))))))</f>
        <v>0</v>
      </c>
      <c r="AC16" s="93">
        <f t="shared" si="11"/>
        <v>0</v>
      </c>
      <c r="AD16" s="93">
        <f>IF(D16=DP!$L$15,F16*(1+DP!$M$15),IF(D16=DP!$L$16,F16*(1+DP!$M$16),IF(D16=DP!$L$17,F16*(1+DP!$M$17),IF(D16=DP!$L$18,F16*(1+DP!$M$18),0*1))))</f>
        <v>0</v>
      </c>
      <c r="AE16" s="102">
        <f>IF(D16=DP!$L$22,(DP!$N$22),IF(D16=DP!$L$23,(DP!$N$23),IF(D16=DP!$L$24,(DP!$N$24),IF(D16=DP!$L$25,(DP!$N$25),((0*1))))))</f>
        <v>0</v>
      </c>
      <c r="AF16" s="93">
        <f t="shared" si="12"/>
        <v>0</v>
      </c>
      <c r="AG16" s="93">
        <f>IF(D16=DP!$L$15,(F16/DP!$K$15)*(1+DP!$M$15),IF(D16=DP!$L$16,(F16/DP!$K$16)*(1+DP!$M$16),IF(D16=DP!$L$17,(F16/DP!$K$17)*(1+DP!$M$17),IF(D16=DP!$L$18,(F16/DP!$K$18)*(1+DP!$M$18),0*1))))</f>
        <v>0</v>
      </c>
      <c r="AH16" s="102">
        <f>IF(D16=DP!$L$22,(DP!$O$22),IF(D16=DP!$L$23,(DP!$O$23),IF(D16=DP!$L$24,(DP!$O$24),IF(D16=DP!$L$25,(DP!$O$25),((0*1))))))</f>
        <v>0</v>
      </c>
      <c r="AI16" s="93">
        <f t="shared" si="13"/>
        <v>0</v>
      </c>
      <c r="AJ16" s="93">
        <f>IF(D16=DP!$L$15,F16*(1+DP!$M$15),IF(D16=DP!$L$16,F16*(1+DP!$M$16),IF(D16=DP!$L$17,F16*(1+DP!$M$17),IF(D16=DP!$L$18,F16*(1+DP!$M$18),0*1))))</f>
        <v>0</v>
      </c>
      <c r="AK16" s="102">
        <f>IF(D16=DP!$L$22,(DP!$P$22),IF(D16=DP!$L$23,(DP!$P$23),IF(D16=DP!$L$24,(DP!$P$24),IF(D16=DP!$L$25,(DP!$P$25),((0*1))))))</f>
        <v>0</v>
      </c>
      <c r="AL16" s="93">
        <f t="shared" si="14"/>
        <v>0</v>
      </c>
      <c r="AM16" s="100"/>
      <c r="AN16" s="149">
        <f t="shared" si="15"/>
        <v>0</v>
      </c>
      <c r="AO16" s="149">
        <f>DP!$N$35*H16</f>
        <v>0</v>
      </c>
      <c r="AP16" s="149">
        <f>DP!$O$35*H16</f>
        <v>0</v>
      </c>
      <c r="AQ16" s="149">
        <f>DP!$P$35*H16</f>
        <v>0</v>
      </c>
      <c r="AV16" s="412" t="str">
        <f>DP!AV22</f>
        <v>PIÑA RODAJA 567</v>
      </c>
      <c r="AW16" s="412">
        <f>DP!AW22</f>
        <v>567</v>
      </c>
      <c r="AX16" s="412">
        <f>DP!AX22</f>
        <v>340</v>
      </c>
      <c r="AY16" s="412">
        <f t="shared" si="25"/>
        <v>270000</v>
      </c>
      <c r="AZ16" s="487">
        <f>DP!AY22</f>
        <v>0.5</v>
      </c>
      <c r="BA16" s="98">
        <f t="shared" si="16"/>
        <v>91800</v>
      </c>
      <c r="BB16" s="97"/>
      <c r="BC16" s="102">
        <f>IF(AY16&gt;0,BE16/AY16,0*1)</f>
        <v>0.96041166831383962</v>
      </c>
      <c r="BD16" s="98">
        <f t="shared" si="27"/>
        <v>0.83461166831383959</v>
      </c>
      <c r="BE16" s="93">
        <f>IF(AY16&gt;0,BF16+CJ16,0*1)</f>
        <v>259311.1504447367</v>
      </c>
      <c r="BF16" s="99">
        <f>IF(AY16&gt;0,(BJ16+BM16+BP16+BV16+BY16+CB16+CE16+CG16),0*1)</f>
        <v>225345.1504447367</v>
      </c>
      <c r="BG16" s="100"/>
      <c r="BH16" s="102">
        <f>IFERROR((BA16*100%)/DP!$AO$29,(0*1))</f>
        <v>204000</v>
      </c>
      <c r="BI16" s="102">
        <f>IF(BH16&gt;0,(DP!$AO$31),0*1)</f>
        <v>0.45</v>
      </c>
      <c r="BJ16" s="435">
        <f t="shared" si="17"/>
        <v>91800</v>
      </c>
      <c r="BK16" s="475">
        <f>BA16*DP!$AM$44</f>
        <v>229.5</v>
      </c>
      <c r="BL16" s="475">
        <f>IF(BA16&gt;0,DP!$AN$44,0*1)</f>
        <v>0.95</v>
      </c>
      <c r="BM16" s="475">
        <f t="shared" si="18"/>
        <v>218.02499999999998</v>
      </c>
      <c r="BN16" s="102">
        <f>BA16*DP!$AM$45</f>
        <v>15238.800000000001</v>
      </c>
      <c r="BO16" s="102">
        <f>IF(BA16&gt;0,DP!$AN$45,0*1)</f>
        <v>0.76919999999999999</v>
      </c>
      <c r="BP16" s="475">
        <f t="shared" si="19"/>
        <v>11721.684960000001</v>
      </c>
      <c r="BQ16" s="100"/>
      <c r="BR16" s="100"/>
      <c r="BS16" s="100"/>
      <c r="BT16" s="93">
        <f>IF(AW16=DP!$AN$15,AY16*(1+DP!$AO$15),IF(AW16=DP!$AN$16,AY16*(1+DP!$AO$16),IF(AW16=DP!$AN$17,AY16*(1+DP!$AO$17),IF(AW16=DP!$AN$18,AY16*(1+DP!$AO$18),0*1))))</f>
        <v>271350</v>
      </c>
      <c r="BU16" s="102">
        <f>IF(AW16=DP!$AN$22,(DP!$AO$22),IF(AW16=DP!$AN$23,(DP!$AO$23),IF(AW16=DP!$AN$24,(DP!$AO$24),IF(AW16=DP!$AN$25,(DP!$AO$25),((0*1))))))</f>
        <v>0.23</v>
      </c>
      <c r="BV16" s="93">
        <f t="shared" si="20"/>
        <v>62410.5</v>
      </c>
      <c r="BW16" s="93">
        <f>IF(AW16=DP!$AN$15,AY16*(1+DP!$AO$15),IF(AW16=DP!$AN$16,AY16*(1+DP!$AO$16),IF(AW16=DP!$AN$17,AY16*(1+DP!$AO$17),IF(AW16=DP!$AN$18,AY16*(1+DP!$AO$18),0*1))))</f>
        <v>271350</v>
      </c>
      <c r="BX16" s="102">
        <f>IF(AW16=DP!$AN$22,(DP!$AP$22),IF(AW16=DP!$AN$23,(DP!$AP$23),IF(AW16=DP!$AN$24,(DP!$AP$24),IF(AW16=DP!$AN$25,(DP!$AP$25),((0*1))))))</f>
        <v>5.5E-2</v>
      </c>
      <c r="BY16" s="93">
        <f t="shared" si="21"/>
        <v>14924.25</v>
      </c>
      <c r="BZ16" s="93">
        <f>IF(AW16=DP!$AN$15,(AY16/DP!$AM$15)*(1+DP!$AO$15),IF(AW16=DP!$AN$16,(AY16/DP!$AM$16)*(1+DP!$AO$16),IF(AW16=DP!$AN$17,(AY16/DP!$AM$17)*(1+DP!$AO$17),IF(AW16=DP!$AN$18,(AY16/DP!$AM$18)*(1+DP!$AO$18),0*1))))</f>
        <v>11306.249999999998</v>
      </c>
      <c r="CA16" s="102">
        <f>IF(AW16=DP!$AN$22,(DP!$AQ$22),IF(AW16=DP!$AN$23,(DP!$AQ$23),IF(AW16=DP!$AN$24,(DP!$AQ$24),IF(AW16=DP!$AN$25,(DP!$AQ$25),((0*1))))))</f>
        <v>0.51199999999999923</v>
      </c>
      <c r="CB16" s="93">
        <f t="shared" si="22"/>
        <v>5788.7999999999902</v>
      </c>
      <c r="CC16" s="93">
        <f>IF(AW16=DP!$AN$15,AY16*(1+DP!$AO$15),IF(AW16=DP!$AN$16,AY16*(1+DP!$AO$16),IF(AW16=DP!$AN$17,AY16*(1+DP!$AO$17),IF(AW16=DP!$AN$18,AY16*(1+DP!$AO$18),0*1))))</f>
        <v>271350</v>
      </c>
      <c r="CD16" s="102">
        <f>IF(AW16=DP!$AN$22,(DP!$AR$22),IF(AW16=DP!$AN$23,(DP!$AR$23),IF(AW16=DP!$AN$24,(DP!$AR$24),IF(AW16=DP!$AN$25,(DP!$AR$25),((0*1))))))</f>
        <v>3.3045977011494254E-2</v>
      </c>
      <c r="CE16" s="93">
        <f t="shared" si="23"/>
        <v>8967.0258620689656</v>
      </c>
      <c r="CF16" s="100"/>
      <c r="CG16" s="148">
        <f t="shared" si="24"/>
        <v>29514.864622667745</v>
      </c>
      <c r="CH16" s="149">
        <f>DP!$N$35*BA16</f>
        <v>1318.9655172413795</v>
      </c>
      <c r="CI16" s="149">
        <f>DP!$O$35*BA16</f>
        <v>5012.0689655172418</v>
      </c>
      <c r="CJ16" s="149">
        <f>DP!$P$35*BA16</f>
        <v>33966</v>
      </c>
    </row>
    <row r="17" spans="2:88" x14ac:dyDescent="0.35">
      <c r="B17" s="469">
        <f>DP!S23</f>
        <v>0</v>
      </c>
      <c r="C17" s="94" t="str">
        <f>DP!T23</f>
        <v>PALMITO TROZO 400</v>
      </c>
      <c r="D17" s="450">
        <f>DP!U23</f>
        <v>400</v>
      </c>
      <c r="E17" s="450">
        <f>DP!V23</f>
        <v>236</v>
      </c>
      <c r="F17" s="412">
        <f t="shared" si="0"/>
        <v>0</v>
      </c>
      <c r="G17" s="470">
        <f>DP!W23</f>
        <v>0</v>
      </c>
      <c r="H17" s="472">
        <f t="shared" si="1"/>
        <v>0</v>
      </c>
      <c r="I17" s="97"/>
      <c r="J17" s="102">
        <f t="shared" si="2"/>
        <v>0</v>
      </c>
      <c r="K17" s="98">
        <f t="shared" si="3"/>
        <v>0</v>
      </c>
      <c r="L17" s="93">
        <f t="shared" si="4"/>
        <v>0</v>
      </c>
      <c r="M17" s="99">
        <f t="shared" si="5"/>
        <v>0</v>
      </c>
      <c r="N17" s="100"/>
      <c r="O17" s="146">
        <f>($E17/DP!$M$29)*F17</f>
        <v>0</v>
      </c>
      <c r="P17" s="102">
        <f>IF(O17&gt;0,(DP!$M$31),0*1)</f>
        <v>0</v>
      </c>
      <c r="Q17" s="102">
        <f t="shared" si="6"/>
        <v>0</v>
      </c>
      <c r="R17" s="102">
        <f t="shared" si="7"/>
        <v>0</v>
      </c>
      <c r="S17" s="418">
        <f t="shared" si="8"/>
        <v>0</v>
      </c>
      <c r="T17" s="475">
        <f>H17*DP!$K$44</f>
        <v>0</v>
      </c>
      <c r="U17" s="475">
        <f>IF(H17&gt;0,DP!$L$44,0*1)</f>
        <v>0</v>
      </c>
      <c r="V17" s="475">
        <f t="shared" si="9"/>
        <v>0</v>
      </c>
      <c r="W17" s="475">
        <f>H17*DP!$K$45</f>
        <v>0</v>
      </c>
      <c r="X17" s="475">
        <f>IF(H17&gt;0,DP!$L$45,0*1)</f>
        <v>0</v>
      </c>
      <c r="Y17" s="475">
        <f t="shared" si="10"/>
        <v>0</v>
      </c>
      <c r="Z17" s="100"/>
      <c r="AA17" s="93">
        <f>IF(D17=DP!$L$15,F17*(1+DP!$M$15),IF(D17=DP!$L$16,F17*(1+DP!$M$16),IF(D17=DP!$L$17,F17*(1+DP!$M$17),IF(D17=DP!$L$18,F17*(1+DP!$M$18),0*1))))</f>
        <v>0</v>
      </c>
      <c r="AB17" s="102">
        <f>IF(D17=DP!$L$22,(DP!$M$22),IF(D17=DP!$L$23,(DP!$M$23),IF(D17=DP!$L$24,(DP!$M$24),IF(D17=DP!$L$25,(DP!$M$25),((0*1))))))</f>
        <v>0</v>
      </c>
      <c r="AC17" s="93">
        <f t="shared" si="11"/>
        <v>0</v>
      </c>
      <c r="AD17" s="93">
        <f>IF(D17=DP!$L$15,F17*(1+DP!$M$15),IF(D17=DP!$L$16,F17*(1+DP!$M$16),IF(D17=DP!$L$17,F17*(1+DP!$M$17),IF(D17=DP!$L$18,F17*(1+DP!$M$18),0*1))))</f>
        <v>0</v>
      </c>
      <c r="AE17" s="102">
        <f>IF(D17=DP!$L$22,(DP!$N$22),IF(D17=DP!$L$23,(DP!$N$23),IF(D17=DP!$L$24,(DP!$N$24),IF(D17=DP!$L$25,(DP!$N$25),((0*1))))))</f>
        <v>0</v>
      </c>
      <c r="AF17" s="93">
        <f t="shared" si="12"/>
        <v>0</v>
      </c>
      <c r="AG17" s="93">
        <f>IF(D17=DP!$L$15,(F17/DP!$K$15)*(1+DP!$M$15),IF(D17=DP!$L$16,(F17/DP!$K$16)*(1+DP!$M$16),IF(D17=DP!$L$17,(F17/DP!$K$17)*(1+DP!$M$17),IF(D17=DP!$L$18,(F17/DP!$K$18)*(1+DP!$M$18),0*1))))</f>
        <v>0</v>
      </c>
      <c r="AH17" s="102">
        <f>IF(D17=DP!$L$22,(DP!$O$22),IF(D17=DP!$L$23,(DP!$O$23),IF(D17=DP!$L$24,(DP!$O$24),IF(D17=DP!$L$25,(DP!$O$25),((0*1))))))</f>
        <v>0</v>
      </c>
      <c r="AI17" s="93">
        <f t="shared" si="13"/>
        <v>0</v>
      </c>
      <c r="AJ17" s="93">
        <f>IF(D17=DP!$L$15,F17*(1+DP!$M$15),IF(D17=DP!$L$16,F17*(1+DP!$M$16),IF(D17=DP!$L$17,F17*(1+DP!$M$17),IF(D17=DP!$L$18,F17*(1+DP!$M$18),0*1))))</f>
        <v>0</v>
      </c>
      <c r="AK17" s="102">
        <f>IF(D17=DP!$L$22,(DP!$P$22),IF(D17=DP!$L$23,(DP!$P$23),IF(D17=DP!$L$24,(DP!$P$24),IF(D17=DP!$L$25,(DP!$P$25),((0*1))))))</f>
        <v>0</v>
      </c>
      <c r="AL17" s="93">
        <f t="shared" si="14"/>
        <v>0</v>
      </c>
      <c r="AM17" s="100"/>
      <c r="AN17" s="149">
        <f t="shared" si="15"/>
        <v>0</v>
      </c>
      <c r="AO17" s="149">
        <f>DP!$N$35*H17</f>
        <v>0</v>
      </c>
      <c r="AP17" s="149">
        <f>DP!$O$35*H17</f>
        <v>0</v>
      </c>
      <c r="AQ17" s="149">
        <f>DP!$P$35*H17</f>
        <v>0</v>
      </c>
      <c r="AV17" s="412" t="str">
        <f>DP!AV23</f>
        <v>PIÑA TROZO 567</v>
      </c>
      <c r="AW17" s="412">
        <f>DP!AW23</f>
        <v>567</v>
      </c>
      <c r="AX17" s="412">
        <f>DP!AX23</f>
        <v>340</v>
      </c>
      <c r="AY17" s="412">
        <f t="shared" si="25"/>
        <v>108000</v>
      </c>
      <c r="AZ17" s="487">
        <f>DP!AY23</f>
        <v>0.2</v>
      </c>
      <c r="BA17" s="98">
        <f t="shared" si="16"/>
        <v>36720</v>
      </c>
      <c r="BB17" s="97"/>
      <c r="BC17" s="102">
        <f t="shared" si="26"/>
        <v>0.9604116683138394</v>
      </c>
      <c r="BD17" s="98">
        <f t="shared" si="27"/>
        <v>0.83461166831383948</v>
      </c>
      <c r="BE17" s="93">
        <f t="shared" si="28"/>
        <v>103724.46017789465</v>
      </c>
      <c r="BF17" s="99">
        <f t="shared" si="29"/>
        <v>90138.060177894658</v>
      </c>
      <c r="BG17" s="100"/>
      <c r="BH17" s="102">
        <f>IFERROR((BA17*100%)/DP!$AO$29,(0*1))</f>
        <v>81600</v>
      </c>
      <c r="BI17" s="102">
        <f>IF(BH17&gt;0,(DP!$AO$31),0*1)</f>
        <v>0.45</v>
      </c>
      <c r="BJ17" s="435">
        <f t="shared" si="17"/>
        <v>36720</v>
      </c>
      <c r="BK17" s="475">
        <f>BA17*DP!$AM$44</f>
        <v>91.8</v>
      </c>
      <c r="BL17" s="475">
        <f>IF(BA17&gt;0,DP!$AN$44,0*1)</f>
        <v>0.95</v>
      </c>
      <c r="BM17" s="475">
        <f t="shared" si="18"/>
        <v>87.21</v>
      </c>
      <c r="BN17" s="102">
        <f>BA17*DP!$AM$45</f>
        <v>6095.52</v>
      </c>
      <c r="BO17" s="102">
        <f>IF(BA17&gt;0,DP!$AN$45,0*1)</f>
        <v>0.76919999999999999</v>
      </c>
      <c r="BP17" s="475">
        <f t="shared" si="19"/>
        <v>4688.673984</v>
      </c>
      <c r="BQ17" s="100"/>
      <c r="BR17" s="100"/>
      <c r="BS17" s="100"/>
      <c r="BT17" s="93">
        <f>IF(AW17=DP!$AN$15,AY17*(1+DP!$AO$15),IF(AW17=DP!$AN$16,AY17*(1+DP!$AO$16),IF(AW17=DP!$AN$17,AY17*(1+DP!$AO$17),IF(AW17=DP!$AN$18,AY17*(1+DP!$AO$18),0*1))))</f>
        <v>108539.99999999999</v>
      </c>
      <c r="BU17" s="102">
        <f>IF(AW17=DP!$AN$22,(DP!$AO$22),IF(AW17=DP!$AN$23,(DP!$AO$23),IF(AW17=DP!$AN$24,(DP!$AO$24),IF(AW17=DP!$AN$25,(DP!$AO$25),((0*1))))))</f>
        <v>0.23</v>
      </c>
      <c r="BV17" s="93">
        <f t="shared" si="20"/>
        <v>24964.199999999997</v>
      </c>
      <c r="BW17" s="93">
        <f>IF(AW17=DP!$AN$15,AY17*(1+DP!$AO$15),IF(AW17=DP!$AN$16,AY17*(1+DP!$AO$16),IF(AW17=DP!$AN$17,AY17*(1+DP!$AO$17),IF(AW17=DP!$AN$18,AY17*(1+DP!$AO$18),0*1))))</f>
        <v>108539.99999999999</v>
      </c>
      <c r="BX17" s="102">
        <f>IF(AW17=DP!$AN$22,(DP!$AP$22),IF(AW17=DP!$AN$23,(DP!$AP$23),IF(AW17=DP!$AN$24,(DP!$AP$24),IF(AW17=DP!$AN$25,(DP!$AP$25),((0*1))))))</f>
        <v>5.5E-2</v>
      </c>
      <c r="BY17" s="93">
        <f t="shared" si="21"/>
        <v>5969.6999999999989</v>
      </c>
      <c r="BZ17" s="93">
        <f>IF(AW17=DP!$AN$15,(AY17/DP!$AM$15)*(1+DP!$AO$15),IF(AW17=DP!$AN$16,(AY17/DP!$AM$16)*(1+DP!$AO$16),IF(AW17=DP!$AN$17,(AY17/DP!$AM$17)*(1+DP!$AO$17),IF(AW17=DP!$AN$18,(AY17/DP!$AM$18)*(1+DP!$AO$18),0*1))))</f>
        <v>4522.4999999999991</v>
      </c>
      <c r="CA17" s="102">
        <f>IF(AW17=DP!$AN$22,(DP!$AQ$22),IF(AW17=DP!$AN$23,(DP!$AQ$23),IF(AW17=DP!$AN$24,(DP!$AQ$24),IF(AW17=DP!$AN$25,(DP!$AQ$25),((0*1))))))</f>
        <v>0.51199999999999923</v>
      </c>
      <c r="CB17" s="93">
        <f t="shared" si="22"/>
        <v>2315.5199999999959</v>
      </c>
      <c r="CC17" s="93">
        <f>IF(AW17=DP!$AN$15,AY17*(1+DP!$AO$15),IF(AW17=DP!$AN$16,AY17*(1+DP!$AO$16),IF(AW17=DP!$AN$17,AY17*(1+DP!$AO$17),IF(AW17=DP!$AN$18,AY17*(1+DP!$AO$18),0*1))))</f>
        <v>108539.99999999999</v>
      </c>
      <c r="CD17" s="102">
        <f>IF(AW17=DP!$AN$22,(DP!$AR$22),IF(AW17=DP!$AN$23,(DP!$AR$23),IF(AW17=DP!$AN$24,(DP!$AR$24),IF(AW17=DP!$AN$25,(DP!$AR$25),((0*1))))))</f>
        <v>3.3045977011494254E-2</v>
      </c>
      <c r="CE17" s="93">
        <f t="shared" si="23"/>
        <v>3586.8103448275861</v>
      </c>
      <c r="CF17" s="100"/>
      <c r="CG17" s="148">
        <f t="shared" si="24"/>
        <v>11805.945849067097</v>
      </c>
      <c r="CH17" s="149">
        <f>DP!$N$35*BA17</f>
        <v>527.58620689655174</v>
      </c>
      <c r="CI17" s="149">
        <f>DP!$O$35*BA17</f>
        <v>2004.8275862068967</v>
      </c>
      <c r="CJ17" s="149">
        <f>DP!$P$35*BA17</f>
        <v>13586.4</v>
      </c>
    </row>
    <row r="18" spans="2:88" x14ac:dyDescent="0.35">
      <c r="B18" s="469">
        <f>DP!S24</f>
        <v>0</v>
      </c>
      <c r="C18" s="94" t="str">
        <f>DP!T24</f>
        <v>PALMITO TROZO  A-10</v>
      </c>
      <c r="D18" s="450">
        <f>DP!U24</f>
        <v>2920</v>
      </c>
      <c r="E18" s="450">
        <f>DP!V24</f>
        <v>1825</v>
      </c>
      <c r="F18" s="412">
        <f t="shared" si="0"/>
        <v>0</v>
      </c>
      <c r="G18" s="470">
        <f>DP!W24</f>
        <v>0</v>
      </c>
      <c r="H18" s="472">
        <f t="shared" si="1"/>
        <v>0</v>
      </c>
      <c r="I18" s="97"/>
      <c r="J18" s="102">
        <f t="shared" si="2"/>
        <v>0</v>
      </c>
      <c r="K18" s="98">
        <f t="shared" si="3"/>
        <v>0</v>
      </c>
      <c r="L18" s="93">
        <f t="shared" si="4"/>
        <v>0</v>
      </c>
      <c r="M18" s="99">
        <f t="shared" si="5"/>
        <v>0</v>
      </c>
      <c r="N18" s="100"/>
      <c r="O18" s="146">
        <f>($E18/DP!$M$29)*F18</f>
        <v>0</v>
      </c>
      <c r="P18" s="102">
        <f>IF(O18&gt;0,(DP!$M$31),0*1)</f>
        <v>0</v>
      </c>
      <c r="Q18" s="102">
        <f t="shared" si="6"/>
        <v>0</v>
      </c>
      <c r="R18" s="102">
        <f t="shared" si="7"/>
        <v>0</v>
      </c>
      <c r="S18" s="418">
        <f t="shared" si="8"/>
        <v>0</v>
      </c>
      <c r="T18" s="475">
        <f>H18*DP!$K$44</f>
        <v>0</v>
      </c>
      <c r="U18" s="475">
        <f>IF(H18&gt;0,DP!$L$44,0*1)</f>
        <v>0</v>
      </c>
      <c r="V18" s="475">
        <f t="shared" si="9"/>
        <v>0</v>
      </c>
      <c r="W18" s="475">
        <f>H18*DP!$K$45</f>
        <v>0</v>
      </c>
      <c r="X18" s="475">
        <f>IF(H18&gt;0,DP!$L$45,0*1)</f>
        <v>0</v>
      </c>
      <c r="Y18" s="475">
        <f t="shared" si="10"/>
        <v>0</v>
      </c>
      <c r="Z18" s="100"/>
      <c r="AA18" s="93">
        <f>IF(D18=DP!$L$15,F18*(1+DP!$M$15),IF(D18=DP!$L$16,F18*(1+DP!$M$16),IF(D18=DP!$L$17,F18*(1+DP!$M$17),IF(D18=DP!$L$18,F18*(1+DP!$M$18),0*1))))</f>
        <v>0</v>
      </c>
      <c r="AB18" s="102">
        <f>IF(D18=DP!$L$22,(DP!$M$22),IF(D18=DP!$L$23,(DP!$M$23),IF(D18=DP!$L$24,(DP!$M$24),IF(D18=DP!$L$25,(DP!$M$25),((0*1))))))</f>
        <v>0</v>
      </c>
      <c r="AC18" s="93">
        <f t="shared" si="11"/>
        <v>0</v>
      </c>
      <c r="AD18" s="93">
        <f>IF(D18=DP!$L$15,F18*(1+DP!$M$15),IF(D18=DP!$L$16,F18*(1+DP!$M$16),IF(D18=DP!$L$17,F18*(1+DP!$M$17),IF(D18=DP!$L$18,F18*(1+DP!$M$18),0*1))))</f>
        <v>0</v>
      </c>
      <c r="AE18" s="102">
        <f>IF(D18=DP!$L$22,(DP!$N$22),IF(D18=DP!$L$23,(DP!$N$23),IF(D18=DP!$L$24,(DP!$N$24),IF(D18=DP!$L$25,(DP!$N$25),((0*1))))))</f>
        <v>0</v>
      </c>
      <c r="AF18" s="93">
        <f t="shared" si="12"/>
        <v>0</v>
      </c>
      <c r="AG18" s="93">
        <f>IF(D18=DP!$L$15,(F18/DP!$K$15)*(1+DP!$M$15),IF(D18=DP!$L$16,(F18/DP!$K$16)*(1+DP!$M$16),IF(D18=DP!$L$17,(F18/DP!$K$17)*(1+DP!$M$17),IF(D18=DP!$L$18,(F18/DP!$K$18)*(1+DP!$M$18),0*1))))</f>
        <v>0</v>
      </c>
      <c r="AH18" s="102">
        <f>IF(D18=DP!$L$22,(DP!$O$22),IF(D18=DP!$L$23,(DP!$O$23),IF(D18=DP!$L$24,(DP!$O$24),IF(D18=DP!$L$25,(DP!$O$25),((0*1))))))</f>
        <v>0</v>
      </c>
      <c r="AI18" s="93">
        <f t="shared" si="13"/>
        <v>0</v>
      </c>
      <c r="AJ18" s="93">
        <f>IF(D18=DP!$L$15,F18*(1+DP!$M$15),IF(D18=DP!$L$16,F18*(1+DP!$M$16),IF(D18=DP!$L$17,F18*(1+DP!$M$17),IF(D18=DP!$L$18,F18*(1+DP!$M$18),0*1))))</f>
        <v>0</v>
      </c>
      <c r="AK18" s="102">
        <f>IF(D18=DP!$L$22,(DP!$P$22),IF(D18=DP!$L$23,(DP!$P$23),IF(D18=DP!$L$24,(DP!$P$24),IF(D18=DP!$L$25,(DP!$P$25),((0*1))))))</f>
        <v>0</v>
      </c>
      <c r="AL18" s="93">
        <f t="shared" si="14"/>
        <v>0</v>
      </c>
      <c r="AM18" s="100"/>
      <c r="AN18" s="149">
        <f t="shared" si="15"/>
        <v>0</v>
      </c>
      <c r="AO18" s="149">
        <f>DP!$N$35*H18</f>
        <v>0</v>
      </c>
      <c r="AP18" s="149">
        <f>DP!$O$35*H18</f>
        <v>0</v>
      </c>
      <c r="AQ18" s="149">
        <f>DP!$P$35*H18</f>
        <v>0</v>
      </c>
      <c r="AV18" s="412" t="str">
        <f>DP!AV24</f>
        <v>PIÑA RODAJA 822</v>
      </c>
      <c r="AW18" s="412">
        <f>DP!AW24</f>
        <v>822</v>
      </c>
      <c r="AX18" s="412">
        <f>DP!AX24</f>
        <v>500</v>
      </c>
      <c r="AY18" s="412">
        <f t="shared" si="25"/>
        <v>73440</v>
      </c>
      <c r="AZ18" s="487">
        <f>DP!AY24</f>
        <v>0.2</v>
      </c>
      <c r="BA18" s="98">
        <f t="shared" si="16"/>
        <v>36720</v>
      </c>
      <c r="BB18" s="97"/>
      <c r="BC18" s="102">
        <f t="shared" si="26"/>
        <v>1.2984286501572693</v>
      </c>
      <c r="BD18" s="98">
        <f t="shared" si="27"/>
        <v>1.1134286501572692</v>
      </c>
      <c r="BE18" s="93">
        <f t="shared" si="28"/>
        <v>95356.600067549851</v>
      </c>
      <c r="BF18" s="99">
        <f t="shared" si="29"/>
        <v>81770.200067549857</v>
      </c>
      <c r="BG18" s="100"/>
      <c r="BH18" s="102">
        <f>IFERROR((BA18*100%)/DP!$AO$29,(0*1))</f>
        <v>81600</v>
      </c>
      <c r="BI18" s="102">
        <f>IF(BH18&gt;0,(DP!$AO$31),0*1)</f>
        <v>0.45</v>
      </c>
      <c r="BJ18" s="435">
        <f t="shared" si="17"/>
        <v>36720</v>
      </c>
      <c r="BK18" s="475">
        <f>BA18*DP!$AM$44</f>
        <v>91.8</v>
      </c>
      <c r="BL18" s="475">
        <f>IF(BA18&gt;0,DP!$AN$44,0*1)</f>
        <v>0.95</v>
      </c>
      <c r="BM18" s="475">
        <f t="shared" si="18"/>
        <v>87.21</v>
      </c>
      <c r="BN18" s="102">
        <f>BA18*DP!$AM$45</f>
        <v>6095.52</v>
      </c>
      <c r="BO18" s="102">
        <f>IF(BA18&gt;0,DP!$AN$45,0*1)</f>
        <v>0.76919999999999999</v>
      </c>
      <c r="BP18" s="475">
        <f t="shared" si="19"/>
        <v>4688.673984</v>
      </c>
      <c r="BQ18" s="100"/>
      <c r="BR18" s="100"/>
      <c r="BS18" s="100"/>
      <c r="BT18" s="93">
        <f>IF(AW18=DP!$AN$15,AY18*(1+DP!$AO$15),IF(AW18=DP!$AN$16,AY18*(1+DP!$AO$16),IF(AW18=DP!$AN$17,AY18*(1+DP!$AO$17),IF(AW18=DP!$AN$18,AY18*(1+DP!$AO$18),0*1))))</f>
        <v>73807.199999999997</v>
      </c>
      <c r="BU18" s="102">
        <f>IF(AW18=DP!$AN$22,(DP!$AO$22),IF(AW18=DP!$AN$23,(DP!$AO$23),IF(AW18=DP!$AN$24,(DP!$AO$24),IF(AW18=DP!$AN$25,(DP!$AO$25),((0*1))))))</f>
        <v>0.24</v>
      </c>
      <c r="BV18" s="93">
        <f t="shared" si="20"/>
        <v>17713.727999999999</v>
      </c>
      <c r="BW18" s="93">
        <f>IF(AW18=DP!$AN$15,AY18*(1+DP!$AO$15),IF(AW18=DP!$AN$16,AY18*(1+DP!$AO$16),IF(AW18=DP!$AN$17,AY18*(1+DP!$AO$17),IF(AW18=DP!$AN$18,AY18*(1+DP!$AO$18),0*1))))</f>
        <v>73807.199999999997</v>
      </c>
      <c r="BX18" s="102">
        <f>IF(AW18=DP!$AN$22,(DP!$AP$22),IF(AW18=DP!$AN$23,(DP!$AP$23),IF(AW18=DP!$AN$24,(DP!$AP$24),IF(AW18=DP!$AN$25,(DP!$AP$25),((0*1))))))</f>
        <v>7.0000000000000007E-2</v>
      </c>
      <c r="BY18" s="93">
        <f t="shared" si="21"/>
        <v>5166.5039999999999</v>
      </c>
      <c r="BZ18" s="93">
        <f>IF(AW18=DP!$AN$15,(AY18/DP!$AM$15)*(1+DP!$AO$15),IF(AW18=DP!$AN$16,(AY18/DP!$AM$16)*(1+DP!$AO$16),IF(AW18=DP!$AN$17,(AY18/DP!$AM$17)*(1+DP!$AO$17),IF(AW18=DP!$AN$18,(AY18/DP!$AM$18)*(1+DP!$AO$18),0*1))))</f>
        <v>6150.5999999999995</v>
      </c>
      <c r="CA18" s="102">
        <f>IF(AW18=DP!$AN$22,(DP!$AQ$22),IF(AW18=DP!$AN$23,(DP!$AQ$23),IF(AW18=DP!$AN$24,(DP!$AQ$24),IF(AW18=DP!$AN$25,(DP!$AQ$25),((0*1))))))</f>
        <v>0.51200000000000045</v>
      </c>
      <c r="CB18" s="93">
        <f>BZ18*CA18</f>
        <v>3149.1072000000026</v>
      </c>
      <c r="CC18" s="93">
        <f>IF(AW18=DP!$AN$15,AY18*(1+DP!$AO$15),IF(AW18=DP!$AN$16,AY18*(1+DP!$AO$16),IF(AW18=DP!$AN$17,AY18*(1+DP!$AO$17),IF(AW18=DP!$AN$18,AY18*(1+DP!$AO$18),0*1))))</f>
        <v>73807.199999999997</v>
      </c>
      <c r="CD18" s="102">
        <f>IF(AW18=DP!$AN$22,(DP!$AR$22),IF(AW18=DP!$AN$23,(DP!$AR$23),IF(AW18=DP!$AN$24,(DP!$AR$24),IF(AW18=DP!$AN$25,(DP!$AR$25),((0*1))))))</f>
        <v>3.3045977011494254E-2</v>
      </c>
      <c r="CE18" s="93">
        <f t="shared" si="23"/>
        <v>2439.0310344827585</v>
      </c>
      <c r="CF18" s="100"/>
      <c r="CG18" s="148">
        <f t="shared" si="24"/>
        <v>11805.945849067097</v>
      </c>
      <c r="CH18" s="149">
        <f>DP!$N$35*BA18</f>
        <v>527.58620689655174</v>
      </c>
      <c r="CI18" s="149">
        <f>DP!$O$35*BA18</f>
        <v>2004.8275862068967</v>
      </c>
      <c r="CJ18" s="149">
        <f>DP!$P$35*BA18</f>
        <v>13586.4</v>
      </c>
    </row>
    <row r="19" spans="2:88" x14ac:dyDescent="0.35">
      <c r="B19" s="469">
        <f>DP!S25</f>
        <v>0</v>
      </c>
      <c r="C19" s="94" t="str">
        <f>DP!T25</f>
        <v>PALMITO RODAJA  A-10</v>
      </c>
      <c r="D19" s="450">
        <f>DP!U25</f>
        <v>2920</v>
      </c>
      <c r="E19" s="450">
        <f>DP!V25</f>
        <v>1825</v>
      </c>
      <c r="F19" s="412">
        <f t="shared" si="0"/>
        <v>0</v>
      </c>
      <c r="G19" s="470">
        <f>DP!W25</f>
        <v>0</v>
      </c>
      <c r="H19" s="472">
        <f t="shared" si="1"/>
        <v>0</v>
      </c>
      <c r="I19" s="97"/>
      <c r="J19" s="102">
        <f t="shared" si="2"/>
        <v>0</v>
      </c>
      <c r="K19" s="98">
        <f t="shared" si="3"/>
        <v>0</v>
      </c>
      <c r="L19" s="93">
        <f t="shared" si="4"/>
        <v>0</v>
      </c>
      <c r="M19" s="99">
        <f t="shared" si="5"/>
        <v>0</v>
      </c>
      <c r="N19" s="100"/>
      <c r="O19" s="146">
        <f>($E19/DP!$M$29)*F19</f>
        <v>0</v>
      </c>
      <c r="P19" s="102">
        <f>IF(O19&gt;0,(DP!$M$31),0*1)</f>
        <v>0</v>
      </c>
      <c r="Q19" s="102">
        <f t="shared" si="6"/>
        <v>0</v>
      </c>
      <c r="R19" s="102">
        <f t="shared" si="7"/>
        <v>0</v>
      </c>
      <c r="S19" s="418">
        <f t="shared" si="8"/>
        <v>0</v>
      </c>
      <c r="T19" s="475">
        <f>H19*DP!$K$44</f>
        <v>0</v>
      </c>
      <c r="U19" s="475">
        <f>IF(H19&gt;0,DP!$L$44,0*1)</f>
        <v>0</v>
      </c>
      <c r="V19" s="475">
        <f t="shared" si="9"/>
        <v>0</v>
      </c>
      <c r="W19" s="475">
        <f>H19*DP!$K$45</f>
        <v>0</v>
      </c>
      <c r="X19" s="475">
        <f>IF(H19&gt;0,DP!$L$45,0*1)</f>
        <v>0</v>
      </c>
      <c r="Y19" s="475">
        <f t="shared" si="10"/>
        <v>0</v>
      </c>
      <c r="Z19" s="100"/>
      <c r="AA19" s="93">
        <f>IF(D19=DP!$L$15,F19*(1+DP!$M$15),IF(D19=DP!$L$16,F19*(1+DP!$M$16),IF(D19=DP!$L$17,F19*(1+DP!$M$17),IF(D19=DP!$L$18,F19*(1+DP!$M$18),0*1))))</f>
        <v>0</v>
      </c>
      <c r="AB19" s="102">
        <f>IF(D19=DP!$L$22,(DP!$M$22),IF(D19=DP!$L$23,(DP!$M$23),IF(D19=DP!$L$24,(DP!$M$24),IF(D19=DP!$L$25,(DP!$M$25),((0*1))))))</f>
        <v>0</v>
      </c>
      <c r="AC19" s="93">
        <f t="shared" si="11"/>
        <v>0</v>
      </c>
      <c r="AD19" s="93">
        <f>IF(D19=DP!$L$15,F19*(1+DP!$M$15),IF(D19=DP!$L$16,F19*(1+DP!$M$16),IF(D19=DP!$L$17,F19*(1+DP!$M$17),IF(D19=DP!$L$18,F19*(1+DP!$M$18),0*1))))</f>
        <v>0</v>
      </c>
      <c r="AE19" s="102">
        <f>IF(D19=DP!$L$22,(DP!$N$22),IF(D19=DP!$L$23,(DP!$N$23),IF(D19=DP!$L$24,(DP!$N$24),IF(D19=DP!$L$25,(DP!$N$25),((0*1))))))</f>
        <v>0</v>
      </c>
      <c r="AF19" s="93">
        <f t="shared" si="12"/>
        <v>0</v>
      </c>
      <c r="AG19" s="93">
        <f>IF(D19=DP!$L$15,(F19/DP!$K$15)*(1+DP!$M$15),IF(D19=DP!$L$16,(F19/DP!$K$16)*(1+DP!$M$16),IF(D19=DP!$L$17,(F19/DP!$K$17)*(1+DP!$M$17),IF(D19=DP!$L$18,(F19/DP!$K$18)*(1+DP!$M$18),0*1))))</f>
        <v>0</v>
      </c>
      <c r="AH19" s="102">
        <f>IF(D19=DP!$L$22,(DP!$O$22),IF(D19=DP!$L$23,(DP!$O$23),IF(D19=DP!$L$24,(DP!$O$24),IF(D19=DP!$L$25,(DP!$O$25),((0*1))))))</f>
        <v>0</v>
      </c>
      <c r="AI19" s="93">
        <f t="shared" si="13"/>
        <v>0</v>
      </c>
      <c r="AJ19" s="93">
        <f>IF(D19=DP!$L$15,F19*(1+DP!$M$15),IF(D19=DP!$L$16,F19*(1+DP!$M$16),IF(D19=DP!$L$17,F19*(1+DP!$M$17),IF(D19=DP!$L$18,F19*(1+DP!$M$18),0*1))))</f>
        <v>0</v>
      </c>
      <c r="AK19" s="102">
        <f>IF(D19=DP!$L$22,(DP!$P$22),IF(D19=DP!$L$23,(DP!$P$23),IF(D19=DP!$L$24,(DP!$P$24),IF(D19=DP!$L$25,(DP!$P$25),((0*1))))))</f>
        <v>0</v>
      </c>
      <c r="AL19" s="93">
        <f t="shared" si="14"/>
        <v>0</v>
      </c>
      <c r="AM19" s="100"/>
      <c r="AN19" s="149">
        <f t="shared" si="15"/>
        <v>0</v>
      </c>
      <c r="AO19" s="149">
        <f>DP!$N$35*H19</f>
        <v>0</v>
      </c>
      <c r="AP19" s="149">
        <f>DP!$O$35*H19</f>
        <v>0</v>
      </c>
      <c r="AQ19" s="149">
        <f>DP!$P$35*H19</f>
        <v>0</v>
      </c>
      <c r="AV19" s="412" t="str">
        <f>DP!AV25</f>
        <v>PIÑA TROZO 822</v>
      </c>
      <c r="AW19" s="412">
        <f>DP!AW25</f>
        <v>822</v>
      </c>
      <c r="AX19" s="412">
        <f>DP!AX25</f>
        <v>500</v>
      </c>
      <c r="AY19" s="412">
        <f t="shared" si="25"/>
        <v>36720</v>
      </c>
      <c r="AZ19" s="487">
        <f>DP!AY25</f>
        <v>0.1</v>
      </c>
      <c r="BA19" s="98">
        <f t="shared" si="16"/>
        <v>18360</v>
      </c>
      <c r="BB19" s="97"/>
      <c r="BC19" s="102">
        <f t="shared" si="26"/>
        <v>1.2984286501572693</v>
      </c>
      <c r="BD19" s="98">
        <f t="shared" si="27"/>
        <v>1.1134286501572692</v>
      </c>
      <c r="BE19" s="93">
        <f t="shared" si="28"/>
        <v>47678.300033774925</v>
      </c>
      <c r="BF19" s="99">
        <f t="shared" si="29"/>
        <v>40885.100033774928</v>
      </c>
      <c r="BG19" s="100"/>
      <c r="BH19" s="102">
        <f>IFERROR((BA19*100%)/DP!$AO$29,(0*1))</f>
        <v>40800</v>
      </c>
      <c r="BI19" s="102">
        <f>IF(BH19&gt;0,(DP!$AO$31),0*1)</f>
        <v>0.45</v>
      </c>
      <c r="BJ19" s="435">
        <f t="shared" si="17"/>
        <v>18360</v>
      </c>
      <c r="BK19" s="475">
        <f>BA19*DP!$AM$44</f>
        <v>45.9</v>
      </c>
      <c r="BL19" s="475">
        <f>IF(BA19&gt;0,DP!$AN$44,0*1)</f>
        <v>0.95</v>
      </c>
      <c r="BM19" s="475">
        <f t="shared" si="18"/>
        <v>43.604999999999997</v>
      </c>
      <c r="BN19" s="102">
        <f>BA19*DP!$AM$45</f>
        <v>3047.76</v>
      </c>
      <c r="BO19" s="102">
        <f>IF(BA19&gt;0,DP!$AN$45,0*1)</f>
        <v>0.76919999999999999</v>
      </c>
      <c r="BP19" s="475">
        <f t="shared" si="19"/>
        <v>2344.336992</v>
      </c>
      <c r="BQ19" s="100"/>
      <c r="BR19" s="100"/>
      <c r="BS19" s="100"/>
      <c r="BT19" s="93">
        <f>IF(AW19=DP!$AN$15,AY19*(1+DP!$AO$15),IF(AW19=DP!$AN$16,AY19*(1+DP!$AO$16),IF(AW19=DP!$AN$17,AY19*(1+DP!$AO$17),IF(AW19=DP!$AN$18,AY19*(1+DP!$AO$18),0*1))))</f>
        <v>36903.599999999999</v>
      </c>
      <c r="BU19" s="102">
        <f>IF(AW19=DP!$AN$22,(DP!$AO$22),IF(AW19=DP!$AN$23,(DP!$AO$23),IF(AW19=DP!$AN$24,(DP!$AO$24),IF(AW19=DP!$AN$25,(DP!$AO$25),((0*1))))))</f>
        <v>0.24</v>
      </c>
      <c r="BV19" s="93">
        <f t="shared" si="20"/>
        <v>8856.8639999999996</v>
      </c>
      <c r="BW19" s="93">
        <f>IF(AW19=DP!$AN$15,AY19*(1+DP!$AO$15),IF(AW19=DP!$AN$16,AY19*(1+DP!$AO$16),IF(AW19=DP!$AN$17,AY19*(1+DP!$AO$17),IF(AW19=DP!$AN$18,AY19*(1+DP!$AO$18),0*1))))</f>
        <v>36903.599999999999</v>
      </c>
      <c r="BX19" s="102">
        <f>IF(AW19=DP!$AN$22,(DP!$AP$22),IF(AW19=DP!$AN$23,(DP!$AP$23),IF(AW19=DP!$AN$24,(DP!$AP$24),IF(AW19=DP!$AN$25,(DP!$AP$25),((0*1))))))</f>
        <v>7.0000000000000007E-2</v>
      </c>
      <c r="BY19" s="93">
        <f t="shared" si="21"/>
        <v>2583.252</v>
      </c>
      <c r="BZ19" s="93">
        <f>IF(AW19=DP!$AN$15,(AY19/DP!$AM$15)*(1+DP!$AO$15),IF(AW19=DP!$AN$16,(AY19/DP!$AM$16)*(1+DP!$AO$16),IF(AW19=DP!$AN$17,(AY19/DP!$AM$17)*(1+DP!$AO$17),IF(AW19=DP!$AN$18,(AY19/DP!$AM$18)*(1+DP!$AO$18),0*1))))</f>
        <v>3075.2999999999997</v>
      </c>
      <c r="CA19" s="102">
        <f>IF(AW19=DP!$AN$22,(DP!$AQ$22),IF(AW19=DP!$AN$23,(DP!$AQ$23),IF(AW19=DP!$AN$24,(DP!$AQ$24),IF(AW19=DP!$AN$25,(DP!$AQ$25),((0*1))))))</f>
        <v>0.51200000000000045</v>
      </c>
      <c r="CB19" s="93">
        <f t="shared" si="22"/>
        <v>1574.5536000000013</v>
      </c>
      <c r="CC19" s="93">
        <f>IF(AW19=DP!$AN$15,AY19*(1+DP!$AO$15),IF(AW19=DP!$AN$16,AY19*(1+DP!$AO$16),IF(AW19=DP!$AN$17,AY19*(1+DP!$AO$17),IF(AW19=DP!$AN$18,AY19*(1+DP!$AO$18),0*1))))</f>
        <v>36903.599999999999</v>
      </c>
      <c r="CD19" s="102">
        <f>IF(AW19=DP!$AN$22,(DP!$AR$22),IF(AW19=DP!$AN$23,(DP!$AR$23),IF(AW19=DP!$AN$24,(DP!$AR$24),IF(AW19=DP!$AN$25,(DP!$AR$25),((0*1))))))</f>
        <v>3.3045977011494254E-2</v>
      </c>
      <c r="CE19" s="93">
        <f t="shared" si="23"/>
        <v>1219.5155172413793</v>
      </c>
      <c r="CF19" s="100"/>
      <c r="CG19" s="148">
        <f t="shared" si="24"/>
        <v>5902.9729245335484</v>
      </c>
      <c r="CH19" s="149">
        <f>DP!$N$35*BA19</f>
        <v>263.79310344827587</v>
      </c>
      <c r="CI19" s="149">
        <f>DP!$O$35*BA19</f>
        <v>1002.4137931034484</v>
      </c>
      <c r="CJ19" s="149">
        <f>DP!$P$35*BA19</f>
        <v>6793.2</v>
      </c>
    </row>
    <row r="20" spans="2:88" x14ac:dyDescent="0.35">
      <c r="B20" s="469">
        <f>DP!S26</f>
        <v>0</v>
      </c>
      <c r="C20" s="94">
        <f>DP!T26</f>
        <v>0</v>
      </c>
      <c r="D20" s="450">
        <f>DP!U26</f>
        <v>0</v>
      </c>
      <c r="E20" s="450">
        <f>DP!V26</f>
        <v>0</v>
      </c>
      <c r="F20" s="412">
        <f t="shared" si="0"/>
        <v>0</v>
      </c>
      <c r="G20" s="470">
        <f>DP!W26</f>
        <v>0</v>
      </c>
      <c r="H20" s="472">
        <f t="shared" si="1"/>
        <v>0</v>
      </c>
      <c r="I20" s="97"/>
      <c r="J20" s="102">
        <f t="shared" si="2"/>
        <v>0</v>
      </c>
      <c r="K20" s="98">
        <f t="shared" si="3"/>
        <v>0</v>
      </c>
      <c r="L20" s="93">
        <f t="shared" si="4"/>
        <v>0</v>
      </c>
      <c r="M20" s="99">
        <f t="shared" si="5"/>
        <v>0</v>
      </c>
      <c r="N20" s="100"/>
      <c r="O20" s="146">
        <f>($E20/DP!$M$29)*F20</f>
        <v>0</v>
      </c>
      <c r="P20" s="102">
        <f>IF(O20&gt;0,(DP!$M$31),0*1)</f>
        <v>0</v>
      </c>
      <c r="Q20" s="102">
        <f t="shared" si="6"/>
        <v>0</v>
      </c>
      <c r="R20" s="102">
        <f t="shared" si="7"/>
        <v>0</v>
      </c>
      <c r="S20" s="418">
        <f t="shared" si="8"/>
        <v>0</v>
      </c>
      <c r="T20" s="475">
        <f>H20*DP!$K$44</f>
        <v>0</v>
      </c>
      <c r="U20" s="475">
        <f>IF(H20&gt;0,DP!$L$44,0*1)</f>
        <v>0</v>
      </c>
      <c r="V20" s="475">
        <f t="shared" si="9"/>
        <v>0</v>
      </c>
      <c r="W20" s="475">
        <f>H20*DP!$K$45</f>
        <v>0</v>
      </c>
      <c r="X20" s="475">
        <f>IF(H20&gt;0,DP!$L$45,0*1)</f>
        <v>0</v>
      </c>
      <c r="Y20" s="475">
        <f t="shared" si="10"/>
        <v>0</v>
      </c>
      <c r="Z20" s="100"/>
      <c r="AA20" s="93">
        <f>IF(D20=DP!$L$15,F20*(1+DP!$M$15),IF(D20=DP!$L$16,F20*(1+DP!$M$16),IF(D20=DP!$L$17,F20*(1+DP!$M$17),IF(D20=DP!$L$18,F20*(1+DP!$M$18),0*1))))</f>
        <v>0</v>
      </c>
      <c r="AB20" s="102">
        <f>IF(D20=DP!$L$22,(DP!$M$22),IF(D20=DP!$L$23,(DP!$M$23),IF(D20=DP!$L$24,(DP!$M$24),IF(D20=DP!$L$25,(DP!$M$25),((0*1))))))</f>
        <v>0</v>
      </c>
      <c r="AC20" s="93">
        <f t="shared" si="11"/>
        <v>0</v>
      </c>
      <c r="AD20" s="93">
        <f>IF(D20=DP!$L$15,F20*(1+DP!$M$15),IF(D20=DP!$L$16,F20*(1+DP!$M$16),IF(D20=DP!$L$17,F20*(1+DP!$M$17),IF(D20=DP!$L$18,F20*(1+DP!$M$18),0*1))))</f>
        <v>0</v>
      </c>
      <c r="AE20" s="102">
        <f>IF(D20=DP!$L$22,(DP!$N$22),IF(D20=DP!$L$23,(DP!$N$23),IF(D20=DP!$L$24,(DP!$N$24),IF(D20=DP!$L$25,(DP!$N$25),((0*1))))))</f>
        <v>0</v>
      </c>
      <c r="AF20" s="93">
        <f t="shared" si="12"/>
        <v>0</v>
      </c>
      <c r="AG20" s="93">
        <f>IF(D20=DP!$L$15,(F20/DP!$K$15)*(1+DP!$M$15),IF(D20=DP!$L$16,(F20/DP!$K$16)*(1+DP!$M$16),IF(D20=DP!$L$17,(F20/DP!$K$17)*(1+DP!$M$17),IF(D20=DP!$L$18,(F20/DP!$K$18)*(1+DP!$M$18),0*1))))</f>
        <v>0</v>
      </c>
      <c r="AH20" s="102">
        <f>IF(D20=DP!$L$22,(DP!$O$22),IF(D20=DP!$L$23,(DP!$O$23),IF(D20=DP!$L$24,(DP!$O$24),IF(D20=DP!$L$25,(DP!$O$25),((0*1))))))</f>
        <v>0</v>
      </c>
      <c r="AI20" s="93">
        <f t="shared" si="13"/>
        <v>0</v>
      </c>
      <c r="AJ20" s="93">
        <f>IF(D20=DP!$L$15,F20*(1+DP!$M$15),IF(D20=DP!$L$16,F20*(1+DP!$M$16),IF(D20=DP!$L$17,F20*(1+DP!$M$17),IF(D20=DP!$L$18,F20*(1+DP!$M$18),0*1))))</f>
        <v>0</v>
      </c>
      <c r="AK20" s="102">
        <f>IF(D20=DP!$L$22,(DP!$P$22),IF(D20=DP!$L$23,(DP!$P$23),IF(D20=DP!$L$24,(DP!$P$24),IF(D20=DP!$L$25,(DP!$P$25),((0*1))))))</f>
        <v>0</v>
      </c>
      <c r="AL20" s="93">
        <f t="shared" si="14"/>
        <v>0</v>
      </c>
      <c r="AM20" s="100"/>
      <c r="AN20" s="149">
        <f t="shared" si="15"/>
        <v>0</v>
      </c>
      <c r="AO20" s="149">
        <f>DP!$N$35*H20</f>
        <v>0</v>
      </c>
      <c r="AP20" s="149">
        <f>DP!$O$35*H20</f>
        <v>0</v>
      </c>
      <c r="AQ20" s="149">
        <f>DP!$P$35*H20</f>
        <v>0</v>
      </c>
      <c r="AV20" s="412">
        <f>DP!AV26</f>
        <v>0</v>
      </c>
      <c r="AW20" s="412">
        <f>DP!AW26</f>
        <v>0</v>
      </c>
      <c r="AX20" s="412">
        <f>DP!AX26</f>
        <v>0</v>
      </c>
      <c r="AY20" s="412">
        <f t="shared" si="25"/>
        <v>0</v>
      </c>
      <c r="AZ20" s="487">
        <f>DP!AY26</f>
        <v>0</v>
      </c>
      <c r="BA20" s="98">
        <f t="shared" si="16"/>
        <v>0</v>
      </c>
      <c r="BB20" s="97"/>
      <c r="BC20" s="102">
        <f t="shared" si="26"/>
        <v>0</v>
      </c>
      <c r="BD20" s="98">
        <f t="shared" si="27"/>
        <v>0</v>
      </c>
      <c r="BE20" s="93">
        <f t="shared" si="28"/>
        <v>0</v>
      </c>
      <c r="BF20" s="99">
        <f t="shared" si="29"/>
        <v>0</v>
      </c>
      <c r="BG20" s="100"/>
      <c r="BH20" s="102">
        <f>IFERROR((BA20*100%)/DP!$AO$29,(0*1))</f>
        <v>0</v>
      </c>
      <c r="BI20" s="102">
        <f>IF(BH20&gt;0,(DP!$AO$31),0*1)</f>
        <v>0</v>
      </c>
      <c r="BJ20" s="435">
        <f t="shared" si="17"/>
        <v>0</v>
      </c>
      <c r="BK20" s="475">
        <f>BA20*DP!$AM$44</f>
        <v>0</v>
      </c>
      <c r="BL20" s="475">
        <f>IF(BA20&gt;0,DP!$AN$44,0*1)</f>
        <v>0</v>
      </c>
      <c r="BM20" s="475">
        <f t="shared" si="18"/>
        <v>0</v>
      </c>
      <c r="BN20" s="102">
        <f>BA20*DP!$AM$45</f>
        <v>0</v>
      </c>
      <c r="BO20" s="102">
        <f>IF(BA20&gt;0,DP!$AN$45,0*1)</f>
        <v>0</v>
      </c>
      <c r="BP20" s="475">
        <f t="shared" si="19"/>
        <v>0</v>
      </c>
      <c r="BQ20" s="100"/>
      <c r="BR20" s="100"/>
      <c r="BS20" s="100"/>
      <c r="BT20" s="93">
        <f>IF(AW20=DP!$AN$15,AY20*(1+DP!$AO$15),IF(AW20=DP!$AN$16,AY20*(1+DP!$AO$16),IF(AW20=DP!$AN$17,AY20*(1+DP!$AO$17),IF(AW20=DP!$AN$18,AY20*(1+DP!$AO$18),0*1))))</f>
        <v>0</v>
      </c>
      <c r="BU20" s="102">
        <f>IF(AW20=DP!$AN$22,(DP!$AO$22),IF(AW20=DP!$AN$23,(DP!$AO$23),IF(AW20=DP!$AN$24,(DP!$AO$24),IF(AW20=DP!$AN$25,(DP!$AO$25),((0*1))))))</f>
        <v>0</v>
      </c>
      <c r="BV20" s="93">
        <f t="shared" si="20"/>
        <v>0</v>
      </c>
      <c r="BW20" s="93">
        <f>IF(AW20=DP!$AN$15,AY20*(1+DP!$AO$15),IF(AW20=DP!$AN$16,AY20*(1+DP!$AO$16),IF(AW20=DP!$AN$17,AY20*(1+DP!$AO$17),IF(AW20=DP!$AN$18,AY20*(1+DP!$AO$18),0*1))))</f>
        <v>0</v>
      </c>
      <c r="BX20" s="102">
        <f>IF(AW20=DP!$AN$22,(DP!$AP$22),IF(AW20=DP!$AN$23,(DP!$AP$23),IF(AW20=DP!$AN$24,(DP!$AP$24),IF(AW20=DP!$AN$25,(DP!$AP$25),((0*1))))))</f>
        <v>0</v>
      </c>
      <c r="BY20" s="93">
        <f t="shared" si="21"/>
        <v>0</v>
      </c>
      <c r="BZ20" s="93">
        <f>IF(AW20=DP!$AN$15,(AY20/DP!$AM$15)*(1+DP!$AO$15),IF(AW20=DP!$AN$16,(AY20/DP!$AM$16)*(1+DP!$AO$16),IF(AW20=DP!$AN$17,(AY20/DP!$AM$17)*(1+DP!$AO$17),IF(AW20=DP!$AN$18,(AY20/DP!$AM$18)*(1+DP!$AO$18),0*1))))</f>
        <v>0</v>
      </c>
      <c r="CA20" s="102">
        <f>IF(AW20=DP!$AN$22,(DP!$AQ$22),IF(AW20=DP!$AN$23,(DP!$AQ$23),IF(AW20=DP!$AN$24,(DP!$AQ$24),IF(AW20=DP!$AN$25,(DP!$AQ$25),((0*1))))))</f>
        <v>0</v>
      </c>
      <c r="CB20" s="93">
        <f t="shared" si="22"/>
        <v>0</v>
      </c>
      <c r="CC20" s="93">
        <f>IF(AW20=DP!$AN$15,AY20*(1+DP!$AO$15),IF(AW20=DP!$AN$16,AY20*(1+DP!$AO$16),IF(AW20=DP!$AN$17,AY20*(1+DP!$AO$17),IF(AW20=DP!$AN$18,AY20*(1+DP!$AO$18),0*1))))</f>
        <v>0</v>
      </c>
      <c r="CD20" s="102">
        <f>IF(AW20=DP!$AN$22,(DP!$AR$22),IF(AW20=DP!$AN$23,(DP!$AR$23),IF(AW20=DP!$AN$24,(DP!$AR$24),IF(AW20=DP!$AN$25,(DP!$AR$25),((0*1))))))</f>
        <v>0</v>
      </c>
      <c r="CE20" s="93">
        <f t="shared" si="23"/>
        <v>0</v>
      </c>
      <c r="CF20" s="100"/>
      <c r="CG20" s="148">
        <f t="shared" si="24"/>
        <v>0</v>
      </c>
      <c r="CH20" s="149">
        <f>DP!$N$35*BA20</f>
        <v>0</v>
      </c>
      <c r="CI20" s="149">
        <f>DP!$O$35*BA20</f>
        <v>0</v>
      </c>
      <c r="CJ20" s="149">
        <f>DP!$P$35*BA20</f>
        <v>0</v>
      </c>
    </row>
    <row r="21" spans="2:88" x14ac:dyDescent="0.35">
      <c r="B21" s="469">
        <f>DP!S27</f>
        <v>0</v>
      </c>
      <c r="C21" s="94">
        <f>DP!T27</f>
        <v>0</v>
      </c>
      <c r="D21" s="450">
        <f>DP!U27</f>
        <v>0</v>
      </c>
      <c r="E21" s="450">
        <f>DP!V27</f>
        <v>0</v>
      </c>
      <c r="F21" s="412">
        <f t="shared" si="0"/>
        <v>0</v>
      </c>
      <c r="G21" s="470">
        <f>DP!W27</f>
        <v>0</v>
      </c>
      <c r="H21" s="472">
        <f t="shared" si="1"/>
        <v>0</v>
      </c>
      <c r="I21" s="97"/>
      <c r="J21" s="102">
        <f t="shared" si="2"/>
        <v>0</v>
      </c>
      <c r="K21" s="98">
        <f t="shared" si="3"/>
        <v>0</v>
      </c>
      <c r="L21" s="93">
        <f t="shared" si="4"/>
        <v>0</v>
      </c>
      <c r="M21" s="99">
        <f t="shared" si="5"/>
        <v>0</v>
      </c>
      <c r="N21" s="100"/>
      <c r="O21" s="146">
        <f>($E21/DP!$M$29)*F21</f>
        <v>0</v>
      </c>
      <c r="P21" s="102">
        <f>IF(O21&gt;0,(DP!$M$31),0*1)</f>
        <v>0</v>
      </c>
      <c r="Q21" s="102">
        <f t="shared" si="6"/>
        <v>0</v>
      </c>
      <c r="R21" s="102">
        <f t="shared" si="7"/>
        <v>0</v>
      </c>
      <c r="S21" s="418">
        <f t="shared" si="8"/>
        <v>0</v>
      </c>
      <c r="T21" s="475">
        <f>H21*DP!$K$44</f>
        <v>0</v>
      </c>
      <c r="U21" s="475">
        <f>IF(H21&gt;0,DP!$L$44,0*1)</f>
        <v>0</v>
      </c>
      <c r="V21" s="475">
        <f t="shared" si="9"/>
        <v>0</v>
      </c>
      <c r="W21" s="475">
        <f>H21*DP!$K$45</f>
        <v>0</v>
      </c>
      <c r="X21" s="475">
        <f>IF(H21&gt;0,DP!$L$45,0*1)</f>
        <v>0</v>
      </c>
      <c r="Y21" s="475">
        <f t="shared" si="10"/>
        <v>0</v>
      </c>
      <c r="Z21" s="100"/>
      <c r="AA21" s="93">
        <f>IF(D21=DP!$L$15,F21*(1+DP!$M$15),IF(D21=DP!$L$16,F21*(1+DP!$M$16),IF(D21=DP!$L$17,F21*(1+DP!$M$17),IF(D21=DP!$L$18,F21*(1+DP!$M$18),0*1))))</f>
        <v>0</v>
      </c>
      <c r="AB21" s="102">
        <f>IF(D21=DP!$L$22,(DP!$M$22),IF(D21=DP!$L$23,(DP!$M$23),IF(D21=DP!$L$24,(DP!$M$24),IF(D21=DP!$L$25,(DP!$M$25),((0*1))))))</f>
        <v>0</v>
      </c>
      <c r="AC21" s="93">
        <f t="shared" si="11"/>
        <v>0</v>
      </c>
      <c r="AD21" s="93">
        <f>IF(D21=DP!$L$15,F21*(1+DP!$M$15),IF(D21=DP!$L$16,F21*(1+DP!$M$16),IF(D21=DP!$L$17,F21*(1+DP!$M$17),IF(D21=DP!$L$18,F21*(1+DP!$M$18),0*1))))</f>
        <v>0</v>
      </c>
      <c r="AE21" s="102">
        <f>IF(D21=DP!$L$22,(DP!$N$22),IF(D21=DP!$L$23,(DP!$N$23),IF(D21=DP!$L$24,(DP!$N$24),IF(D21=DP!$L$25,(DP!$N$25),((0*1))))))</f>
        <v>0</v>
      </c>
      <c r="AF21" s="93">
        <f t="shared" si="12"/>
        <v>0</v>
      </c>
      <c r="AG21" s="93">
        <f>IF(D21=DP!$L$15,(F21/DP!$K$15)*(1+DP!$M$15),IF(D21=DP!$L$16,(F21/DP!$K$16)*(1+DP!$M$16),IF(D21=DP!$L$17,(F21/DP!$K$17)*(1+DP!$M$17),IF(D21=DP!$L$18,(F21/DP!$K$18)*(1+DP!$M$18),0*1))))</f>
        <v>0</v>
      </c>
      <c r="AH21" s="102">
        <f>IF(D21=DP!$L$22,(DP!$O$22),IF(D21=DP!$L$23,(DP!$O$23),IF(D21=DP!$L$24,(DP!$O$24),IF(D21=DP!$L$25,(DP!$O$25),((0*1))))))</f>
        <v>0</v>
      </c>
      <c r="AI21" s="93">
        <f t="shared" si="13"/>
        <v>0</v>
      </c>
      <c r="AJ21" s="93">
        <f>IF(D21=DP!$L$15,F21*(1+DP!$M$15),IF(D21=DP!$L$16,F21*(1+DP!$M$16),IF(D21=DP!$L$17,F21*(1+DP!$M$17),IF(D21=DP!$L$18,F21*(1+DP!$M$18),0*1))))</f>
        <v>0</v>
      </c>
      <c r="AK21" s="102">
        <f>IF(D21=DP!$L$22,(DP!$P$22),IF(D21=DP!$L$23,(DP!$P$23),IF(D21=DP!$L$24,(DP!$P$24),IF(D21=DP!$L$25,(DP!$P$25),((0*1))))))</f>
        <v>0</v>
      </c>
      <c r="AL21" s="93">
        <f t="shared" si="14"/>
        <v>0</v>
      </c>
      <c r="AM21" s="100"/>
      <c r="AN21" s="149">
        <f t="shared" si="15"/>
        <v>0</v>
      </c>
      <c r="AO21" s="149">
        <f>DP!$N$35*H21</f>
        <v>0</v>
      </c>
      <c r="AP21" s="149">
        <f>DP!$O$35*H21</f>
        <v>0</v>
      </c>
      <c r="AQ21" s="149">
        <f>DP!$P$35*H21</f>
        <v>0</v>
      </c>
      <c r="AV21" s="412">
        <f>DP!AV27</f>
        <v>0</v>
      </c>
      <c r="AW21" s="412">
        <f>DP!AW27</f>
        <v>0</v>
      </c>
      <c r="AX21" s="412">
        <f>DP!AX27</f>
        <v>0</v>
      </c>
      <c r="AY21" s="412">
        <f t="shared" si="25"/>
        <v>0</v>
      </c>
      <c r="AZ21" s="487">
        <f>DP!AY27</f>
        <v>0</v>
      </c>
      <c r="BA21" s="98">
        <f t="shared" si="16"/>
        <v>0</v>
      </c>
      <c r="BB21" s="97"/>
      <c r="BC21" s="102">
        <f t="shared" si="26"/>
        <v>0</v>
      </c>
      <c r="BD21" s="98">
        <f t="shared" si="27"/>
        <v>0</v>
      </c>
      <c r="BE21" s="93">
        <f t="shared" si="28"/>
        <v>0</v>
      </c>
      <c r="BF21" s="99">
        <f t="shared" si="29"/>
        <v>0</v>
      </c>
      <c r="BG21" s="100"/>
      <c r="BH21" s="102">
        <f>IFERROR((BA21*100%)/DP!$AO$29,(0*1))</f>
        <v>0</v>
      </c>
      <c r="BI21" s="102">
        <f>IF(BH21&gt;0,(DP!$AO$31),0*1)</f>
        <v>0</v>
      </c>
      <c r="BJ21" s="435">
        <f t="shared" si="17"/>
        <v>0</v>
      </c>
      <c r="BK21" s="475">
        <f>BA21*DP!$AM$44</f>
        <v>0</v>
      </c>
      <c r="BL21" s="475">
        <f>IF(BA21&gt;0,DP!$AN$44,0*1)</f>
        <v>0</v>
      </c>
      <c r="BM21" s="475">
        <f t="shared" si="18"/>
        <v>0</v>
      </c>
      <c r="BN21" s="102">
        <f>BA21*DP!$AM$45</f>
        <v>0</v>
      </c>
      <c r="BO21" s="102">
        <f>IF(BA21&gt;0,DP!$AN$45,0*1)</f>
        <v>0</v>
      </c>
      <c r="BP21" s="475">
        <f t="shared" si="19"/>
        <v>0</v>
      </c>
      <c r="BQ21" s="100"/>
      <c r="BR21" s="100"/>
      <c r="BS21" s="100"/>
      <c r="BT21" s="93">
        <f>IF(AW21=DP!$AN$15,AY21*(1+DP!$AO$15),IF(AW21=DP!$AN$16,AY21*(1+DP!$AO$16),IF(AW21=DP!$AN$17,AY21*(1+DP!$AO$17),IF(AW21=DP!$AN$18,AY21*(1+DP!$AO$18),0*1))))</f>
        <v>0</v>
      </c>
      <c r="BU21" s="102">
        <f>IF(AW21=DP!$AN$22,(DP!$AO$22),IF(AW21=DP!$AN$23,(DP!$AO$23),IF(AW21=DP!$AN$24,(DP!$AO$24),IF(AW21=DP!$AN$25,(DP!$AO$25),((0*1))))))</f>
        <v>0</v>
      </c>
      <c r="BV21" s="93">
        <f t="shared" si="20"/>
        <v>0</v>
      </c>
      <c r="BW21" s="93">
        <f>IF(AW21=DP!$AN$15,AY21*(1+DP!$AO$15),IF(AW21=DP!$AN$16,AY21*(1+DP!$AO$16),IF(AW21=DP!$AN$17,AY21*(1+DP!$AO$17),IF(AW21=DP!$AN$18,AY21*(1+DP!$AO$18),0*1))))</f>
        <v>0</v>
      </c>
      <c r="BX21" s="102">
        <f>IF(AW21=DP!$AN$22,(DP!$AP$22),IF(AW21=DP!$AN$23,(DP!$AP$23),IF(AW21=DP!$AN$24,(DP!$AP$24),IF(AW21=DP!$AN$25,(DP!$AP$25),((0*1))))))</f>
        <v>0</v>
      </c>
      <c r="BY21" s="93">
        <f t="shared" si="21"/>
        <v>0</v>
      </c>
      <c r="BZ21" s="93">
        <f>IF(AW21=DP!$AN$15,(AY21/DP!$AM$15)*(1+DP!$AO$15),IF(AW21=DP!$AN$16,(AY21/DP!$AM$16)*(1+DP!$AO$16),IF(AW21=DP!$AN$17,(AY21/DP!$AM$17)*(1+DP!$AO$17),IF(AW21=DP!$AN$18,(AY21/DP!$AM$18)*(1+DP!$AO$18),0*1))))</f>
        <v>0</v>
      </c>
      <c r="CA21" s="102">
        <f>IF(AW21=DP!$AN$22,(DP!$AQ$22),IF(AW21=DP!$AN$23,(DP!$AQ$23),IF(AW21=DP!$AN$24,(DP!$AQ$24),IF(AW21=DP!$AN$25,(DP!$AQ$25),((0*1))))))</f>
        <v>0</v>
      </c>
      <c r="CB21" s="93">
        <f t="shared" si="22"/>
        <v>0</v>
      </c>
      <c r="CC21" s="93">
        <f>IF(AW21=DP!$AN$15,AY21*(1+DP!$AO$15),IF(AW21=DP!$AN$16,AY21*(1+DP!$AO$16),IF(AW21=DP!$AN$17,AY21*(1+DP!$AO$17),IF(AW21=DP!$AN$18,AY21*(1+DP!$AO$18),0*1))))</f>
        <v>0</v>
      </c>
      <c r="CD21" s="102">
        <f>IF(AW21=DP!$AN$22,(DP!$AR$22),IF(AW21=DP!$AN$23,(DP!$AR$23),IF(AW21=DP!$AN$24,(DP!$AR$24),IF(AW21=DP!$AN$25,(DP!$AR$25),((0*1))))))</f>
        <v>0</v>
      </c>
      <c r="CE21" s="93">
        <f t="shared" si="23"/>
        <v>0</v>
      </c>
      <c r="CF21" s="100"/>
      <c r="CG21" s="148">
        <f t="shared" si="24"/>
        <v>0</v>
      </c>
      <c r="CH21" s="149">
        <f>DP!$N$35*BA21</f>
        <v>0</v>
      </c>
      <c r="CI21" s="149">
        <f>DP!$O$35*BA21</f>
        <v>0</v>
      </c>
      <c r="CJ21" s="149">
        <f>DP!$P$35*BA21</f>
        <v>0</v>
      </c>
    </row>
    <row r="22" spans="2:88" x14ac:dyDescent="0.35">
      <c r="B22" s="469">
        <f>DP!S28</f>
        <v>0</v>
      </c>
      <c r="C22" s="94">
        <f>DP!T28</f>
        <v>0</v>
      </c>
      <c r="D22" s="450">
        <f>DP!U28</f>
        <v>0</v>
      </c>
      <c r="E22" s="450">
        <f>DP!V28</f>
        <v>0</v>
      </c>
      <c r="F22" s="412">
        <f t="shared" si="0"/>
        <v>0</v>
      </c>
      <c r="G22" s="470">
        <f>DP!W28</f>
        <v>0</v>
      </c>
      <c r="H22" s="472">
        <f t="shared" si="1"/>
        <v>0</v>
      </c>
      <c r="I22" s="97"/>
      <c r="J22" s="102">
        <f t="shared" si="2"/>
        <v>0</v>
      </c>
      <c r="K22" s="98">
        <f t="shared" si="3"/>
        <v>0</v>
      </c>
      <c r="L22" s="93">
        <f t="shared" si="4"/>
        <v>0</v>
      </c>
      <c r="M22" s="99">
        <f t="shared" si="5"/>
        <v>0</v>
      </c>
      <c r="N22" s="100"/>
      <c r="O22" s="146">
        <f>($E22/DP!$M$29)*F22</f>
        <v>0</v>
      </c>
      <c r="P22" s="102">
        <f>IF(O22&gt;0,(DP!$M$31),0*1)</f>
        <v>0</v>
      </c>
      <c r="Q22" s="102">
        <f t="shared" si="6"/>
        <v>0</v>
      </c>
      <c r="R22" s="102">
        <f t="shared" si="7"/>
        <v>0</v>
      </c>
      <c r="S22" s="418">
        <f t="shared" si="8"/>
        <v>0</v>
      </c>
      <c r="T22" s="475">
        <f>H22*DP!$K$44</f>
        <v>0</v>
      </c>
      <c r="U22" s="475">
        <f>IF(H22&gt;0,DP!$L$44,0*1)</f>
        <v>0</v>
      </c>
      <c r="V22" s="475">
        <f t="shared" si="9"/>
        <v>0</v>
      </c>
      <c r="W22" s="475">
        <f>H22*DP!$K$45</f>
        <v>0</v>
      </c>
      <c r="X22" s="475">
        <f>IF(H22&gt;0,DP!$L$45,0*1)</f>
        <v>0</v>
      </c>
      <c r="Y22" s="475">
        <f t="shared" si="10"/>
        <v>0</v>
      </c>
      <c r="Z22" s="100"/>
      <c r="AA22" s="93">
        <f>IF(D22=DP!$L$15,F22*(1+DP!$M$15),IF(D22=DP!$L$16,F22*(1+DP!$M$16),IF(D22=DP!$L$17,F22*(1+DP!$M$17),IF(D22=DP!$L$18,F22*(1+DP!$M$18),0*1))))</f>
        <v>0</v>
      </c>
      <c r="AB22" s="102">
        <f>IF(D22=DP!$L$22,(DP!$M$22),IF(D22=DP!$L$23,(DP!$M$23),IF(D22=DP!$L$24,(DP!$M$24),IF(D22=DP!$L$25,(DP!$M$25),((0*1))))))</f>
        <v>0</v>
      </c>
      <c r="AC22" s="93">
        <f t="shared" si="11"/>
        <v>0</v>
      </c>
      <c r="AD22" s="93">
        <f>IF(D22=DP!$L$15,F22*(1+DP!$M$15),IF(D22=DP!$L$16,F22*(1+DP!$M$16),IF(D22=DP!$L$17,F22*(1+DP!$M$17),IF(D22=DP!$L$18,F22*(1+DP!$M$18),0*1))))</f>
        <v>0</v>
      </c>
      <c r="AE22" s="102">
        <f>IF(D22=DP!$L$22,(DP!$N$22),IF(D22=DP!$L$23,(DP!$N$23),IF(D22=DP!$L$24,(DP!$N$24),IF(D22=DP!$L$25,(DP!$N$25),((0*1))))))</f>
        <v>0</v>
      </c>
      <c r="AF22" s="93">
        <f t="shared" si="12"/>
        <v>0</v>
      </c>
      <c r="AG22" s="93">
        <f>IF(D22=DP!$L$15,(F22/DP!$K$15)*(1+DP!$M$15),IF(D22=DP!$L$16,(F22/DP!$K$16)*(1+DP!$M$16),IF(D22=DP!$L$17,(F22/DP!$K$17)*(1+DP!$M$17),IF(D22=DP!$L$18,(F22/DP!$K$18)*(1+DP!$M$18),0*1))))</f>
        <v>0</v>
      </c>
      <c r="AH22" s="102">
        <f>IF(D22=DP!$L$22,(DP!$O$22),IF(D22=DP!$L$23,(DP!$O$23),IF(D22=DP!$L$24,(DP!$O$24),IF(D22=DP!$L$25,(DP!$O$25),((0*1))))))</f>
        <v>0</v>
      </c>
      <c r="AI22" s="93">
        <f t="shared" si="13"/>
        <v>0</v>
      </c>
      <c r="AJ22" s="93">
        <f>IF(D22=DP!$L$15,F22*(1+DP!$M$15),IF(D22=DP!$L$16,F22*(1+DP!$M$16),IF(D22=DP!$L$17,F22*(1+DP!$M$17),IF(D22=DP!$L$18,F22*(1+DP!$M$18),0*1))))</f>
        <v>0</v>
      </c>
      <c r="AK22" s="102">
        <f>IF(D22=DP!$L$22,(DP!$P$22),IF(D22=DP!$L$23,(DP!$P$23),IF(D22=DP!$L$24,(DP!$P$24),IF(D22=DP!$L$25,(DP!$P$25),((0*1))))))</f>
        <v>0</v>
      </c>
      <c r="AL22" s="93">
        <f t="shared" si="14"/>
        <v>0</v>
      </c>
      <c r="AM22" s="100"/>
      <c r="AN22" s="149">
        <f t="shared" si="15"/>
        <v>0</v>
      </c>
      <c r="AO22" s="149">
        <f>DP!$N$35*H22</f>
        <v>0</v>
      </c>
      <c r="AP22" s="149">
        <f>DP!$O$35*H22</f>
        <v>0</v>
      </c>
      <c r="AQ22" s="149">
        <f>DP!$P$35*H22</f>
        <v>0</v>
      </c>
      <c r="AV22" s="412">
        <f>DP!AV28</f>
        <v>0</v>
      </c>
      <c r="AW22" s="412">
        <f>DP!AW28</f>
        <v>0</v>
      </c>
      <c r="AX22" s="412">
        <f>DP!AX28</f>
        <v>0</v>
      </c>
      <c r="AY22" s="412">
        <f t="shared" si="25"/>
        <v>0</v>
      </c>
      <c r="AZ22" s="487">
        <f>DP!AY28</f>
        <v>0</v>
      </c>
      <c r="BA22" s="98">
        <f t="shared" si="16"/>
        <v>0</v>
      </c>
      <c r="BB22" s="97"/>
      <c r="BC22" s="102">
        <f t="shared" si="26"/>
        <v>0</v>
      </c>
      <c r="BD22" s="98">
        <f t="shared" si="27"/>
        <v>0</v>
      </c>
      <c r="BE22" s="93">
        <f t="shared" si="28"/>
        <v>0</v>
      </c>
      <c r="BF22" s="99">
        <f t="shared" si="29"/>
        <v>0</v>
      </c>
      <c r="BG22" s="100"/>
      <c r="BH22" s="102">
        <f>IFERROR((BA22*100%)/DP!$AO$29,(0*1))</f>
        <v>0</v>
      </c>
      <c r="BI22" s="102">
        <f>IF(BH22&gt;0,(DP!$AO$31),0*1)</f>
        <v>0</v>
      </c>
      <c r="BJ22" s="435">
        <f t="shared" si="17"/>
        <v>0</v>
      </c>
      <c r="BK22" s="475">
        <f>BA22*DP!$AM$44</f>
        <v>0</v>
      </c>
      <c r="BL22" s="475">
        <f>IF(BA22&gt;0,DP!$AN$44,0*1)</f>
        <v>0</v>
      </c>
      <c r="BM22" s="475">
        <f t="shared" si="18"/>
        <v>0</v>
      </c>
      <c r="BN22" s="102">
        <f>BA22*DP!$AM$45</f>
        <v>0</v>
      </c>
      <c r="BO22" s="102">
        <f>IF(BA22&gt;0,DP!$AN$45,0*1)</f>
        <v>0</v>
      </c>
      <c r="BP22" s="475">
        <f t="shared" si="19"/>
        <v>0</v>
      </c>
      <c r="BQ22" s="100"/>
      <c r="BR22" s="100"/>
      <c r="BS22" s="100"/>
      <c r="BT22" s="93">
        <f>IF(AW22=DP!$AN$15,AY22*(1+DP!$AO$15),IF(AW22=DP!$AN$16,AY22*(1+DP!$AO$16),IF(AW22=DP!$AN$17,AY22*(1+DP!$AO$17),IF(AW22=DP!$AN$18,AY22*(1+DP!$AO$18),0*1))))</f>
        <v>0</v>
      </c>
      <c r="BU22" s="102">
        <f>IF(AW22=DP!$AN$22,(DP!$AO$22),IF(AW22=DP!$AN$23,(DP!$AO$23),IF(AW22=DP!$AN$24,(DP!$AO$24),IF(AW22=DP!$AN$25,(DP!$AO$25),((0*1))))))</f>
        <v>0</v>
      </c>
      <c r="BV22" s="93">
        <f t="shared" si="20"/>
        <v>0</v>
      </c>
      <c r="BW22" s="93">
        <f>IF(AW22=DP!$AN$15,AY22*(1+DP!$AO$15),IF(AW22=DP!$AN$16,AY22*(1+DP!$AO$16),IF(AW22=DP!$AN$17,AY22*(1+DP!$AO$17),IF(AW22=DP!$AN$18,AY22*(1+DP!$AO$18),0*1))))</f>
        <v>0</v>
      </c>
      <c r="BX22" s="102">
        <f>IF(AW22=DP!$AN$22,(DP!$AP$22),IF(AW22=DP!$AN$23,(DP!$AP$23),IF(AW22=DP!$AN$24,(DP!$AP$24),IF(AW22=DP!$AN$25,(DP!$AP$25),((0*1))))))</f>
        <v>0</v>
      </c>
      <c r="BY22" s="93">
        <f t="shared" si="21"/>
        <v>0</v>
      </c>
      <c r="BZ22" s="93">
        <f>IF(AW22=DP!$AN$15,(AY22/DP!$AM$15)*(1+DP!$AO$15),IF(AW22=DP!$AN$16,(AY22/DP!$AM$16)*(1+DP!$AO$16),IF(AW22=DP!$AN$17,(AY22/DP!$AM$17)*(1+DP!$AO$17),IF(AW22=DP!$AN$18,(AY22/DP!$AM$18)*(1+DP!$AO$18),0*1))))</f>
        <v>0</v>
      </c>
      <c r="CA22" s="102">
        <f>IF(AW22=DP!$AN$22,(DP!$AQ$22),IF(AW22=DP!$AN$23,(DP!$AQ$23),IF(AW22=DP!$AN$24,(DP!$AQ$24),IF(AW22=DP!$AN$25,(DP!$AQ$25),((0*1))))))</f>
        <v>0</v>
      </c>
      <c r="CB22" s="93">
        <f t="shared" si="22"/>
        <v>0</v>
      </c>
      <c r="CC22" s="93">
        <f>IF(AW22=DP!$AN$15,AY22*(1+DP!$AO$15),IF(AW22=DP!$AN$16,AY22*(1+DP!$AO$16),IF(AW22=DP!$AN$17,AY22*(1+DP!$AO$17),IF(AW22=DP!$AN$18,AY22*(1+DP!$AO$18),0*1))))</f>
        <v>0</v>
      </c>
      <c r="CD22" s="102">
        <f>IF(AW22=DP!$AN$22,(DP!$AR$22),IF(AW22=DP!$AN$23,(DP!$AR$23),IF(AW22=DP!$AN$24,(DP!$AR$24),IF(AW22=DP!$AN$25,(DP!$AR$25),((0*1))))))</f>
        <v>0</v>
      </c>
      <c r="CE22" s="93">
        <f t="shared" si="23"/>
        <v>0</v>
      </c>
      <c r="CF22" s="100"/>
      <c r="CG22" s="148">
        <f t="shared" si="24"/>
        <v>0</v>
      </c>
      <c r="CH22" s="149">
        <f>DP!$N$35*BA22</f>
        <v>0</v>
      </c>
      <c r="CI22" s="149">
        <f>DP!$O$35*BA22</f>
        <v>0</v>
      </c>
      <c r="CJ22" s="149">
        <f>DP!$P$35*BA22</f>
        <v>0</v>
      </c>
    </row>
    <row r="23" spans="2:88" x14ac:dyDescent="0.35">
      <c r="B23" s="469">
        <f>DP!S29</f>
        <v>0</v>
      </c>
      <c r="C23" s="94">
        <f>DP!T29</f>
        <v>0</v>
      </c>
      <c r="D23" s="450">
        <f>DP!U29</f>
        <v>0</v>
      </c>
      <c r="E23" s="450">
        <f>DP!V29</f>
        <v>0</v>
      </c>
      <c r="F23" s="412">
        <f t="shared" si="0"/>
        <v>0</v>
      </c>
      <c r="G23" s="470">
        <f>DP!W29</f>
        <v>0</v>
      </c>
      <c r="H23" s="472">
        <f t="shared" si="1"/>
        <v>0</v>
      </c>
      <c r="I23" s="97"/>
      <c r="J23" s="102">
        <f t="shared" si="2"/>
        <v>0</v>
      </c>
      <c r="K23" s="98">
        <f t="shared" si="3"/>
        <v>0</v>
      </c>
      <c r="L23" s="93">
        <f t="shared" si="4"/>
        <v>0</v>
      </c>
      <c r="M23" s="99">
        <f t="shared" si="5"/>
        <v>0</v>
      </c>
      <c r="N23" s="100"/>
      <c r="O23" s="146">
        <f>($E23/DP!$M$29)*F23</f>
        <v>0</v>
      </c>
      <c r="P23" s="102">
        <f>IF(O23&gt;0,(DP!$M$31),0*1)</f>
        <v>0</v>
      </c>
      <c r="Q23" s="102">
        <f t="shared" si="6"/>
        <v>0</v>
      </c>
      <c r="R23" s="102">
        <f t="shared" si="7"/>
        <v>0</v>
      </c>
      <c r="S23" s="418">
        <f t="shared" si="8"/>
        <v>0</v>
      </c>
      <c r="T23" s="475">
        <f>H23*DP!$K$44</f>
        <v>0</v>
      </c>
      <c r="U23" s="475">
        <f>IF(H23&gt;0,DP!$L$44,0*1)</f>
        <v>0</v>
      </c>
      <c r="V23" s="475">
        <f t="shared" si="9"/>
        <v>0</v>
      </c>
      <c r="W23" s="475">
        <f>H23*DP!$K$45</f>
        <v>0</v>
      </c>
      <c r="X23" s="475">
        <f>IF(H23&gt;0,DP!$L$45,0*1)</f>
        <v>0</v>
      </c>
      <c r="Y23" s="475">
        <f t="shared" si="10"/>
        <v>0</v>
      </c>
      <c r="Z23" s="100"/>
      <c r="AA23" s="93">
        <f>IF(D23=DP!$L$15,F23*(1+DP!$M$15),IF(D23=DP!$L$16,F23*(1+DP!$M$16),IF(D23=DP!$L$17,F23*(1+DP!$M$17),IF(D23=DP!$L$18,F23*(1+DP!$M$18),0*1))))</f>
        <v>0</v>
      </c>
      <c r="AB23" s="102">
        <f>IF(D23=DP!$L$22,(DP!$M$22),IF(D23=DP!$L$23,(DP!$M$23),IF(D23=DP!$L$24,(DP!$M$24),IF(D23=DP!$L$25,(DP!$M$25),((0*1))))))</f>
        <v>0</v>
      </c>
      <c r="AC23" s="93">
        <f t="shared" si="11"/>
        <v>0</v>
      </c>
      <c r="AD23" s="93">
        <f>IF(D23=DP!$L$15,F23*(1+DP!$M$15),IF(D23=DP!$L$16,F23*(1+DP!$M$16),IF(D23=DP!$L$17,F23*(1+DP!$M$17),IF(D23=DP!$L$18,F23*(1+DP!$M$18),0*1))))</f>
        <v>0</v>
      </c>
      <c r="AE23" s="102">
        <f>IF(D23=DP!$L$22,(DP!$N$22),IF(D23=DP!$L$23,(DP!$N$23),IF(D23=DP!$L$24,(DP!$N$24),IF(D23=DP!$L$25,(DP!$N$25),((0*1))))))</f>
        <v>0</v>
      </c>
      <c r="AF23" s="93">
        <f t="shared" si="12"/>
        <v>0</v>
      </c>
      <c r="AG23" s="93">
        <f>IF(D23=DP!$L$15,(F23/DP!$K$15)*(1+DP!$M$15),IF(D23=DP!$L$16,(F23/DP!$K$16)*(1+DP!$M$16),IF(D23=DP!$L$17,(F23/DP!$K$17)*(1+DP!$M$17),IF(D23=DP!$L$18,(F23/DP!$K$18)*(1+DP!$M$18),0*1))))</f>
        <v>0</v>
      </c>
      <c r="AH23" s="102">
        <f>IF(D23=DP!$L$22,(DP!$O$22),IF(D23=DP!$L$23,(DP!$O$23),IF(D23=DP!$L$24,(DP!$O$24),IF(D23=DP!$L$25,(DP!$O$25),((0*1))))))</f>
        <v>0</v>
      </c>
      <c r="AI23" s="93">
        <f t="shared" si="13"/>
        <v>0</v>
      </c>
      <c r="AJ23" s="93">
        <f>IF(D23=DP!$L$15,F23*(1+DP!$M$15),IF(D23=DP!$L$16,F23*(1+DP!$M$16),IF(D23=DP!$L$17,F23*(1+DP!$M$17),IF(D23=DP!$L$18,F23*(1+DP!$M$18),0*1))))</f>
        <v>0</v>
      </c>
      <c r="AK23" s="102">
        <f>IF(D23=DP!$L$22,(DP!$P$22),IF(D23=DP!$L$23,(DP!$P$23),IF(D23=DP!$L$24,(DP!$P$24),IF(D23=DP!$L$25,(DP!$P$25),((0*1))))))</f>
        <v>0</v>
      </c>
      <c r="AL23" s="93">
        <f t="shared" si="14"/>
        <v>0</v>
      </c>
      <c r="AM23" s="100"/>
      <c r="AN23" s="149">
        <f t="shared" si="15"/>
        <v>0</v>
      </c>
      <c r="AO23" s="149">
        <f>DP!$N$35*H23</f>
        <v>0</v>
      </c>
      <c r="AP23" s="149">
        <f>DP!$O$35*H23</f>
        <v>0</v>
      </c>
      <c r="AQ23" s="149">
        <f>DP!$P$35*H23</f>
        <v>0</v>
      </c>
      <c r="AV23" s="412">
        <f>DP!AV29</f>
        <v>0</v>
      </c>
      <c r="AW23" s="412">
        <f>DP!AW29</f>
        <v>0</v>
      </c>
      <c r="AX23" s="412">
        <f>DP!AX29</f>
        <v>0</v>
      </c>
      <c r="AY23" s="412">
        <f t="shared" si="25"/>
        <v>0</v>
      </c>
      <c r="AZ23" s="487">
        <f>DP!AY29</f>
        <v>0</v>
      </c>
      <c r="BA23" s="98">
        <f t="shared" si="16"/>
        <v>0</v>
      </c>
      <c r="BB23" s="97"/>
      <c r="BC23" s="102">
        <f t="shared" si="26"/>
        <v>0</v>
      </c>
      <c r="BD23" s="98">
        <f t="shared" si="27"/>
        <v>0</v>
      </c>
      <c r="BE23" s="93">
        <f t="shared" si="28"/>
        <v>0</v>
      </c>
      <c r="BF23" s="99">
        <f t="shared" si="29"/>
        <v>0</v>
      </c>
      <c r="BG23" s="100"/>
      <c r="BH23" s="102">
        <f>IFERROR((BA23*100%)/DP!$AO$29,(0*1))</f>
        <v>0</v>
      </c>
      <c r="BI23" s="102">
        <f>IF(BH23&gt;0,(DP!$AO$31),0*1)</f>
        <v>0</v>
      </c>
      <c r="BJ23" s="435">
        <f t="shared" si="17"/>
        <v>0</v>
      </c>
      <c r="BK23" s="475">
        <f>BA23*DP!$AM$44</f>
        <v>0</v>
      </c>
      <c r="BL23" s="475">
        <f>IF(BA23&gt;0,DP!$AN$44,0*1)</f>
        <v>0</v>
      </c>
      <c r="BM23" s="475">
        <f t="shared" si="18"/>
        <v>0</v>
      </c>
      <c r="BN23" s="102">
        <f>BA23*DP!$AM$45</f>
        <v>0</v>
      </c>
      <c r="BO23" s="102">
        <f>IF(BA23&gt;0,DP!$AN$45,0*1)</f>
        <v>0</v>
      </c>
      <c r="BP23" s="475">
        <f t="shared" si="19"/>
        <v>0</v>
      </c>
      <c r="BQ23" s="100"/>
      <c r="BR23" s="100"/>
      <c r="BS23" s="100"/>
      <c r="BT23" s="93">
        <f>IF(AW23=DP!$AN$15,AY23*(1+DP!$AO$15),IF(AW23=DP!$AN$16,AY23*(1+DP!$AO$16),IF(AW23=DP!$AN$17,AY23*(1+DP!$AO$17),IF(AW23=DP!$AN$18,AY23*(1+DP!$AO$18),0*1))))</f>
        <v>0</v>
      </c>
      <c r="BU23" s="102">
        <f>IF(AW23=DP!$AN$22,(DP!$AO$22),IF(AW23=DP!$AN$23,(DP!$AO$23),IF(AW23=DP!$AN$24,(DP!$AO$24),IF(AW23=DP!$AN$25,(DP!$AO$25),((0*1))))))</f>
        <v>0</v>
      </c>
      <c r="BV23" s="93">
        <f t="shared" si="20"/>
        <v>0</v>
      </c>
      <c r="BW23" s="93">
        <f>IF(AW23=DP!$AN$15,AY23*(1+DP!$AO$15),IF(AW23=DP!$AN$16,AY23*(1+DP!$AO$16),IF(AW23=DP!$AN$17,AY23*(1+DP!$AO$17),IF(AW23=DP!$AN$18,AY23*(1+DP!$AO$18),0*1))))</f>
        <v>0</v>
      </c>
      <c r="BX23" s="102">
        <f>IF(AW23=DP!$AN$22,(DP!$AP$22),IF(AW23=DP!$AN$23,(DP!$AP$23),IF(AW23=DP!$AN$24,(DP!$AP$24),IF(AW23=DP!$AN$25,(DP!$AP$25),((0*1))))))</f>
        <v>0</v>
      </c>
      <c r="BY23" s="93">
        <f t="shared" si="21"/>
        <v>0</v>
      </c>
      <c r="BZ23" s="93">
        <f>IF(AW23=DP!$AN$15,(AY23/DP!$AM$15)*(1+DP!$AO$15),IF(AW23=DP!$AN$16,(AY23/DP!$AM$16)*(1+DP!$AO$16),IF(AW23=DP!$AN$17,(AY23/DP!$AM$17)*(1+DP!$AO$17),IF(AW23=DP!$AN$18,(AY23/DP!$AM$18)*(1+DP!$AO$18),0*1))))</f>
        <v>0</v>
      </c>
      <c r="CA23" s="102">
        <f>IF(AW23=DP!$AN$22,(DP!$AQ$22),IF(AW23=DP!$AN$23,(DP!$AQ$23),IF(AW23=DP!$AN$24,(DP!$AQ$24),IF(AW23=DP!$AN$25,(DP!$AQ$25),((0*1))))))</f>
        <v>0</v>
      </c>
      <c r="CB23" s="93">
        <f t="shared" si="22"/>
        <v>0</v>
      </c>
      <c r="CC23" s="93">
        <f>IF(AW23=DP!$AN$15,AY23*(1+DP!$AO$15),IF(AW23=DP!$AN$16,AY23*(1+DP!$AO$16),IF(AW23=DP!$AN$17,AY23*(1+DP!$AO$17),IF(AW23=DP!$AN$18,AY23*(1+DP!$AO$18),0*1))))</f>
        <v>0</v>
      </c>
      <c r="CD23" s="102">
        <f>IF(AW23=DP!$AN$22,(DP!$AR$22),IF(AW23=DP!$AN$23,(DP!$AR$23),IF(AW23=DP!$AN$24,(DP!$AR$24),IF(AW23=DP!$AN$25,(DP!$AR$25),((0*1))))))</f>
        <v>0</v>
      </c>
      <c r="CE23" s="93">
        <f t="shared" si="23"/>
        <v>0</v>
      </c>
      <c r="CF23" s="100"/>
      <c r="CG23" s="148">
        <f t="shared" si="24"/>
        <v>0</v>
      </c>
      <c r="CH23" s="149">
        <f>DP!$N$35*BA23</f>
        <v>0</v>
      </c>
      <c r="CI23" s="149">
        <f>DP!$O$35*BA23</f>
        <v>0</v>
      </c>
      <c r="CJ23" s="149">
        <f>DP!$P$35*BA23</f>
        <v>0</v>
      </c>
    </row>
    <row r="24" spans="2:88" x14ac:dyDescent="0.35">
      <c r="B24" s="469">
        <f>DP!S30</f>
        <v>0</v>
      </c>
      <c r="C24" s="94">
        <f>DP!T30</f>
        <v>0</v>
      </c>
      <c r="D24" s="450">
        <f>DP!U30</f>
        <v>0</v>
      </c>
      <c r="E24" s="450">
        <f>DP!V30</f>
        <v>0</v>
      </c>
      <c r="F24" s="412">
        <f t="shared" si="0"/>
        <v>0</v>
      </c>
      <c r="G24" s="470">
        <f>DP!W30</f>
        <v>0</v>
      </c>
      <c r="H24" s="472">
        <f t="shared" si="1"/>
        <v>0</v>
      </c>
      <c r="I24" s="97"/>
      <c r="J24" s="102">
        <f t="shared" si="2"/>
        <v>0</v>
      </c>
      <c r="K24" s="98">
        <f t="shared" si="3"/>
        <v>0</v>
      </c>
      <c r="L24" s="93">
        <f t="shared" si="4"/>
        <v>0</v>
      </c>
      <c r="M24" s="99">
        <f t="shared" si="5"/>
        <v>0</v>
      </c>
      <c r="N24" s="100"/>
      <c r="O24" s="146">
        <f>($E24/DP!$M$29)*F24</f>
        <v>0</v>
      </c>
      <c r="P24" s="102">
        <f>IF(O24&gt;0,(DP!$M$31),0*1)</f>
        <v>0</v>
      </c>
      <c r="Q24" s="102">
        <f t="shared" si="6"/>
        <v>0</v>
      </c>
      <c r="R24" s="102">
        <f t="shared" si="7"/>
        <v>0</v>
      </c>
      <c r="S24" s="418">
        <f t="shared" si="8"/>
        <v>0</v>
      </c>
      <c r="T24" s="475">
        <f>H24*DP!$K$44</f>
        <v>0</v>
      </c>
      <c r="U24" s="475">
        <f>IF(H24&gt;0,DP!$L$44,0*1)</f>
        <v>0</v>
      </c>
      <c r="V24" s="475">
        <f t="shared" si="9"/>
        <v>0</v>
      </c>
      <c r="W24" s="475">
        <f>H24*DP!$K$45</f>
        <v>0</v>
      </c>
      <c r="X24" s="475">
        <f>IF(H24&gt;0,DP!$L$45,0*1)</f>
        <v>0</v>
      </c>
      <c r="Y24" s="475">
        <f t="shared" si="10"/>
        <v>0</v>
      </c>
      <c r="Z24" s="100"/>
      <c r="AA24" s="93">
        <f>IF(D24=DP!$L$15,F24*(1+DP!$M$15),IF(D24=DP!$L$16,F24*(1+DP!$M$16),IF(D24=DP!$L$17,F24*(1+DP!$M$17),IF(D24=DP!$L$18,F24*(1+DP!$M$18),0*1))))</f>
        <v>0</v>
      </c>
      <c r="AB24" s="102">
        <f>IF(D24=DP!$L$22,(DP!$M$22),IF(D24=DP!$L$23,(DP!$M$23),IF(D24=DP!$L$24,(DP!$M$24),IF(D24=DP!$L$25,(DP!$M$25),((0*1))))))</f>
        <v>0</v>
      </c>
      <c r="AC24" s="93">
        <f t="shared" si="11"/>
        <v>0</v>
      </c>
      <c r="AD24" s="93">
        <f>IF(D24=DP!$L$15,F24*(1+DP!$M$15),IF(D24=DP!$L$16,F24*(1+DP!$M$16),IF(D24=DP!$L$17,F24*(1+DP!$M$17),IF(D24=DP!$L$18,F24*(1+DP!$M$18),0*1))))</f>
        <v>0</v>
      </c>
      <c r="AE24" s="102">
        <f>IF(D24=DP!$L$22,(DP!$N$22),IF(D24=DP!$L$23,(DP!$N$23),IF(D24=DP!$L$24,(DP!$N$24),IF(D24=DP!$L$25,(DP!$N$25),((0*1))))))</f>
        <v>0</v>
      </c>
      <c r="AF24" s="93">
        <f t="shared" si="12"/>
        <v>0</v>
      </c>
      <c r="AG24" s="93">
        <f>IF(D24=DP!$L$15,(F24/DP!$K$15)*(1+DP!$M$15),IF(D24=DP!$L$16,(F24/DP!$K$16)*(1+DP!$M$16),IF(D24=DP!$L$17,(F24/DP!$K$17)*(1+DP!$M$17),IF(D24=DP!$L$18,(F24/DP!$K$18)*(1+DP!$M$18),0*1))))</f>
        <v>0</v>
      </c>
      <c r="AH24" s="102">
        <f>IF(D24=DP!$L$22,(DP!$O$22),IF(D24=DP!$L$23,(DP!$O$23),IF(D24=DP!$L$24,(DP!$O$24),IF(D24=DP!$L$25,(DP!$O$25),((0*1))))))</f>
        <v>0</v>
      </c>
      <c r="AI24" s="93">
        <f t="shared" si="13"/>
        <v>0</v>
      </c>
      <c r="AJ24" s="93">
        <f>IF(D24=DP!$L$15,F24*(1+DP!$M$15),IF(D24=DP!$L$16,F24*(1+DP!$M$16),IF(D24=DP!$L$17,F24*(1+DP!$M$17),IF(D24=DP!$L$18,F24*(1+DP!$M$18),0*1))))</f>
        <v>0</v>
      </c>
      <c r="AK24" s="102">
        <f>IF(D24=DP!$L$22,(DP!$P$22),IF(D24=DP!$L$23,(DP!$P$23),IF(D24=DP!$L$24,(DP!$P$24),IF(D24=DP!$L$25,(DP!$P$25),((0*1))))))</f>
        <v>0</v>
      </c>
      <c r="AL24" s="93">
        <f t="shared" si="14"/>
        <v>0</v>
      </c>
      <c r="AM24" s="100"/>
      <c r="AN24" s="149">
        <f t="shared" si="15"/>
        <v>0</v>
      </c>
      <c r="AO24" s="149">
        <f>DP!$N$35*H24</f>
        <v>0</v>
      </c>
      <c r="AP24" s="149">
        <f>DP!$O$35*H24</f>
        <v>0</v>
      </c>
      <c r="AQ24" s="149">
        <f>DP!$P$35*H24</f>
        <v>0</v>
      </c>
      <c r="AV24" s="412">
        <f>DP!AV30</f>
        <v>0</v>
      </c>
      <c r="AW24" s="412">
        <f>DP!AW30</f>
        <v>0</v>
      </c>
      <c r="AX24" s="412">
        <f>DP!AX30</f>
        <v>0</v>
      </c>
      <c r="AY24" s="412">
        <f t="shared" si="25"/>
        <v>0</v>
      </c>
      <c r="AZ24" s="487">
        <f>DP!AY30</f>
        <v>0</v>
      </c>
      <c r="BA24" s="98">
        <f t="shared" si="16"/>
        <v>0</v>
      </c>
      <c r="BB24" s="97"/>
      <c r="BC24" s="102">
        <f t="shared" si="26"/>
        <v>0</v>
      </c>
      <c r="BD24" s="98">
        <f t="shared" si="27"/>
        <v>0</v>
      </c>
      <c r="BE24" s="93">
        <f t="shared" si="28"/>
        <v>0</v>
      </c>
      <c r="BF24" s="99">
        <f t="shared" si="29"/>
        <v>0</v>
      </c>
      <c r="BG24" s="100"/>
      <c r="BH24" s="102">
        <f>IFERROR((BA24*100%)/DP!$AO$29,(0*1))</f>
        <v>0</v>
      </c>
      <c r="BI24" s="102">
        <f>IF(BH24&gt;0,(DP!$AO$31),0*1)</f>
        <v>0</v>
      </c>
      <c r="BJ24" s="435">
        <f t="shared" si="17"/>
        <v>0</v>
      </c>
      <c r="BK24" s="475">
        <f>BA24*DP!$AM$44</f>
        <v>0</v>
      </c>
      <c r="BL24" s="475">
        <f>IF(BA24&gt;0,DP!$AN$44,0*1)</f>
        <v>0</v>
      </c>
      <c r="BM24" s="475">
        <f t="shared" si="18"/>
        <v>0</v>
      </c>
      <c r="BN24" s="102">
        <f>BA24*DP!$AM$45</f>
        <v>0</v>
      </c>
      <c r="BO24" s="102">
        <f>IF(BA24&gt;0,DP!$AN$45,0*1)</f>
        <v>0</v>
      </c>
      <c r="BP24" s="475">
        <f t="shared" si="19"/>
        <v>0</v>
      </c>
      <c r="BQ24" s="100"/>
      <c r="BR24" s="100"/>
      <c r="BS24" s="100"/>
      <c r="BT24" s="93">
        <f>IF(AW24=DP!$AN$15,AY24*(1+DP!$AO$15),IF(AW24=DP!$AN$16,AY24*(1+DP!$AO$16),IF(AW24=DP!$AN$17,AY24*(1+DP!$AO$17),IF(AW24=DP!$AN$18,AY24*(1+DP!$AO$18),0*1))))</f>
        <v>0</v>
      </c>
      <c r="BU24" s="102">
        <f>IF(AW24=DP!$AN$22,(DP!$AO$22),IF(AW24=DP!$AN$23,(DP!$AO$23),IF(AW24=DP!$AN$24,(DP!$AO$24),IF(AW24=DP!$AN$25,(DP!$AO$25),((0*1))))))</f>
        <v>0</v>
      </c>
      <c r="BV24" s="93">
        <f t="shared" si="20"/>
        <v>0</v>
      </c>
      <c r="BW24" s="93">
        <f>IF(AW24=DP!$AN$15,AY24*(1+DP!$AO$15),IF(AW24=DP!$AN$16,AY24*(1+DP!$AO$16),IF(AW24=DP!$AN$17,AY24*(1+DP!$AO$17),IF(AW24=DP!$AN$18,AY24*(1+DP!$AO$18),0*1))))</f>
        <v>0</v>
      </c>
      <c r="BX24" s="102">
        <f>IF(AW24=DP!$AN$22,(DP!$AP$22),IF(AW24=DP!$AN$23,(DP!$AP$23),IF(AW24=DP!$AN$24,(DP!$AP$24),IF(AW24=DP!$AN$25,(DP!$AP$25),((0*1))))))</f>
        <v>0</v>
      </c>
      <c r="BY24" s="93">
        <f t="shared" si="21"/>
        <v>0</v>
      </c>
      <c r="BZ24" s="93">
        <f>IF(AW24=DP!$AN$15,(AY24/DP!$AM$15)*(1+DP!$AO$15),IF(AW24=DP!$AN$16,(AY24/DP!$AM$16)*(1+DP!$AO$16),IF(AW24=DP!$AN$17,(AY24/DP!$AM$17)*(1+DP!$AO$17),IF(AW24=DP!$AN$18,(AY24/DP!$AM$18)*(1+DP!$AO$18),0*1))))</f>
        <v>0</v>
      </c>
      <c r="CA24" s="102">
        <f>IF(AW24=DP!$AN$22,(DP!$AQ$22),IF(AW24=DP!$AN$23,(DP!$AQ$23),IF(AW24=DP!$AN$24,(DP!$AQ$24),IF(AW24=DP!$AN$25,(DP!$AQ$25),((0*1))))))</f>
        <v>0</v>
      </c>
      <c r="CB24" s="93">
        <f t="shared" si="22"/>
        <v>0</v>
      </c>
      <c r="CC24" s="93">
        <f>IF(AW24=DP!$AN$15,AY24*(1+DP!$AO$15),IF(AW24=DP!$AN$16,AY24*(1+DP!$AO$16),IF(AW24=DP!$AN$17,AY24*(1+DP!$AO$17),IF(AW24=DP!$AN$18,AY24*(1+DP!$AO$18),0*1))))</f>
        <v>0</v>
      </c>
      <c r="CD24" s="102">
        <f>IF(AW24=DP!$AN$22,(DP!$AR$22),IF(AW24=DP!$AN$23,(DP!$AR$23),IF(AW24=DP!$AN$24,(DP!$AR$24),IF(AW24=DP!$AN$25,(DP!$AR$25),((0*1))))))</f>
        <v>0</v>
      </c>
      <c r="CE24" s="93">
        <f t="shared" si="23"/>
        <v>0</v>
      </c>
      <c r="CF24" s="100"/>
      <c r="CG24" s="148">
        <f t="shared" si="24"/>
        <v>0</v>
      </c>
      <c r="CH24" s="149">
        <f>DP!$N$35*BA24</f>
        <v>0</v>
      </c>
      <c r="CI24" s="149">
        <f>DP!$O$35*BA24</f>
        <v>0</v>
      </c>
      <c r="CJ24" s="149">
        <f>DP!$P$35*BA24</f>
        <v>0</v>
      </c>
    </row>
    <row r="25" spans="2:88" x14ac:dyDescent="0.35">
      <c r="B25" s="469">
        <f>DP!S31</f>
        <v>0</v>
      </c>
      <c r="C25" s="94">
        <f>DP!T31</f>
        <v>0</v>
      </c>
      <c r="D25" s="450">
        <f>DP!U31</f>
        <v>0</v>
      </c>
      <c r="E25" s="450">
        <f>DP!V31</f>
        <v>0</v>
      </c>
      <c r="F25" s="412">
        <f t="shared" si="0"/>
        <v>0</v>
      </c>
      <c r="G25" s="470">
        <f>DP!W31</f>
        <v>0</v>
      </c>
      <c r="H25" s="472">
        <f t="shared" si="1"/>
        <v>0</v>
      </c>
      <c r="I25" s="97"/>
      <c r="J25" s="102">
        <f t="shared" si="2"/>
        <v>0</v>
      </c>
      <c r="K25" s="98">
        <f t="shared" si="3"/>
        <v>0</v>
      </c>
      <c r="L25" s="93">
        <f t="shared" si="4"/>
        <v>0</v>
      </c>
      <c r="M25" s="99">
        <f t="shared" si="5"/>
        <v>0</v>
      </c>
      <c r="N25" s="100"/>
      <c r="O25" s="146">
        <f>($E25/DP!$M$29)*F25</f>
        <v>0</v>
      </c>
      <c r="P25" s="102">
        <f>IF(O25&gt;0,(DP!$M$31),0*1)</f>
        <v>0</v>
      </c>
      <c r="Q25" s="102">
        <f t="shared" si="6"/>
        <v>0</v>
      </c>
      <c r="R25" s="102">
        <f t="shared" si="7"/>
        <v>0</v>
      </c>
      <c r="S25" s="418">
        <f t="shared" si="8"/>
        <v>0</v>
      </c>
      <c r="T25" s="475">
        <f>H25*DP!$K$44</f>
        <v>0</v>
      </c>
      <c r="U25" s="475">
        <f>IF(H25&gt;0,DP!$L$44,0*1)</f>
        <v>0</v>
      </c>
      <c r="V25" s="475">
        <f t="shared" si="9"/>
        <v>0</v>
      </c>
      <c r="W25" s="475">
        <f>H25*DP!$K$45</f>
        <v>0</v>
      </c>
      <c r="X25" s="475">
        <f>IF(H25&gt;0,DP!$L$45,0*1)</f>
        <v>0</v>
      </c>
      <c r="Y25" s="475">
        <f t="shared" si="10"/>
        <v>0</v>
      </c>
      <c r="Z25" s="100"/>
      <c r="AA25" s="93">
        <f>IF(D25=DP!$L$15,F25*(1+DP!$M$15),IF(D25=DP!$L$16,F25*(1+DP!$M$16),IF(D25=DP!$L$17,F25*(1+DP!$M$17),IF(D25=DP!$L$18,F25*(1+DP!$M$18),0*1))))</f>
        <v>0</v>
      </c>
      <c r="AB25" s="102">
        <f>IF(D25=DP!$L$22,(DP!$M$22),IF(D25=DP!$L$23,(DP!$M$23),IF(D25=DP!$L$24,(DP!$M$24),IF(D25=DP!$L$25,(DP!$M$25),((0*1))))))</f>
        <v>0</v>
      </c>
      <c r="AC25" s="93">
        <f t="shared" si="11"/>
        <v>0</v>
      </c>
      <c r="AD25" s="93">
        <f>IF(D25=DP!$L$15,F25*(1+DP!$M$15),IF(D25=DP!$L$16,F25*(1+DP!$M$16),IF(D25=DP!$L$17,F25*(1+DP!$M$17),IF(D25=DP!$L$18,F25*(1+DP!$M$18),0*1))))</f>
        <v>0</v>
      </c>
      <c r="AE25" s="102">
        <f>IF(D25=DP!$L$22,(DP!$N$22),IF(D25=DP!$L$23,(DP!$N$23),IF(D25=DP!$L$24,(DP!$N$24),IF(D25=DP!$L$25,(DP!$N$25),((0*1))))))</f>
        <v>0</v>
      </c>
      <c r="AF25" s="93">
        <f t="shared" si="12"/>
        <v>0</v>
      </c>
      <c r="AG25" s="93">
        <f>IF(D25=DP!$L$15,(F25/DP!$K$15)*(1+DP!$M$15),IF(D25=DP!$L$16,(F25/DP!$K$16)*(1+DP!$M$16),IF(D25=DP!$L$17,(F25/DP!$K$17)*(1+DP!$M$17),IF(D25=DP!$L$18,(F25/DP!$K$18)*(1+DP!$M$18),0*1))))</f>
        <v>0</v>
      </c>
      <c r="AH25" s="102">
        <f>IF(D25=DP!$L$22,(DP!$O$22),IF(D25=DP!$L$23,(DP!$O$23),IF(D25=DP!$L$24,(DP!$O$24),IF(D25=DP!$L$25,(DP!$O$25),((0*1))))))</f>
        <v>0</v>
      </c>
      <c r="AI25" s="93">
        <f t="shared" si="13"/>
        <v>0</v>
      </c>
      <c r="AJ25" s="93">
        <f>IF(D25=DP!$L$15,F25*(1+DP!$M$15),IF(D25=DP!$L$16,F25*(1+DP!$M$16),IF(D25=DP!$L$17,F25*(1+DP!$M$17),IF(D25=DP!$L$18,F25*(1+DP!$M$18),0*1))))</f>
        <v>0</v>
      </c>
      <c r="AK25" s="102">
        <f>IF(D25=DP!$L$22,(DP!$P$22),IF(D25=DP!$L$23,(DP!$P$23),IF(D25=DP!$L$24,(DP!$P$24),IF(D25=DP!$L$25,(DP!$P$25),((0*1))))))</f>
        <v>0</v>
      </c>
      <c r="AL25" s="93">
        <f t="shared" si="14"/>
        <v>0</v>
      </c>
      <c r="AM25" s="100"/>
      <c r="AN25" s="149">
        <f t="shared" si="15"/>
        <v>0</v>
      </c>
      <c r="AO25" s="149">
        <f>DP!$N$35*H25</f>
        <v>0</v>
      </c>
      <c r="AP25" s="149">
        <f>DP!$O$35*H25</f>
        <v>0</v>
      </c>
      <c r="AQ25" s="149">
        <f>DP!$P$35*H25</f>
        <v>0</v>
      </c>
      <c r="AV25" s="412">
        <f>DP!AV31</f>
        <v>0</v>
      </c>
      <c r="AW25" s="412">
        <f>DP!AW31</f>
        <v>0</v>
      </c>
      <c r="AX25" s="412">
        <f>DP!AX31</f>
        <v>0</v>
      </c>
      <c r="AY25" s="412">
        <f t="shared" si="25"/>
        <v>0</v>
      </c>
      <c r="AZ25" s="487">
        <f>DP!AY31</f>
        <v>0</v>
      </c>
      <c r="BA25" s="98">
        <f t="shared" si="16"/>
        <v>0</v>
      </c>
      <c r="BB25" s="97"/>
      <c r="BC25" s="102">
        <f t="shared" si="26"/>
        <v>0</v>
      </c>
      <c r="BD25" s="98">
        <f t="shared" si="27"/>
        <v>0</v>
      </c>
      <c r="BE25" s="93">
        <f t="shared" si="28"/>
        <v>0</v>
      </c>
      <c r="BF25" s="99">
        <f t="shared" si="29"/>
        <v>0</v>
      </c>
      <c r="BG25" s="100"/>
      <c r="BH25" s="102">
        <f>IFERROR((BA25*100%)/DP!$AO$29,(0*1))</f>
        <v>0</v>
      </c>
      <c r="BI25" s="102">
        <f>IF(BH25&gt;0,(DP!$AO$31),0*1)</f>
        <v>0</v>
      </c>
      <c r="BJ25" s="435">
        <f t="shared" si="17"/>
        <v>0</v>
      </c>
      <c r="BK25" s="475">
        <f>BA25*DP!$AM$44</f>
        <v>0</v>
      </c>
      <c r="BL25" s="475">
        <f>IF(BA25&gt;0,DP!$AN$44,0*1)</f>
        <v>0</v>
      </c>
      <c r="BM25" s="475">
        <f t="shared" si="18"/>
        <v>0</v>
      </c>
      <c r="BN25" s="102">
        <f>BA25*DP!$AM$45</f>
        <v>0</v>
      </c>
      <c r="BO25" s="102">
        <f>IF(BA25&gt;0,DP!$AN$45,0*1)</f>
        <v>0</v>
      </c>
      <c r="BP25" s="475">
        <f t="shared" si="19"/>
        <v>0</v>
      </c>
      <c r="BQ25" s="100"/>
      <c r="BR25" s="100"/>
      <c r="BS25" s="100"/>
      <c r="BT25" s="93">
        <f>IF(AW25=DP!$AN$15,AY25*(1+DP!$AO$15),IF(AW25=DP!$AN$16,AY25*(1+DP!$AO$16),IF(AW25=DP!$AN$17,AY25*(1+DP!$AO$17),IF(AW25=DP!$AN$18,AY25*(1+DP!$AO$18),0*1))))</f>
        <v>0</v>
      </c>
      <c r="BU25" s="102">
        <f>IF(AW25=DP!$AN$22,(DP!$AO$22),IF(AW25=DP!$AN$23,(DP!$AO$23),IF(AW25=DP!$AN$24,(DP!$AO$24),IF(AW25=DP!$AN$25,(DP!$AO$25),((0*1))))))</f>
        <v>0</v>
      </c>
      <c r="BV25" s="93">
        <f t="shared" si="20"/>
        <v>0</v>
      </c>
      <c r="BW25" s="93">
        <f>IF(AW25=DP!$AN$15,AY25*(1+DP!$AO$15),IF(AW25=DP!$AN$16,AY25*(1+DP!$AO$16),IF(AW25=DP!$AN$17,AY25*(1+DP!$AO$17),IF(AW25=DP!$AN$18,AY25*(1+DP!$AO$18),0*1))))</f>
        <v>0</v>
      </c>
      <c r="BX25" s="102">
        <f>IF(AW25=DP!$AN$22,(DP!$AP$22),IF(AW25=DP!$AN$23,(DP!$AP$23),IF(AW25=DP!$AN$24,(DP!$AP$24),IF(AW25=DP!$AN$25,(DP!$AP$25),((0*1))))))</f>
        <v>0</v>
      </c>
      <c r="BY25" s="93">
        <f t="shared" si="21"/>
        <v>0</v>
      </c>
      <c r="BZ25" s="93">
        <f>IF(AW25=DP!$AN$15,(AY25/DP!$AM$15)*(1+DP!$AO$15),IF(AW25=DP!$AN$16,(AY25/DP!$AM$16)*(1+DP!$AO$16),IF(AW25=DP!$AN$17,(AY25/DP!$AM$17)*(1+DP!$AO$17),IF(AW25=DP!$AN$18,(AY25/DP!$AM$18)*(1+DP!$AO$18),0*1))))</f>
        <v>0</v>
      </c>
      <c r="CA25" s="102">
        <f>IF(AW25=DP!$AN$22,(DP!$AQ$22),IF(AW25=DP!$AN$23,(DP!$AQ$23),IF(AW25=DP!$AN$24,(DP!$AQ$24),IF(AW25=DP!$AN$25,(DP!$AQ$25),((0*1))))))</f>
        <v>0</v>
      </c>
      <c r="CB25" s="93">
        <f t="shared" si="22"/>
        <v>0</v>
      </c>
      <c r="CC25" s="93">
        <f>IF(AW25=DP!$AN$15,AY25*(1+DP!$AO$15),IF(AW25=DP!$AN$16,AY25*(1+DP!$AO$16),IF(AW25=DP!$AN$17,AY25*(1+DP!$AO$17),IF(AW25=DP!$AN$18,AY25*(1+DP!$AO$18),0*1))))</f>
        <v>0</v>
      </c>
      <c r="CD25" s="102">
        <f>IF(AW25=DP!$AN$22,(DP!$AR$22),IF(AW25=DP!$AN$23,(DP!$AR$23),IF(AW25=DP!$AN$24,(DP!$AR$24),IF(AW25=DP!$AN$25,(DP!$AR$25),((0*1))))))</f>
        <v>0</v>
      </c>
      <c r="CE25" s="93">
        <f t="shared" si="23"/>
        <v>0</v>
      </c>
      <c r="CF25" s="100"/>
      <c r="CG25" s="148">
        <f t="shared" si="24"/>
        <v>0</v>
      </c>
      <c r="CH25" s="149">
        <f>DP!$N$35*BA25</f>
        <v>0</v>
      </c>
      <c r="CI25" s="149">
        <f>DP!$O$35*BA25</f>
        <v>0</v>
      </c>
      <c r="CJ25" s="149">
        <f>DP!$P$35*BA25</f>
        <v>0</v>
      </c>
    </row>
    <row r="26" spans="2:88" x14ac:dyDescent="0.35">
      <c r="B26" s="469">
        <f>DP!S32</f>
        <v>0</v>
      </c>
      <c r="C26" s="94">
        <f>DP!T32</f>
        <v>0</v>
      </c>
      <c r="D26" s="450">
        <f>DP!U32</f>
        <v>0</v>
      </c>
      <c r="E26" s="450">
        <f>DP!V32</f>
        <v>0</v>
      </c>
      <c r="F26" s="412">
        <f t="shared" si="0"/>
        <v>0</v>
      </c>
      <c r="G26" s="470">
        <f>DP!W32</f>
        <v>0</v>
      </c>
      <c r="H26" s="472">
        <f t="shared" si="1"/>
        <v>0</v>
      </c>
      <c r="I26" s="97"/>
      <c r="J26" s="102">
        <f t="shared" si="2"/>
        <v>0</v>
      </c>
      <c r="K26" s="98">
        <f t="shared" si="3"/>
        <v>0</v>
      </c>
      <c r="L26" s="93">
        <f t="shared" si="4"/>
        <v>0</v>
      </c>
      <c r="M26" s="99">
        <f t="shared" si="5"/>
        <v>0</v>
      </c>
      <c r="N26" s="100"/>
      <c r="O26" s="146">
        <f>($E26/DP!$M$29)*F26</f>
        <v>0</v>
      </c>
      <c r="P26" s="102">
        <f>IF(O26&gt;0,(DP!$M$31),0*1)</f>
        <v>0</v>
      </c>
      <c r="Q26" s="102">
        <f t="shared" si="6"/>
        <v>0</v>
      </c>
      <c r="R26" s="102">
        <f t="shared" si="7"/>
        <v>0</v>
      </c>
      <c r="S26" s="418">
        <f t="shared" si="8"/>
        <v>0</v>
      </c>
      <c r="T26" s="475">
        <f>H26*DP!$K$44</f>
        <v>0</v>
      </c>
      <c r="U26" s="475">
        <f>IF(H26&gt;0,DP!$L$44,0*1)</f>
        <v>0</v>
      </c>
      <c r="V26" s="475">
        <f t="shared" si="9"/>
        <v>0</v>
      </c>
      <c r="W26" s="475">
        <f>H26*DP!$K$45</f>
        <v>0</v>
      </c>
      <c r="X26" s="475">
        <f>IF(H26&gt;0,DP!$L$45,0*1)</f>
        <v>0</v>
      </c>
      <c r="Y26" s="475">
        <f t="shared" si="10"/>
        <v>0</v>
      </c>
      <c r="Z26" s="100"/>
      <c r="AA26" s="93">
        <f>IF(D26=DP!$L$15,F26*(1+DP!$M$15),IF(D26=DP!$L$16,F26*(1+DP!$M$16),IF(D26=DP!$L$17,F26*(1+DP!$M$17),IF(D26=DP!$L$18,F26*(1+DP!$M$18),0*1))))</f>
        <v>0</v>
      </c>
      <c r="AB26" s="102">
        <f>IF(D26=DP!$L$22,(DP!$M$22),IF(D26=DP!$L$23,(DP!$M$23),IF(D26=DP!$L$24,(DP!$M$24),IF(D26=DP!$L$25,(DP!$M$25),((0*1))))))</f>
        <v>0</v>
      </c>
      <c r="AC26" s="93">
        <f t="shared" si="11"/>
        <v>0</v>
      </c>
      <c r="AD26" s="93">
        <f>IF(D26=DP!$L$15,F26*(1+DP!$M$15),IF(D26=DP!$L$16,F26*(1+DP!$M$16),IF(D26=DP!$L$17,F26*(1+DP!$M$17),IF(D26=DP!$L$18,F26*(1+DP!$M$18),0*1))))</f>
        <v>0</v>
      </c>
      <c r="AE26" s="102">
        <f>IF(D26=DP!$L$22,(DP!$N$22),IF(D26=DP!$L$23,(DP!$N$23),IF(D26=DP!$L$24,(DP!$N$24),IF(D26=DP!$L$25,(DP!$N$25),((0*1))))))</f>
        <v>0</v>
      </c>
      <c r="AF26" s="93">
        <f t="shared" si="12"/>
        <v>0</v>
      </c>
      <c r="AG26" s="93">
        <f>IF(D26=DP!$L$15,(F26/DP!$K$15)*(1+DP!$M$15),IF(D26=DP!$L$16,(F26/DP!$K$16)*(1+DP!$M$16),IF(D26=DP!$L$17,(F26/DP!$K$17)*(1+DP!$M$17),IF(D26=DP!$L$18,(F26/DP!$K$18)*(1+DP!$M$18),0*1))))</f>
        <v>0</v>
      </c>
      <c r="AH26" s="102">
        <f>IF(D26=DP!$L$22,(DP!$O$22),IF(D26=DP!$L$23,(DP!$O$23),IF(D26=DP!$L$24,(DP!$O$24),IF(D26=DP!$L$25,(DP!$O$25),((0*1))))))</f>
        <v>0</v>
      </c>
      <c r="AI26" s="93">
        <f t="shared" si="13"/>
        <v>0</v>
      </c>
      <c r="AJ26" s="93">
        <f>IF(D26=DP!$L$15,F26*(1+DP!$M$15),IF(D26=DP!$L$16,F26*(1+DP!$M$16),IF(D26=DP!$L$17,F26*(1+DP!$M$17),IF(D26=DP!$L$18,F26*(1+DP!$M$18),0*1))))</f>
        <v>0</v>
      </c>
      <c r="AK26" s="102">
        <f>IF(D26=DP!$L$22,(DP!$P$22),IF(D26=DP!$L$23,(DP!$P$23),IF(D26=DP!$L$24,(DP!$P$24),IF(D26=DP!$L$25,(DP!$P$25),((0*1))))))</f>
        <v>0</v>
      </c>
      <c r="AL26" s="93">
        <f t="shared" si="14"/>
        <v>0</v>
      </c>
      <c r="AM26" s="100"/>
      <c r="AN26" s="149">
        <f t="shared" si="15"/>
        <v>0</v>
      </c>
      <c r="AO26" s="149">
        <f>DP!$N$35*H26</f>
        <v>0</v>
      </c>
      <c r="AP26" s="149">
        <f>DP!$O$35*H26</f>
        <v>0</v>
      </c>
      <c r="AQ26" s="149">
        <f>DP!$P$35*H26</f>
        <v>0</v>
      </c>
      <c r="AV26" s="412">
        <f>DP!AV32</f>
        <v>0</v>
      </c>
      <c r="AW26" s="412">
        <f>DP!AW32</f>
        <v>0</v>
      </c>
      <c r="AX26" s="412">
        <f>DP!AX32</f>
        <v>0</v>
      </c>
      <c r="AY26" s="412">
        <f t="shared" si="25"/>
        <v>0</v>
      </c>
      <c r="AZ26" s="487">
        <f>DP!AY32</f>
        <v>0</v>
      </c>
      <c r="BA26" s="98">
        <f t="shared" si="16"/>
        <v>0</v>
      </c>
      <c r="BB26" s="97"/>
      <c r="BC26" s="102">
        <f t="shared" si="26"/>
        <v>0</v>
      </c>
      <c r="BD26" s="98">
        <f t="shared" si="27"/>
        <v>0</v>
      </c>
      <c r="BE26" s="93">
        <f t="shared" si="28"/>
        <v>0</v>
      </c>
      <c r="BF26" s="99">
        <f t="shared" si="29"/>
        <v>0</v>
      </c>
      <c r="BG26" s="100"/>
      <c r="BH26" s="102">
        <f>IFERROR((BA26*100%)/DP!$AO$29,(0*1))</f>
        <v>0</v>
      </c>
      <c r="BI26" s="102">
        <f>IF(BH26&gt;0,(DP!$AO$31),0*1)</f>
        <v>0</v>
      </c>
      <c r="BJ26" s="435">
        <f t="shared" si="17"/>
        <v>0</v>
      </c>
      <c r="BK26" s="475">
        <f>BA26*DP!$AM$44</f>
        <v>0</v>
      </c>
      <c r="BL26" s="475">
        <f>IF(BA26&gt;0,DP!$AN$44,0*1)</f>
        <v>0</v>
      </c>
      <c r="BM26" s="475">
        <f t="shared" si="18"/>
        <v>0</v>
      </c>
      <c r="BN26" s="102">
        <f>BA26*DP!$AM$45</f>
        <v>0</v>
      </c>
      <c r="BO26" s="102">
        <f>IF(BA26&gt;0,DP!$AN$45,0*1)</f>
        <v>0</v>
      </c>
      <c r="BP26" s="475">
        <f t="shared" si="19"/>
        <v>0</v>
      </c>
      <c r="BQ26" s="100"/>
      <c r="BR26" s="100"/>
      <c r="BS26" s="100"/>
      <c r="BT26" s="93">
        <f>IF(AW26=DP!$AN$15,AY26*(1+DP!$AO$15),IF(AW26=DP!$AN$16,AY26*(1+DP!$AO$16),IF(AW26=DP!$AN$17,AY26*(1+DP!$AO$17),IF(AW26=DP!$AN$18,AY26*(1+DP!$AO$18),0*1))))</f>
        <v>0</v>
      </c>
      <c r="BU26" s="102">
        <f>IF(AW26=DP!$AN$22,(DP!$AO$22),IF(AW26=DP!$AN$23,(DP!$AO$23),IF(AW26=DP!$AN$24,(DP!$AO$24),IF(AW26=DP!$AN$25,(DP!$AO$25),((0*1))))))</f>
        <v>0</v>
      </c>
      <c r="BV26" s="93">
        <f t="shared" si="20"/>
        <v>0</v>
      </c>
      <c r="BW26" s="93">
        <f>IF(AW26=DP!$AN$15,AY26*(1+DP!$AO$15),IF(AW26=DP!$AN$16,AY26*(1+DP!$AO$16),IF(AW26=DP!$AN$17,AY26*(1+DP!$AO$17),IF(AW26=DP!$AN$18,AY26*(1+DP!$AO$18),0*1))))</f>
        <v>0</v>
      </c>
      <c r="BX26" s="102">
        <f>IF(AW26=DP!$AN$22,(DP!$AP$22),IF(AW26=DP!$AN$23,(DP!$AP$23),IF(AW26=DP!$AN$24,(DP!$AP$24),IF(AW26=DP!$AN$25,(DP!$AP$25),((0*1))))))</f>
        <v>0</v>
      </c>
      <c r="BY26" s="93">
        <f t="shared" si="21"/>
        <v>0</v>
      </c>
      <c r="BZ26" s="93">
        <f>IF(AW26=DP!$AN$15,(AY26/DP!$AM$15)*(1+DP!$AO$15),IF(AW26=DP!$AN$16,(AY26/DP!$AM$16)*(1+DP!$AO$16),IF(AW26=DP!$AN$17,(AY26/DP!$AM$17)*(1+DP!$AO$17),IF(AW26=DP!$AN$18,(AY26/DP!$AM$18)*(1+DP!$AO$18),0*1))))</f>
        <v>0</v>
      </c>
      <c r="CA26" s="102">
        <f>IF(AW26=DP!$AN$22,(DP!$AQ$22),IF(AW26=DP!$AN$23,(DP!$AQ$23),IF(AW26=DP!$AN$24,(DP!$AQ$24),IF(AW26=DP!$AN$25,(DP!$AQ$25),((0*1))))))</f>
        <v>0</v>
      </c>
      <c r="CB26" s="93">
        <f t="shared" si="22"/>
        <v>0</v>
      </c>
      <c r="CC26" s="93">
        <f>IF(AW26=DP!$AN$15,AY26*(1+DP!$AO$15),IF(AW26=DP!$AN$16,AY26*(1+DP!$AO$16),IF(AW26=DP!$AN$17,AY26*(1+DP!$AO$17),IF(AW26=DP!$AN$18,AY26*(1+DP!$AO$18),0*1))))</f>
        <v>0</v>
      </c>
      <c r="CD26" s="102">
        <f>IF(AW26=DP!$AN$22,(DP!$AR$22),IF(AW26=DP!$AN$23,(DP!$AR$23),IF(AW26=DP!$AN$24,(DP!$AR$24),IF(AW26=DP!$AN$25,(DP!$AR$25),((0*1))))))</f>
        <v>0</v>
      </c>
      <c r="CE26" s="93">
        <f t="shared" si="23"/>
        <v>0</v>
      </c>
      <c r="CF26" s="100"/>
      <c r="CG26" s="148">
        <f t="shared" si="24"/>
        <v>0</v>
      </c>
      <c r="CH26" s="149">
        <f>DP!$N$35*BA26</f>
        <v>0</v>
      </c>
      <c r="CI26" s="149">
        <f>DP!$O$35*BA26</f>
        <v>0</v>
      </c>
      <c r="CJ26" s="149">
        <f>DP!$P$35*BA26</f>
        <v>0</v>
      </c>
    </row>
    <row r="27" spans="2:88" x14ac:dyDescent="0.35">
      <c r="B27" s="469">
        <f>DP!S33</f>
        <v>0</v>
      </c>
      <c r="C27" s="94">
        <f>DP!T33</f>
        <v>0</v>
      </c>
      <c r="D27" s="450">
        <f>DP!U33</f>
        <v>0</v>
      </c>
      <c r="E27" s="450">
        <f>DP!V33</f>
        <v>0</v>
      </c>
      <c r="F27" s="412">
        <f t="shared" si="0"/>
        <v>0</v>
      </c>
      <c r="G27" s="470">
        <f>DP!W33</f>
        <v>0</v>
      </c>
      <c r="H27" s="472">
        <f t="shared" si="1"/>
        <v>0</v>
      </c>
      <c r="I27" s="97"/>
      <c r="J27" s="102">
        <f t="shared" si="2"/>
        <v>0</v>
      </c>
      <c r="K27" s="98">
        <f t="shared" si="3"/>
        <v>0</v>
      </c>
      <c r="L27" s="93">
        <f t="shared" si="4"/>
        <v>0</v>
      </c>
      <c r="M27" s="99">
        <f t="shared" si="5"/>
        <v>0</v>
      </c>
      <c r="N27" s="100"/>
      <c r="O27" s="146">
        <f>($E27/DP!$M$29)*F27</f>
        <v>0</v>
      </c>
      <c r="P27" s="102">
        <f>IF(O27&gt;0,(DP!$M$31),0*1)</f>
        <v>0</v>
      </c>
      <c r="Q27" s="102">
        <f t="shared" si="6"/>
        <v>0</v>
      </c>
      <c r="R27" s="102">
        <f t="shared" si="7"/>
        <v>0</v>
      </c>
      <c r="S27" s="418">
        <f t="shared" si="8"/>
        <v>0</v>
      </c>
      <c r="T27" s="475">
        <f>H27*DP!$K$44</f>
        <v>0</v>
      </c>
      <c r="U27" s="475">
        <f>IF(H27&gt;0,DP!$L$44,0*1)</f>
        <v>0</v>
      </c>
      <c r="V27" s="475">
        <f t="shared" si="9"/>
        <v>0</v>
      </c>
      <c r="W27" s="475">
        <f>H27*DP!$K$45</f>
        <v>0</v>
      </c>
      <c r="X27" s="475">
        <f>IF(H27&gt;0,DP!$L$45,0*1)</f>
        <v>0</v>
      </c>
      <c r="Y27" s="475">
        <f t="shared" si="10"/>
        <v>0</v>
      </c>
      <c r="Z27" s="100"/>
      <c r="AA27" s="93">
        <f>IF(D27=DP!$L$15,F27*(1+DP!$M$15),IF(D27=DP!$L$16,F27*(1+DP!$M$16),IF(D27=DP!$L$17,F27*(1+DP!$M$17),IF(D27=DP!$L$18,F27*(1+DP!$M$18),0*1))))</f>
        <v>0</v>
      </c>
      <c r="AB27" s="102">
        <f>IF(D27=DP!$L$22,(DP!$M$22),IF(D27=DP!$L$23,(DP!$M$23),IF(D27=DP!$L$24,(DP!$M$24),IF(D27=DP!$L$25,(DP!$M$25),((0*1))))))</f>
        <v>0</v>
      </c>
      <c r="AC27" s="93">
        <f t="shared" si="11"/>
        <v>0</v>
      </c>
      <c r="AD27" s="93">
        <f>IF(D27=DP!$L$15,F27*(1+DP!$M$15),IF(D27=DP!$L$16,F27*(1+DP!$M$16),IF(D27=DP!$L$17,F27*(1+DP!$M$17),IF(D27=DP!$L$18,F27*(1+DP!$M$18),0*1))))</f>
        <v>0</v>
      </c>
      <c r="AE27" s="102">
        <f>IF(D27=DP!$L$22,(DP!$N$22),IF(D27=DP!$L$23,(DP!$N$23),IF(D27=DP!$L$24,(DP!$N$24),IF(D27=DP!$L$25,(DP!$N$25),((0*1))))))</f>
        <v>0</v>
      </c>
      <c r="AF27" s="93">
        <f t="shared" si="12"/>
        <v>0</v>
      </c>
      <c r="AG27" s="93">
        <f>IF(D27=DP!$L$15,(F27/DP!$K$15)*(1+DP!$M$15),IF(D27=DP!$L$16,(F27/DP!$K$16)*(1+DP!$M$16),IF(D27=DP!$L$17,(F27/DP!$K$17)*(1+DP!$M$17),IF(D27=DP!$L$18,(F27/DP!$K$18)*(1+DP!$M$18),0*1))))</f>
        <v>0</v>
      </c>
      <c r="AH27" s="102">
        <f>IF(D27=DP!$L$22,(DP!$O$22),IF(D27=DP!$L$23,(DP!$O$23),IF(D27=DP!$L$24,(DP!$O$24),IF(D27=DP!$L$25,(DP!$O$25),((0*1))))))</f>
        <v>0</v>
      </c>
      <c r="AI27" s="93">
        <f t="shared" si="13"/>
        <v>0</v>
      </c>
      <c r="AJ27" s="93">
        <f>IF(D27=DP!$L$15,F27*(1+DP!$M$15),IF(D27=DP!$L$16,F27*(1+DP!$M$16),IF(D27=DP!$L$17,F27*(1+DP!$M$17),IF(D27=DP!$L$18,F27*(1+DP!$M$18),0*1))))</f>
        <v>0</v>
      </c>
      <c r="AK27" s="102">
        <f>IF(D27=DP!$L$22,(DP!$P$22),IF(D27=DP!$L$23,(DP!$P$23),IF(D27=DP!$L$24,(DP!$P$24),IF(D27=DP!$L$25,(DP!$P$25),((0*1))))))</f>
        <v>0</v>
      </c>
      <c r="AL27" s="93">
        <f t="shared" si="14"/>
        <v>0</v>
      </c>
      <c r="AM27" s="100"/>
      <c r="AN27" s="149">
        <f t="shared" si="15"/>
        <v>0</v>
      </c>
      <c r="AO27" s="149">
        <f>DP!$N$35*H27</f>
        <v>0</v>
      </c>
      <c r="AP27" s="149">
        <f>DP!$O$35*H27</f>
        <v>0</v>
      </c>
      <c r="AQ27" s="149">
        <f>DP!$P$35*H27</f>
        <v>0</v>
      </c>
      <c r="AV27" s="412">
        <f>DP!AV33</f>
        <v>0</v>
      </c>
      <c r="AW27" s="412">
        <f>DP!AW33</f>
        <v>0</v>
      </c>
      <c r="AX27" s="412">
        <f>DP!AX33</f>
        <v>0</v>
      </c>
      <c r="AY27" s="412">
        <f t="shared" si="25"/>
        <v>0</v>
      </c>
      <c r="AZ27" s="487">
        <f>DP!AY33</f>
        <v>0</v>
      </c>
      <c r="BA27" s="98">
        <f t="shared" si="16"/>
        <v>0</v>
      </c>
      <c r="BB27" s="97"/>
      <c r="BC27" s="102">
        <f t="shared" si="26"/>
        <v>0</v>
      </c>
      <c r="BD27" s="98">
        <f t="shared" si="27"/>
        <v>0</v>
      </c>
      <c r="BE27" s="93">
        <f t="shared" si="28"/>
        <v>0</v>
      </c>
      <c r="BF27" s="99">
        <f t="shared" si="29"/>
        <v>0</v>
      </c>
      <c r="BG27" s="100"/>
      <c r="BH27" s="102">
        <f>IFERROR((BA27*100%)/DP!$AO$29,(0*1))</f>
        <v>0</v>
      </c>
      <c r="BI27" s="102">
        <f>IF(BH27&gt;0,(DP!$AO$31),0*1)</f>
        <v>0</v>
      </c>
      <c r="BJ27" s="435">
        <f t="shared" si="17"/>
        <v>0</v>
      </c>
      <c r="BK27" s="475">
        <f>BA27*DP!$AM$44</f>
        <v>0</v>
      </c>
      <c r="BL27" s="475">
        <f>IF(BA27&gt;0,DP!$AN$44,0*1)</f>
        <v>0</v>
      </c>
      <c r="BM27" s="475">
        <f t="shared" si="18"/>
        <v>0</v>
      </c>
      <c r="BN27" s="102">
        <f>BA27*DP!$AM$45</f>
        <v>0</v>
      </c>
      <c r="BO27" s="102">
        <f>IF(BA27&gt;0,DP!$AN$45,0*1)</f>
        <v>0</v>
      </c>
      <c r="BP27" s="475">
        <f t="shared" si="19"/>
        <v>0</v>
      </c>
      <c r="BQ27" s="100"/>
      <c r="BR27" s="100"/>
      <c r="BS27" s="100"/>
      <c r="BT27" s="93">
        <f>IF(AW27=DP!$AN$15,AY27*(1+DP!$AO$15),IF(AW27=DP!$AN$16,AY27*(1+DP!$AO$16),IF(AW27=DP!$AN$17,AY27*(1+DP!$AO$17),IF(AW27=DP!$AN$18,AY27*(1+DP!$AO$18),0*1))))</f>
        <v>0</v>
      </c>
      <c r="BU27" s="102">
        <f>IF(AW27=DP!$AN$22,(DP!$AO$22),IF(AW27=DP!$AN$23,(DP!$AO$23),IF(AW27=DP!$AN$24,(DP!$AO$24),IF(AW27=DP!$AN$25,(DP!$AO$25),((0*1))))))</f>
        <v>0</v>
      </c>
      <c r="BV27" s="93">
        <f t="shared" si="20"/>
        <v>0</v>
      </c>
      <c r="BW27" s="93">
        <f>IF(AW27=DP!$AN$15,AY27*(1+DP!$AO$15),IF(AW27=DP!$AN$16,AY27*(1+DP!$AO$16),IF(AW27=DP!$AN$17,AY27*(1+DP!$AO$17),IF(AW27=DP!$AN$18,AY27*(1+DP!$AO$18),0*1))))</f>
        <v>0</v>
      </c>
      <c r="BX27" s="102">
        <f>IF(AW27=DP!$AN$22,(DP!$AP$22),IF(AW27=DP!$AN$23,(DP!$AP$23),IF(AW27=DP!$AN$24,(DP!$AP$24),IF(AW27=DP!$AN$25,(DP!$AP$25),((0*1))))))</f>
        <v>0</v>
      </c>
      <c r="BY27" s="93">
        <f t="shared" si="21"/>
        <v>0</v>
      </c>
      <c r="BZ27" s="93">
        <f>IF(AW27=DP!$AN$15,(AY27/DP!$AM$15)*(1+DP!$AO$15),IF(AW27=DP!$AN$16,(AY27/DP!$AM$16)*(1+DP!$AO$16),IF(AW27=DP!$AN$17,(AY27/DP!$AM$17)*(1+DP!$AO$17),IF(AW27=DP!$AN$18,(AY27/DP!$AM$18)*(1+DP!$AO$18),0*1))))</f>
        <v>0</v>
      </c>
      <c r="CA27" s="102">
        <f>IF(AW27=DP!$AN$22,(DP!$AQ$22),IF(AW27=DP!$AN$23,(DP!$AQ$23),IF(AW27=DP!$AN$24,(DP!$AQ$24),IF(AW27=DP!$AN$25,(DP!$AQ$25),((0*1))))))</f>
        <v>0</v>
      </c>
      <c r="CB27" s="93">
        <f t="shared" si="22"/>
        <v>0</v>
      </c>
      <c r="CC27" s="93">
        <f>IF(AW27=DP!$AN$15,AY27*(1+DP!$AO$15),IF(AW27=DP!$AN$16,AY27*(1+DP!$AO$16),IF(AW27=DP!$AN$17,AY27*(1+DP!$AO$17),IF(AW27=DP!$AN$18,AY27*(1+DP!$AO$18),0*1))))</f>
        <v>0</v>
      </c>
      <c r="CD27" s="102">
        <f>IF(AW27=DP!$AN$22,(DP!$AR$22),IF(AW27=DP!$AN$23,(DP!$AR$23),IF(AW27=DP!$AN$24,(DP!$AR$24),IF(AW27=DP!$AN$25,(DP!$AR$25),((0*1))))))</f>
        <v>0</v>
      </c>
      <c r="CE27" s="93">
        <f t="shared" si="23"/>
        <v>0</v>
      </c>
      <c r="CF27" s="100"/>
      <c r="CG27" s="148">
        <f t="shared" si="24"/>
        <v>0</v>
      </c>
      <c r="CH27" s="149">
        <f>DP!$N$35*BA27</f>
        <v>0</v>
      </c>
      <c r="CI27" s="149">
        <f>DP!$O$35*BA27</f>
        <v>0</v>
      </c>
      <c r="CJ27" s="149">
        <f>DP!$P$35*BA27</f>
        <v>0</v>
      </c>
    </row>
    <row r="28" spans="2:88" x14ac:dyDescent="0.35">
      <c r="B28" s="469">
        <f>DP!S34</f>
        <v>0</v>
      </c>
      <c r="C28" s="94">
        <f>DP!T34</f>
        <v>0</v>
      </c>
      <c r="D28" s="450">
        <f>DP!U34</f>
        <v>0</v>
      </c>
      <c r="E28" s="450">
        <f>DP!V34</f>
        <v>0</v>
      </c>
      <c r="F28" s="412">
        <f t="shared" si="0"/>
        <v>0</v>
      </c>
      <c r="G28" s="470">
        <f>DP!W34</f>
        <v>0</v>
      </c>
      <c r="H28" s="472">
        <f t="shared" si="1"/>
        <v>0</v>
      </c>
      <c r="I28" s="97"/>
      <c r="J28" s="102">
        <f t="shared" si="2"/>
        <v>0</v>
      </c>
      <c r="K28" s="98">
        <f t="shared" si="3"/>
        <v>0</v>
      </c>
      <c r="L28" s="93">
        <f t="shared" si="4"/>
        <v>0</v>
      </c>
      <c r="M28" s="99">
        <f t="shared" si="5"/>
        <v>0</v>
      </c>
      <c r="N28" s="100"/>
      <c r="O28" s="146">
        <f>($E28/DP!$M$29)*F28</f>
        <v>0</v>
      </c>
      <c r="P28" s="102">
        <f>IF(O28&gt;0,(DP!$M$31),0*1)</f>
        <v>0</v>
      </c>
      <c r="Q28" s="102">
        <f t="shared" si="6"/>
        <v>0</v>
      </c>
      <c r="R28" s="102">
        <f t="shared" si="7"/>
        <v>0</v>
      </c>
      <c r="S28" s="418">
        <f t="shared" si="8"/>
        <v>0</v>
      </c>
      <c r="T28" s="475">
        <f>H28*DP!$K$44</f>
        <v>0</v>
      </c>
      <c r="U28" s="475">
        <f>IF(H28&gt;0,DP!$L$44,0*1)</f>
        <v>0</v>
      </c>
      <c r="V28" s="475">
        <f t="shared" si="9"/>
        <v>0</v>
      </c>
      <c r="W28" s="475">
        <f>H28*DP!$K$45</f>
        <v>0</v>
      </c>
      <c r="X28" s="475">
        <f>IF(H28&gt;0,DP!$L$45,0*1)</f>
        <v>0</v>
      </c>
      <c r="Y28" s="475">
        <f t="shared" si="10"/>
        <v>0</v>
      </c>
      <c r="Z28" s="100"/>
      <c r="AA28" s="93">
        <f>IF(D28=DP!$L$15,F28*(1+DP!$M$15),IF(D28=DP!$L$16,F28*(1+DP!$M$16),IF(D28=DP!$L$17,F28*(1+DP!$M$17),IF(D28=DP!$L$18,F28*(1+DP!$M$18),0*1))))</f>
        <v>0</v>
      </c>
      <c r="AB28" s="102">
        <f>IF(D28=DP!$L$22,(DP!$M$22),IF(D28=DP!$L$23,(DP!$M$23),IF(D28=DP!$L$24,(DP!$M$24),IF(D28=DP!$L$25,(DP!$M$25),((0*1))))))</f>
        <v>0</v>
      </c>
      <c r="AC28" s="93">
        <f t="shared" si="11"/>
        <v>0</v>
      </c>
      <c r="AD28" s="93">
        <f>IF(D28=DP!$L$15,F28*(1+DP!$M$15),IF(D28=DP!$L$16,F28*(1+DP!$M$16),IF(D28=DP!$L$17,F28*(1+DP!$M$17),IF(D28=DP!$L$18,F28*(1+DP!$M$18),0*1))))</f>
        <v>0</v>
      </c>
      <c r="AE28" s="102">
        <f>IF(D28=DP!$L$22,(DP!$N$22),IF(D28=DP!$L$23,(DP!$N$23),IF(D28=DP!$L$24,(DP!$N$24),IF(D28=DP!$L$25,(DP!$N$25),((0*1))))))</f>
        <v>0</v>
      </c>
      <c r="AF28" s="93">
        <f t="shared" si="12"/>
        <v>0</v>
      </c>
      <c r="AG28" s="93">
        <f>IF(D28=DP!$L$15,(F28/DP!$K$15)*(1+DP!$M$15),IF(D28=DP!$L$16,(F28/DP!$K$16)*(1+DP!$M$16),IF(D28=DP!$L$17,(F28/DP!$K$17)*(1+DP!$M$17),IF(D28=DP!$L$18,(F28/DP!$K$18)*(1+DP!$M$18),0*1))))</f>
        <v>0</v>
      </c>
      <c r="AH28" s="102">
        <f>IF(D28=DP!$L$22,(DP!$O$22),IF(D28=DP!$L$23,(DP!$O$23),IF(D28=DP!$L$24,(DP!$O$24),IF(D28=DP!$L$25,(DP!$O$25),((0*1))))))</f>
        <v>0</v>
      </c>
      <c r="AI28" s="93">
        <f t="shared" si="13"/>
        <v>0</v>
      </c>
      <c r="AJ28" s="93">
        <f>IF(D28=DP!$L$15,F28*(1+DP!$M$15),IF(D28=DP!$L$16,F28*(1+DP!$M$16),IF(D28=DP!$L$17,F28*(1+DP!$M$17),IF(D28=DP!$L$18,F28*(1+DP!$M$18),0*1))))</f>
        <v>0</v>
      </c>
      <c r="AK28" s="102">
        <f>IF(D28=DP!$L$22,(DP!$P$22),IF(D28=DP!$L$23,(DP!$P$23),IF(D28=DP!$L$24,(DP!$P$24),IF(D28=DP!$L$25,(DP!$P$25),((0*1))))))</f>
        <v>0</v>
      </c>
      <c r="AL28" s="93">
        <f t="shared" si="14"/>
        <v>0</v>
      </c>
      <c r="AM28" s="100"/>
      <c r="AN28" s="149">
        <f t="shared" si="15"/>
        <v>0</v>
      </c>
      <c r="AO28" s="149">
        <f>DP!$N$35*H28</f>
        <v>0</v>
      </c>
      <c r="AP28" s="149">
        <f>DP!$O$35*H28</f>
        <v>0</v>
      </c>
      <c r="AQ28" s="149">
        <f>DP!$P$35*H28</f>
        <v>0</v>
      </c>
      <c r="AV28" s="412">
        <f>DP!AV34</f>
        <v>0</v>
      </c>
      <c r="AW28" s="412">
        <f>DP!AW34</f>
        <v>0</v>
      </c>
      <c r="AX28" s="412">
        <f>DP!AX34</f>
        <v>0</v>
      </c>
      <c r="AY28" s="412">
        <f t="shared" si="25"/>
        <v>0</v>
      </c>
      <c r="AZ28" s="487">
        <f>DP!AY34</f>
        <v>0</v>
      </c>
      <c r="BA28" s="98">
        <f t="shared" si="16"/>
        <v>0</v>
      </c>
      <c r="BB28" s="97"/>
      <c r="BC28" s="102">
        <f t="shared" si="26"/>
        <v>0</v>
      </c>
      <c r="BD28" s="98">
        <f t="shared" si="27"/>
        <v>0</v>
      </c>
      <c r="BE28" s="93">
        <f t="shared" si="28"/>
        <v>0</v>
      </c>
      <c r="BF28" s="99">
        <f t="shared" si="29"/>
        <v>0</v>
      </c>
      <c r="BG28" s="100"/>
      <c r="BH28" s="102">
        <f>IFERROR((BA28*100%)/DP!$AO$29,(0*1))</f>
        <v>0</v>
      </c>
      <c r="BI28" s="102">
        <f>IF(BH28&gt;0,(DP!$AO$31),0*1)</f>
        <v>0</v>
      </c>
      <c r="BJ28" s="435">
        <f t="shared" si="17"/>
        <v>0</v>
      </c>
      <c r="BK28" s="475">
        <f>BA28*DP!$AM$44</f>
        <v>0</v>
      </c>
      <c r="BL28" s="475">
        <f>IF(BA28&gt;0,DP!$AN$44,0*1)</f>
        <v>0</v>
      </c>
      <c r="BM28" s="475">
        <f t="shared" si="18"/>
        <v>0</v>
      </c>
      <c r="BN28" s="102">
        <f>BA28*DP!$AM$45</f>
        <v>0</v>
      </c>
      <c r="BO28" s="102">
        <f>IF(BA28&gt;0,DP!$AN$45,0*1)</f>
        <v>0</v>
      </c>
      <c r="BP28" s="475">
        <f t="shared" si="19"/>
        <v>0</v>
      </c>
      <c r="BQ28" s="100"/>
      <c r="BR28" s="100"/>
      <c r="BS28" s="100"/>
      <c r="BT28" s="93">
        <f>IF(AW28=DP!$AN$15,AY28*(1+DP!$AO$15),IF(AW28=DP!$AN$16,AY28*(1+DP!$AO$16),IF(AW28=DP!$AN$17,AY28*(1+DP!$AO$17),IF(AW28=DP!$AN$18,AY28*(1+DP!$AO$18),0*1))))</f>
        <v>0</v>
      </c>
      <c r="BU28" s="102">
        <f>IF(AW28=DP!$AN$22,(DP!$AO$22),IF(AW28=DP!$AN$23,(DP!$AO$23),IF(AW28=DP!$AN$24,(DP!$AO$24),IF(AW28=DP!$AN$25,(DP!$AO$25),((0*1))))))</f>
        <v>0</v>
      </c>
      <c r="BV28" s="93">
        <f t="shared" si="20"/>
        <v>0</v>
      </c>
      <c r="BW28" s="93">
        <f>IF(AW28=DP!$AN$15,AY28*(1+DP!$AO$15),IF(AW28=DP!$AN$16,AY28*(1+DP!$AO$16),IF(AW28=DP!$AN$17,AY28*(1+DP!$AO$17),IF(AW28=DP!$AN$18,AY28*(1+DP!$AO$18),0*1))))</f>
        <v>0</v>
      </c>
      <c r="BX28" s="102">
        <f>IF(AW28=DP!$AN$22,(DP!$AP$22),IF(AW28=DP!$AN$23,(DP!$AP$23),IF(AW28=DP!$AN$24,(DP!$AP$24),IF(AW28=DP!$AN$25,(DP!$AP$25),((0*1))))))</f>
        <v>0</v>
      </c>
      <c r="BY28" s="93">
        <f t="shared" si="21"/>
        <v>0</v>
      </c>
      <c r="BZ28" s="93">
        <f>IF(AW28=DP!$AN$15,(AY28/DP!$AM$15)*(1+DP!$AO$15),IF(AW28=DP!$AN$16,(AY28/DP!$AM$16)*(1+DP!$AO$16),IF(AW28=DP!$AN$17,(AY28/DP!$AM$17)*(1+DP!$AO$17),IF(AW28=DP!$AN$18,(AY28/DP!$AM$18)*(1+DP!$AO$18),0*1))))</f>
        <v>0</v>
      </c>
      <c r="CA28" s="102">
        <f>IF(AW28=DP!$AN$22,(DP!$AQ$22),IF(AW28=DP!$AN$23,(DP!$AQ$23),IF(AW28=DP!$AN$24,(DP!$AQ$24),IF(AW28=DP!$AN$25,(DP!$AQ$25),((0*1))))))</f>
        <v>0</v>
      </c>
      <c r="CB28" s="93">
        <f t="shared" si="22"/>
        <v>0</v>
      </c>
      <c r="CC28" s="93">
        <f>IF(AW28=DP!$AN$15,AY28*(1+DP!$AO$15),IF(AW28=DP!$AN$16,AY28*(1+DP!$AO$16),IF(AW28=DP!$AN$17,AY28*(1+DP!$AO$17),IF(AW28=DP!$AN$18,AY28*(1+DP!$AO$18),0*1))))</f>
        <v>0</v>
      </c>
      <c r="CD28" s="102">
        <f>IF(AW28=DP!$AN$22,(DP!$AR$22),IF(AW28=DP!$AN$23,(DP!$AR$23),IF(AW28=DP!$AN$24,(DP!$AR$24),IF(AW28=DP!$AN$25,(DP!$AR$25),((0*1))))))</f>
        <v>0</v>
      </c>
      <c r="CE28" s="93">
        <f t="shared" si="23"/>
        <v>0</v>
      </c>
      <c r="CF28" s="100"/>
      <c r="CG28" s="148">
        <f t="shared" si="24"/>
        <v>0</v>
      </c>
      <c r="CH28" s="149">
        <f>DP!$N$35*BA28</f>
        <v>0</v>
      </c>
      <c r="CI28" s="149">
        <f>DP!$O$35*BA28</f>
        <v>0</v>
      </c>
      <c r="CJ28" s="149">
        <f>DP!$P$35*BA28</f>
        <v>0</v>
      </c>
    </row>
    <row r="29" spans="2:88" x14ac:dyDescent="0.35">
      <c r="B29" s="469">
        <f>DP!S35</f>
        <v>0</v>
      </c>
      <c r="C29" s="94">
        <f>DP!T35</f>
        <v>0</v>
      </c>
      <c r="D29" s="450">
        <f>DP!U35</f>
        <v>0</v>
      </c>
      <c r="E29" s="450">
        <f>DP!V35</f>
        <v>0</v>
      </c>
      <c r="F29" s="412">
        <f t="shared" si="0"/>
        <v>0</v>
      </c>
      <c r="G29" s="470">
        <f>DP!W35</f>
        <v>0</v>
      </c>
      <c r="H29" s="472">
        <f t="shared" si="1"/>
        <v>0</v>
      </c>
      <c r="I29" s="97"/>
      <c r="J29" s="102">
        <f t="shared" si="2"/>
        <v>0</v>
      </c>
      <c r="K29" s="98">
        <f t="shared" si="3"/>
        <v>0</v>
      </c>
      <c r="L29" s="93">
        <f t="shared" si="4"/>
        <v>0</v>
      </c>
      <c r="M29" s="99">
        <f t="shared" si="5"/>
        <v>0</v>
      </c>
      <c r="N29" s="100"/>
      <c r="O29" s="146">
        <f>($E29/DP!$M$29)*F29</f>
        <v>0</v>
      </c>
      <c r="P29" s="102">
        <f>IF(O29&gt;0,(DP!$M$31),0*1)</f>
        <v>0</v>
      </c>
      <c r="Q29" s="102">
        <f t="shared" si="6"/>
        <v>0</v>
      </c>
      <c r="R29" s="102">
        <f t="shared" si="7"/>
        <v>0</v>
      </c>
      <c r="S29" s="418">
        <f t="shared" si="8"/>
        <v>0</v>
      </c>
      <c r="T29" s="475">
        <f>H29*DP!$K$44</f>
        <v>0</v>
      </c>
      <c r="U29" s="475">
        <f>IF(H29&gt;0,DP!$L$44,0*1)</f>
        <v>0</v>
      </c>
      <c r="V29" s="475">
        <f t="shared" si="9"/>
        <v>0</v>
      </c>
      <c r="W29" s="475">
        <f>H29*DP!$K$45</f>
        <v>0</v>
      </c>
      <c r="X29" s="475">
        <f>IF(H29&gt;0,DP!$L$45,0*1)</f>
        <v>0</v>
      </c>
      <c r="Y29" s="475">
        <f t="shared" si="10"/>
        <v>0</v>
      </c>
      <c r="Z29" s="100"/>
      <c r="AA29" s="93">
        <f>IF(D29=DP!$L$15,F29*(1+DP!$M$15),IF(D29=DP!$L$16,F29*(1+DP!$M$16),IF(D29=DP!$L$17,F29*(1+DP!$M$17),IF(D29=DP!$L$18,F29*(1+DP!$M$18),0*1))))</f>
        <v>0</v>
      </c>
      <c r="AB29" s="102">
        <f>IF(D29=DP!$L$22,(DP!$M$22),IF(D29=DP!$L$23,(DP!$M$23),IF(D29=DP!$L$24,(DP!$M$24),IF(D29=DP!$L$25,(DP!$M$25),((0*1))))))</f>
        <v>0</v>
      </c>
      <c r="AC29" s="93">
        <f t="shared" si="11"/>
        <v>0</v>
      </c>
      <c r="AD29" s="93">
        <f>IF(D29=DP!$L$15,F29*(1+DP!$M$15),IF(D29=DP!$L$16,F29*(1+DP!$M$16),IF(D29=DP!$L$17,F29*(1+DP!$M$17),IF(D29=DP!$L$18,F29*(1+DP!$M$18),0*1))))</f>
        <v>0</v>
      </c>
      <c r="AE29" s="102">
        <f>IF(D29=DP!$L$22,(DP!$N$22),IF(D29=DP!$L$23,(DP!$N$23),IF(D29=DP!$L$24,(DP!$N$24),IF(D29=DP!$L$25,(DP!$N$25),((0*1))))))</f>
        <v>0</v>
      </c>
      <c r="AF29" s="93">
        <f t="shared" si="12"/>
        <v>0</v>
      </c>
      <c r="AG29" s="93">
        <f>IF(D29=DP!$L$15,(F29/DP!$K$15)*(1+DP!$M$15),IF(D29=DP!$L$16,(F29/DP!$K$16)*(1+DP!$M$16),IF(D29=DP!$L$17,(F29/DP!$K$17)*(1+DP!$M$17),IF(D29=DP!$L$18,(F29/DP!$K$18)*(1+DP!$M$18),0*1))))</f>
        <v>0</v>
      </c>
      <c r="AH29" s="102">
        <f>IF(D29=DP!$L$22,(DP!$O$22),IF(D29=DP!$L$23,(DP!$O$23),IF(D29=DP!$L$24,(DP!$O$24),IF(D29=DP!$L$25,(DP!$O$25),((0*1))))))</f>
        <v>0</v>
      </c>
      <c r="AI29" s="93">
        <f t="shared" si="13"/>
        <v>0</v>
      </c>
      <c r="AJ29" s="93">
        <f>IF(D29=DP!$L$15,F29*(1+DP!$M$15),IF(D29=DP!$L$16,F29*(1+DP!$M$16),IF(D29=DP!$L$17,F29*(1+DP!$M$17),IF(D29=DP!$L$18,F29*(1+DP!$M$18),0*1))))</f>
        <v>0</v>
      </c>
      <c r="AK29" s="102">
        <f>IF(D29=DP!$L$22,(DP!$P$22),IF(D29=DP!$L$23,(DP!$P$23),IF(D29=DP!$L$24,(DP!$P$24),IF(D29=DP!$L$25,(DP!$P$25),((0*1))))))</f>
        <v>0</v>
      </c>
      <c r="AL29" s="93">
        <f t="shared" si="14"/>
        <v>0</v>
      </c>
      <c r="AM29" s="100"/>
      <c r="AN29" s="149">
        <f t="shared" si="15"/>
        <v>0</v>
      </c>
      <c r="AO29" s="149">
        <f>DP!$N$35*H29</f>
        <v>0</v>
      </c>
      <c r="AP29" s="149">
        <f>DP!$O$35*H29</f>
        <v>0</v>
      </c>
      <c r="AQ29" s="149">
        <f>DP!$P$35*H29</f>
        <v>0</v>
      </c>
      <c r="AV29" s="412">
        <f>DP!AV35</f>
        <v>0</v>
      </c>
      <c r="AW29" s="412">
        <f>DP!AW35</f>
        <v>0</v>
      </c>
      <c r="AX29" s="412">
        <f>DP!AX35</f>
        <v>0</v>
      </c>
      <c r="AY29" s="412">
        <f t="shared" si="25"/>
        <v>0</v>
      </c>
      <c r="AZ29" s="487">
        <f>DP!AY35</f>
        <v>0</v>
      </c>
      <c r="BA29" s="98">
        <f t="shared" si="16"/>
        <v>0</v>
      </c>
      <c r="BB29" s="97"/>
      <c r="BC29" s="102">
        <f t="shared" si="26"/>
        <v>0</v>
      </c>
      <c r="BD29" s="98">
        <f t="shared" si="27"/>
        <v>0</v>
      </c>
      <c r="BE29" s="93">
        <f t="shared" si="28"/>
        <v>0</v>
      </c>
      <c r="BF29" s="99">
        <f t="shared" si="29"/>
        <v>0</v>
      </c>
      <c r="BG29" s="100"/>
      <c r="BH29" s="102">
        <f>IFERROR((BA29*100%)/DP!$AO$29,(0*1))</f>
        <v>0</v>
      </c>
      <c r="BI29" s="102">
        <f>IF(BH29&gt;0,(DP!$AO$31),0*1)</f>
        <v>0</v>
      </c>
      <c r="BJ29" s="435">
        <f t="shared" si="17"/>
        <v>0</v>
      </c>
      <c r="BK29" s="475">
        <f>BA29*DP!$AM$44</f>
        <v>0</v>
      </c>
      <c r="BL29" s="475">
        <f>IF(BA29&gt;0,DP!$AN$44,0*1)</f>
        <v>0</v>
      </c>
      <c r="BM29" s="475">
        <f t="shared" si="18"/>
        <v>0</v>
      </c>
      <c r="BN29" s="102">
        <f>BA29*DP!$AM$45</f>
        <v>0</v>
      </c>
      <c r="BO29" s="102">
        <f>IF(BA29&gt;0,DP!$AN$45,0*1)</f>
        <v>0</v>
      </c>
      <c r="BP29" s="475">
        <f t="shared" si="19"/>
        <v>0</v>
      </c>
      <c r="BQ29" s="100"/>
      <c r="BR29" s="100"/>
      <c r="BS29" s="100"/>
      <c r="BT29" s="93">
        <f>IF(AW29=DP!$AN$15,AY29*(1+DP!$AO$15),IF(AW29=DP!$AN$16,AY29*(1+DP!$AO$16),IF(AW29=DP!$AN$17,AY29*(1+DP!$AO$17),IF(AW29=DP!$AN$18,AY29*(1+DP!$AO$18),0*1))))</f>
        <v>0</v>
      </c>
      <c r="BU29" s="102">
        <f>IF(AW29=DP!$AN$22,(DP!$AO$22),IF(AW29=DP!$AN$23,(DP!$AO$23),IF(AW29=DP!$AN$24,(DP!$AO$24),IF(AW29=DP!$AN$25,(DP!$AO$25),((0*1))))))</f>
        <v>0</v>
      </c>
      <c r="BV29" s="93">
        <f t="shared" si="20"/>
        <v>0</v>
      </c>
      <c r="BW29" s="93">
        <f>IF(AW29=DP!$AN$15,AY29*(1+DP!$AO$15),IF(AW29=DP!$AN$16,AY29*(1+DP!$AO$16),IF(AW29=DP!$AN$17,AY29*(1+DP!$AO$17),IF(AW29=DP!$AN$18,AY29*(1+DP!$AO$18),0*1))))</f>
        <v>0</v>
      </c>
      <c r="BX29" s="102">
        <f>IF(AW29=DP!$AN$22,(DP!$AP$22),IF(AW29=DP!$AN$23,(DP!$AP$23),IF(AW29=DP!$AN$24,(DP!$AP$24),IF(AW29=DP!$AN$25,(DP!$AP$25),((0*1))))))</f>
        <v>0</v>
      </c>
      <c r="BY29" s="93">
        <f t="shared" si="21"/>
        <v>0</v>
      </c>
      <c r="BZ29" s="93">
        <f>IF(AW29=DP!$AN$15,(AY29/DP!$AM$15)*(1+DP!$AO$15),IF(AW29=DP!$AN$16,(AY29/DP!$AM$16)*(1+DP!$AO$16),IF(AW29=DP!$AN$17,(AY29/DP!$AM$17)*(1+DP!$AO$17),IF(AW29=DP!$AN$18,(AY29/DP!$AM$18)*(1+DP!$AO$18),0*1))))</f>
        <v>0</v>
      </c>
      <c r="CA29" s="102">
        <f>IF(AW29=DP!$AN$22,(DP!$AQ$22),IF(AW29=DP!$AN$23,(DP!$AQ$23),IF(AW29=DP!$AN$24,(DP!$AQ$24),IF(AW29=DP!$AN$25,(DP!$AQ$25),((0*1))))))</f>
        <v>0</v>
      </c>
      <c r="CB29" s="93">
        <f t="shared" si="22"/>
        <v>0</v>
      </c>
      <c r="CC29" s="93">
        <f>IF(AW29=DP!$AN$15,AY29*(1+DP!$AO$15),IF(AW29=DP!$AN$16,AY29*(1+DP!$AO$16),IF(AW29=DP!$AN$17,AY29*(1+DP!$AO$17),IF(AW29=DP!$AN$18,AY29*(1+DP!$AO$18),0*1))))</f>
        <v>0</v>
      </c>
      <c r="CD29" s="102">
        <f>IF(AW29=DP!$AN$22,(DP!$AR$22),IF(AW29=DP!$AN$23,(DP!$AR$23),IF(AW29=DP!$AN$24,(DP!$AR$24),IF(AW29=DP!$AN$25,(DP!$AR$25),((0*1))))))</f>
        <v>0</v>
      </c>
      <c r="CE29" s="93">
        <f t="shared" si="23"/>
        <v>0</v>
      </c>
      <c r="CF29" s="100"/>
      <c r="CG29" s="148">
        <f t="shared" si="24"/>
        <v>0</v>
      </c>
      <c r="CH29" s="149">
        <f>DP!$N$35*BA29</f>
        <v>0</v>
      </c>
      <c r="CI29" s="149">
        <f>DP!$O$35*BA29</f>
        <v>0</v>
      </c>
      <c r="CJ29" s="149">
        <f>DP!$P$35*BA29</f>
        <v>0</v>
      </c>
    </row>
    <row r="30" spans="2:88" ht="16" thickBot="1" x14ac:dyDescent="0.4">
      <c r="B30" s="469">
        <f>DP!S36</f>
        <v>0</v>
      </c>
      <c r="C30" s="94">
        <f>DP!T36</f>
        <v>0</v>
      </c>
      <c r="D30" s="450">
        <f>DP!U36</f>
        <v>0</v>
      </c>
      <c r="E30" s="450">
        <f>DP!V36</f>
        <v>0</v>
      </c>
      <c r="F30" s="414">
        <f t="shared" si="0"/>
        <v>0</v>
      </c>
      <c r="G30" s="470">
        <f>DP!W36</f>
        <v>0</v>
      </c>
      <c r="H30" s="473">
        <f t="shared" si="1"/>
        <v>0</v>
      </c>
      <c r="I30" s="97"/>
      <c r="J30" s="102">
        <f t="shared" si="2"/>
        <v>0</v>
      </c>
      <c r="K30" s="98">
        <f t="shared" si="3"/>
        <v>0</v>
      </c>
      <c r="L30" s="93">
        <f t="shared" si="4"/>
        <v>0</v>
      </c>
      <c r="M30" s="99">
        <f t="shared" si="5"/>
        <v>0</v>
      </c>
      <c r="N30" s="100"/>
      <c r="O30" s="146">
        <f>($E30/DP!$M$29)*F30</f>
        <v>0</v>
      </c>
      <c r="P30" s="102">
        <f>IF(O30&gt;0,(DP!$M$31),0*1)</f>
        <v>0</v>
      </c>
      <c r="Q30" s="102">
        <f t="shared" si="6"/>
        <v>0</v>
      </c>
      <c r="R30" s="102">
        <f t="shared" si="7"/>
        <v>0</v>
      </c>
      <c r="S30" s="418">
        <f t="shared" si="8"/>
        <v>0</v>
      </c>
      <c r="T30" s="475">
        <f>H30*DP!$K$44</f>
        <v>0</v>
      </c>
      <c r="U30" s="475">
        <f>IF(H30&gt;0,DP!$L$44,0*1)</f>
        <v>0</v>
      </c>
      <c r="V30" s="475">
        <f t="shared" si="9"/>
        <v>0</v>
      </c>
      <c r="W30" s="475">
        <f>H30*DP!$K$45</f>
        <v>0</v>
      </c>
      <c r="X30" s="475">
        <f>IF(H30&gt;0,DP!$L$45,0*1)</f>
        <v>0</v>
      </c>
      <c r="Y30" s="475">
        <f t="shared" si="10"/>
        <v>0</v>
      </c>
      <c r="Z30" s="100"/>
      <c r="AA30" s="93">
        <f>IF(D30=DP!$L$15,F30*(1+DP!$M$15),IF(D30=DP!$L$16,F30*(1+DP!$M$16),IF(D30=DP!$L$17,F30*(1+DP!$M$17),IF(D30=DP!$L$18,F30*(1+DP!$M$18),0*1))))</f>
        <v>0</v>
      </c>
      <c r="AB30" s="102">
        <f>IF(D30=DP!$L$22,(DP!$M$22),IF(D30=DP!$L$23,(DP!$M$23),IF(D30=DP!$L$24,(DP!$M$24),IF(D30=DP!$L$25,(DP!$M$25),((0*1))))))</f>
        <v>0</v>
      </c>
      <c r="AC30" s="93">
        <f t="shared" si="11"/>
        <v>0</v>
      </c>
      <c r="AD30" s="93">
        <f>IF(D30=DP!$L$15,F30*(1+DP!$M$15),IF(D30=DP!$L$16,F30*(1+DP!$M$16),IF(D30=DP!$L$17,F30*(1+DP!$M$17),IF(D30=DP!$L$18,F30*(1+DP!$M$18),0*1))))</f>
        <v>0</v>
      </c>
      <c r="AE30" s="102">
        <f>IF(D30=DP!$L$22,(DP!$N$22),IF(D30=DP!$L$23,(DP!$N$23),IF(D30=DP!$L$24,(DP!$N$24),IF(D30=DP!$L$25,(DP!$N$25),((0*1))))))</f>
        <v>0</v>
      </c>
      <c r="AF30" s="93">
        <f t="shared" si="12"/>
        <v>0</v>
      </c>
      <c r="AG30" s="93">
        <f>IF(D30=DP!$L$15,(F30/DP!$K$15)*(1+DP!$M$15),IF(D30=DP!$L$16,(F30/DP!$K$16)*(1+DP!$M$16),IF(D30=DP!$L$17,(F30/DP!$K$17)*(1+DP!$M$17),IF(D30=DP!$L$18,(F30/DP!$K$18)*(1+DP!$M$18),0*1))))</f>
        <v>0</v>
      </c>
      <c r="AH30" s="102">
        <f>IF(D30=DP!$L$22,(DP!$O$22),IF(D30=DP!$L$23,(DP!$O$23),IF(D30=DP!$L$24,(DP!$O$24),IF(D30=DP!$L$25,(DP!$O$25),((0*1))))))</f>
        <v>0</v>
      </c>
      <c r="AI30" s="93">
        <f t="shared" si="13"/>
        <v>0</v>
      </c>
      <c r="AJ30" s="93">
        <f>IF(D30=DP!$L$15,F30*(1+DP!$M$15),IF(D30=DP!$L$16,F30*(1+DP!$M$16),IF(D30=DP!$L$17,F30*(1+DP!$M$17),IF(D30=DP!$L$18,F30*(1+DP!$M$18),0*1))))</f>
        <v>0</v>
      </c>
      <c r="AK30" s="102">
        <f>IF(D30=DP!$L$22,(DP!$P$22),IF(D30=DP!$L$23,(DP!$P$23),IF(D30=DP!$L$24,(DP!$P$24),IF(D30=DP!$L$25,(DP!$P$25),((0*1))))))</f>
        <v>0</v>
      </c>
      <c r="AL30" s="93">
        <f t="shared" si="14"/>
        <v>0</v>
      </c>
      <c r="AM30" s="100"/>
      <c r="AN30" s="149">
        <f t="shared" si="15"/>
        <v>0</v>
      </c>
      <c r="AO30" s="149">
        <f>DP!$N$35*H30</f>
        <v>0</v>
      </c>
      <c r="AP30" s="149">
        <f>DP!$O$35*H30</f>
        <v>0</v>
      </c>
      <c r="AQ30" s="149">
        <f>DP!$P$35*H30</f>
        <v>0</v>
      </c>
      <c r="AV30" s="412">
        <f>DP!AV36</f>
        <v>0</v>
      </c>
      <c r="AW30" s="412">
        <f>DP!AW36</f>
        <v>0</v>
      </c>
      <c r="AX30" s="412">
        <f>DP!AX36</f>
        <v>0</v>
      </c>
      <c r="AY30" s="412">
        <f t="shared" si="25"/>
        <v>0</v>
      </c>
      <c r="AZ30" s="487">
        <f>DP!AY36</f>
        <v>0</v>
      </c>
      <c r="BA30" s="98">
        <f t="shared" si="16"/>
        <v>0</v>
      </c>
      <c r="BB30" s="97"/>
      <c r="BC30" s="102">
        <f t="shared" si="26"/>
        <v>0</v>
      </c>
      <c r="BD30" s="98">
        <f t="shared" si="27"/>
        <v>0</v>
      </c>
      <c r="BE30" s="93">
        <f t="shared" si="28"/>
        <v>0</v>
      </c>
      <c r="BF30" s="99">
        <f t="shared" si="29"/>
        <v>0</v>
      </c>
      <c r="BG30" s="100"/>
      <c r="BH30" s="102">
        <f>IFERROR((BA30*100%)/DP!$AO$29,(0*1))</f>
        <v>0</v>
      </c>
      <c r="BI30" s="102">
        <f>IF(BH30&gt;0,(DP!$AO$31),0*1)</f>
        <v>0</v>
      </c>
      <c r="BJ30" s="435">
        <f t="shared" si="17"/>
        <v>0</v>
      </c>
      <c r="BK30" s="475">
        <f>BA30*DP!$AM$44</f>
        <v>0</v>
      </c>
      <c r="BL30" s="475">
        <f>IF(BA30&gt;0,DP!$AN$44,0*1)</f>
        <v>0</v>
      </c>
      <c r="BM30" s="475">
        <f t="shared" si="18"/>
        <v>0</v>
      </c>
      <c r="BN30" s="102">
        <f>BA30*DP!$AM$45</f>
        <v>0</v>
      </c>
      <c r="BO30" s="102">
        <f>IF(BA30&gt;0,DP!$AN$45,0*1)</f>
        <v>0</v>
      </c>
      <c r="BP30" s="475">
        <f t="shared" si="19"/>
        <v>0</v>
      </c>
      <c r="BQ30" s="100"/>
      <c r="BR30" s="100"/>
      <c r="BS30" s="100"/>
      <c r="BT30" s="93">
        <f>IF(AW30=DP!$AN$15,AY30*(1+DP!$AO$15),IF(AW30=DP!$AN$16,AY30*(1+DP!$AO$16),IF(AW30=DP!$AN$17,AY30*(1+DP!$AO$17),IF(AW30=DP!$AN$18,AY30*(1+DP!$AO$18),0*1))))</f>
        <v>0</v>
      </c>
      <c r="BU30" s="102">
        <f>IF(AW30=DP!$AN$22,(DP!$AO$22),IF(AW30=DP!$AN$23,(DP!$AO$23),IF(AW30=DP!$AN$24,(DP!$AO$24),IF(AW30=DP!$AN$25,(DP!$AO$25),((0*1))))))</f>
        <v>0</v>
      </c>
      <c r="BV30" s="93">
        <f t="shared" si="20"/>
        <v>0</v>
      </c>
      <c r="BW30" s="93">
        <f>IF(AW30=DP!$AN$15,AY30*(1+DP!$AO$15),IF(AW30=DP!$AN$16,AY30*(1+DP!$AO$16),IF(AW30=DP!$AN$17,AY30*(1+DP!$AO$17),IF(AW30=DP!$AN$18,AY30*(1+DP!$AO$18),0*1))))</f>
        <v>0</v>
      </c>
      <c r="BX30" s="102">
        <f>IF(AW30=DP!$AN$22,(DP!$AP$22),IF(AW30=DP!$AN$23,(DP!$AP$23),IF(AW30=DP!$AN$24,(DP!$AP$24),IF(AW30=DP!$AN$25,(DP!$AP$25),((0*1))))))</f>
        <v>0</v>
      </c>
      <c r="BY30" s="93">
        <f t="shared" si="21"/>
        <v>0</v>
      </c>
      <c r="BZ30" s="93">
        <f>IF(AW30=DP!$AN$15,(AY30/DP!$AM$15)*(1+DP!$AO$15),IF(AW30=DP!$AN$16,(AY30/DP!$AM$16)*(1+DP!$AO$16),IF(AW30=DP!$AN$17,(AY30/DP!$AM$17)*(1+DP!$AO$17),IF(AW30=DP!$AN$18,(AY30/DP!$AM$18)*(1+DP!$AO$18),0*1))))</f>
        <v>0</v>
      </c>
      <c r="CA30" s="102">
        <f>IF(AW30=DP!$AN$22,(DP!$AQ$22),IF(AW30=DP!$AN$23,(DP!$AQ$23),IF(AW30=DP!$AN$24,(DP!$AQ$24),IF(AW30=DP!$AN$25,(DP!$AQ$25),((0*1))))))</f>
        <v>0</v>
      </c>
      <c r="CB30" s="93">
        <f t="shared" si="22"/>
        <v>0</v>
      </c>
      <c r="CC30" s="93">
        <f>IF(AW30=DP!$AN$15,AY30*(1+DP!$AO$15),IF(AW30=DP!$AN$16,AY30*(1+DP!$AO$16),IF(AW30=DP!$AN$17,AY30*(1+DP!$AO$17),IF(AW30=DP!$AN$18,AY30*(1+DP!$AO$18),0*1))))</f>
        <v>0</v>
      </c>
      <c r="CD30" s="102">
        <f>IF(AW30=DP!$AN$22,(DP!$AR$22),IF(AW30=DP!$AN$23,(DP!$AR$23),IF(AW30=DP!$AN$24,(DP!$AR$24),IF(AW30=DP!$AN$25,(DP!$AR$25),((0*1))))))</f>
        <v>0</v>
      </c>
      <c r="CE30" s="93">
        <f t="shared" si="23"/>
        <v>0</v>
      </c>
      <c r="CF30" s="100"/>
      <c r="CG30" s="148">
        <f t="shared" si="24"/>
        <v>0</v>
      </c>
      <c r="CH30" s="149">
        <f>DP!$N$35*BA30</f>
        <v>0</v>
      </c>
      <c r="CI30" s="149">
        <f>DP!$O$35*BA30</f>
        <v>0</v>
      </c>
      <c r="CJ30" s="149">
        <f>DP!$P$35*BA30</f>
        <v>0</v>
      </c>
    </row>
    <row r="31" spans="2:88" ht="16" thickBot="1" x14ac:dyDescent="0.4">
      <c r="C31" s="103" t="s">
        <v>222</v>
      </c>
      <c r="D31" s="104"/>
      <c r="E31" s="104"/>
      <c r="F31" s="120">
        <f>SUM(F12:F30)</f>
        <v>0</v>
      </c>
      <c r="G31" s="411">
        <f>SUM(G12:G30)</f>
        <v>0</v>
      </c>
      <c r="H31" s="121">
        <f>SUM(H12:H30)</f>
        <v>0</v>
      </c>
      <c r="I31" s="87"/>
      <c r="J31" s="151"/>
      <c r="K31" s="106"/>
      <c r="L31" s="107">
        <f>SUM(L12:L30)</f>
        <v>0</v>
      </c>
      <c r="M31" s="105">
        <f>SUM(M12:M30)</f>
        <v>0</v>
      </c>
      <c r="N31" s="87"/>
      <c r="O31" s="152">
        <f>SUM(O12:O30)</f>
        <v>0</v>
      </c>
      <c r="P31" s="416"/>
      <c r="Q31" s="152">
        <f>SUM(Q12:Q30)</f>
        <v>0</v>
      </c>
      <c r="R31" s="126"/>
      <c r="S31" s="419">
        <f>SUM(S12:S30)</f>
        <v>0</v>
      </c>
      <c r="T31" s="476">
        <f>SUM(T12:T30)</f>
        <v>0</v>
      </c>
      <c r="U31" s="477"/>
      <c r="V31" s="478">
        <f>SUM(V12:V30)</f>
        <v>0</v>
      </c>
      <c r="W31" s="478">
        <f>SUM(W12:W30)</f>
        <v>0</v>
      </c>
      <c r="X31" s="477"/>
      <c r="Y31" s="479">
        <f>SUM(Y12:Y30)</f>
        <v>0</v>
      </c>
      <c r="Z31" s="87"/>
      <c r="AA31" s="152">
        <f>SUM(AA12:AA30)</f>
        <v>0</v>
      </c>
      <c r="AB31" s="77"/>
      <c r="AC31" s="153">
        <f>SUM(AC12:AC30)</f>
        <v>0</v>
      </c>
      <c r="AD31" s="153">
        <f>SUM(AD12:AD30)</f>
        <v>0</v>
      </c>
      <c r="AE31" s="77"/>
      <c r="AF31" s="153">
        <f>SUM(AF12:AF30)</f>
        <v>0</v>
      </c>
      <c r="AG31" s="153">
        <f>SUM(AG12:AG30)</f>
        <v>0</v>
      </c>
      <c r="AH31" s="77"/>
      <c r="AI31" s="153">
        <f>SUM(AI12:AI30)</f>
        <v>0</v>
      </c>
      <c r="AJ31" s="153">
        <f>SUM(AJ12:AJ30)</f>
        <v>0</v>
      </c>
      <c r="AK31" s="77"/>
      <c r="AL31" s="154">
        <f>SUM(AL12:AL30)</f>
        <v>0</v>
      </c>
      <c r="AM31" s="87"/>
      <c r="AN31" s="152">
        <f>SUM(AN12:AN30)</f>
        <v>0</v>
      </c>
      <c r="AO31" s="153">
        <f>SUM(AO12:AO30)</f>
        <v>0</v>
      </c>
      <c r="AP31" s="153">
        <f>SUM(AP12:AP30)</f>
        <v>0</v>
      </c>
      <c r="AQ31" s="153">
        <f>SUM(AQ12:AQ30)</f>
        <v>0</v>
      </c>
      <c r="AV31" s="103" t="s">
        <v>222</v>
      </c>
      <c r="AW31" s="104"/>
      <c r="AX31" s="104"/>
      <c r="AY31" s="120">
        <f>SUM(AY12:AY30)</f>
        <v>488160</v>
      </c>
      <c r="AZ31" s="411">
        <f>SUM(AZ12:AZ30)</f>
        <v>0.99999999999999989</v>
      </c>
      <c r="BA31" s="121">
        <f>SUM(BA12:BA30)</f>
        <v>183600</v>
      </c>
      <c r="BB31" s="87"/>
      <c r="BC31" s="151"/>
      <c r="BD31" s="106"/>
      <c r="BE31" s="107">
        <f>SUM(BE12:BE30)</f>
        <v>506070.51072395616</v>
      </c>
      <c r="BF31" s="105">
        <f>SUM(BF12:BF30)</f>
        <v>438138.5107239561</v>
      </c>
      <c r="BG31" s="87"/>
      <c r="BH31" s="152">
        <f>SUM(BH12:BH30)</f>
        <v>408000</v>
      </c>
      <c r="BI31" s="126"/>
      <c r="BJ31" s="419">
        <f>SUM(BJ12:BJ30)</f>
        <v>183600</v>
      </c>
      <c r="BK31" s="492">
        <f>SUM(BK12:BK30)</f>
        <v>459</v>
      </c>
      <c r="BL31" s="491"/>
      <c r="BM31" s="492">
        <f>SUM(BM12:BM30)</f>
        <v>436.04999999999995</v>
      </c>
      <c r="BN31" s="492">
        <f>SUM(BN12:BN30)</f>
        <v>30477.599999999999</v>
      </c>
      <c r="BO31" s="491"/>
      <c r="BP31" s="492">
        <f>SUM(BP12:BP30)</f>
        <v>23443.369920000001</v>
      </c>
      <c r="BQ31" s="87"/>
      <c r="BR31" s="87"/>
      <c r="BS31" s="87"/>
      <c r="BT31" s="152">
        <f>SUM(BT12:BT30)</f>
        <v>490600.8</v>
      </c>
      <c r="BU31" s="77"/>
      <c r="BV31" s="153">
        <f>SUM(BV12:BV30)</f>
        <v>113945.292</v>
      </c>
      <c r="BW31" s="153">
        <f>SUM(BW12:BW30)</f>
        <v>490600.8</v>
      </c>
      <c r="BX31" s="77"/>
      <c r="BY31" s="153">
        <f>SUM(BY12:BY30)</f>
        <v>28643.705999999998</v>
      </c>
      <c r="BZ31" s="153">
        <f>SUM(BZ12:BZ30)</f>
        <v>25054.649999999994</v>
      </c>
      <c r="CA31" s="77"/>
      <c r="CB31" s="153">
        <f>SUM(CB12:CB30)</f>
        <v>12827.98079999999</v>
      </c>
      <c r="CC31" s="153">
        <f>SUM(CC12:CC30)</f>
        <v>490600.8</v>
      </c>
      <c r="CD31" s="77"/>
      <c r="CE31" s="154">
        <f>SUM(CE12:CE30)</f>
        <v>16212.38275862069</v>
      </c>
      <c r="CF31" s="87"/>
      <c r="CG31" s="152">
        <f>SUM(CG12:CG30)</f>
        <v>59029.729245335482</v>
      </c>
      <c r="CH31" s="153">
        <f>SUM(CH12:CH30)</f>
        <v>2637.9310344827586</v>
      </c>
      <c r="CI31" s="153">
        <f>SUM(CI12:CI30)</f>
        <v>10024.137931034486</v>
      </c>
      <c r="CJ31" s="153">
        <f>SUM(CJ12:CJ30)</f>
        <v>67932</v>
      </c>
    </row>
    <row r="32" spans="2:88" x14ac:dyDescent="0.35">
      <c r="C32" s="108"/>
      <c r="D32" s="108"/>
      <c r="E32" s="108"/>
      <c r="F32" s="87"/>
      <c r="G32" s="87"/>
      <c r="H32" s="87"/>
      <c r="I32" s="109"/>
      <c r="J32" s="87"/>
      <c r="K32" s="87"/>
      <c r="L32" s="87"/>
      <c r="M32" s="87"/>
      <c r="N32" s="87"/>
      <c r="O32" s="220"/>
      <c r="P32" s="220"/>
      <c r="Q32" s="220"/>
      <c r="R32" s="220"/>
      <c r="S32" s="417">
        <f>Q31</f>
        <v>0</v>
      </c>
      <c r="T32"/>
      <c r="U32"/>
      <c r="V32"/>
      <c r="W32"/>
      <c r="X32"/>
      <c r="Y32"/>
      <c r="Z32" s="87"/>
      <c r="AA32" s="87"/>
      <c r="AB32" s="87"/>
      <c r="AC32" s="87"/>
      <c r="AD32" s="87"/>
      <c r="AM32" s="87"/>
      <c r="AN32" s="420">
        <f>IFERROR(IF(DP!$C$16=PS!$B$3,PS!$K$23*D7/(D7+AW7),IF(DP!$C$16=PS!$N$3,PS!$AC$23*D7/(D7+AW7),IF(DP!$C$16=PS!$AF$3,PS!$AP$23*D7/(D7+AW7)))),0*1)</f>
        <v>0</v>
      </c>
      <c r="AO32" s="220"/>
      <c r="AP32" s="220"/>
      <c r="AQ32" s="433"/>
      <c r="AV32" s="108"/>
      <c r="AW32" s="108"/>
      <c r="AX32" s="108"/>
      <c r="AY32" s="87"/>
      <c r="AZ32" s="87"/>
      <c r="BA32" s="87"/>
      <c r="BB32" s="109"/>
      <c r="BC32" s="87"/>
      <c r="BD32" s="87"/>
      <c r="BE32" s="87"/>
      <c r="BF32" s="87"/>
      <c r="BG32" s="87"/>
      <c r="BH32" s="87"/>
      <c r="BI32" s="87"/>
      <c r="BJ32" s="87"/>
      <c r="BK32"/>
      <c r="BL32"/>
      <c r="BM32"/>
      <c r="BN32"/>
      <c r="BO32"/>
      <c r="BP32"/>
      <c r="BQ32" s="87"/>
      <c r="BR32" s="87"/>
      <c r="BS32" s="87"/>
      <c r="BT32" s="87"/>
      <c r="BU32" s="87"/>
      <c r="BV32" s="87"/>
      <c r="BW32" s="87"/>
      <c r="CF32" s="87"/>
      <c r="CG32" s="420">
        <f>IFERROR(IF(DP!$C$16=PS!$B$3,PS!$K$23*AW7/(AW7+D7),IF(DP!$C$16=PS!$N$3,PS!$AC$23*AW7/(AW7+D7),IF(DP!$C$16=PS!$AF$3,PS!$AP$23*AW7/(AW7+D7)))),0*1)</f>
        <v>59029.729245335482</v>
      </c>
      <c r="CH32" s="220"/>
      <c r="CI32" s="220"/>
      <c r="CJ32" s="433"/>
    </row>
    <row r="33" spans="2:88" x14ac:dyDescent="0.35">
      <c r="C33" s="108"/>
      <c r="D33" s="108"/>
      <c r="E33" s="108"/>
      <c r="F33" s="87"/>
      <c r="G33" s="87"/>
      <c r="H33" s="87"/>
      <c r="I33" s="109"/>
      <c r="J33" s="87"/>
      <c r="K33" s="87"/>
      <c r="L33" s="87"/>
      <c r="M33" s="87"/>
      <c r="N33" s="87"/>
      <c r="O33" s="87"/>
      <c r="P33" s="109"/>
      <c r="Q33" s="87"/>
      <c r="T33" s="87"/>
      <c r="U33" s="87"/>
      <c r="V33" s="87"/>
      <c r="W33" s="87"/>
      <c r="X33" s="87"/>
      <c r="Y33" s="87"/>
      <c r="Z33" s="87"/>
      <c r="AM33" s="87"/>
      <c r="AV33" s="108"/>
      <c r="AW33" s="108"/>
      <c r="AX33" s="108"/>
      <c r="AY33" s="220"/>
      <c r="AZ33" s="87"/>
      <c r="BA33" s="87"/>
      <c r="BB33" s="109"/>
      <c r="BC33" s="87"/>
      <c r="BD33" s="87"/>
      <c r="BE33" s="87"/>
      <c r="BF33" s="87"/>
      <c r="BG33" s="87"/>
      <c r="BH33" s="87"/>
      <c r="BK33" s="87"/>
      <c r="BL33" s="87"/>
      <c r="BM33" s="87"/>
      <c r="BN33" s="87"/>
      <c r="BO33" s="87"/>
      <c r="BP33" s="87"/>
      <c r="BQ33" s="87"/>
      <c r="BR33" s="87"/>
      <c r="BS33" s="87"/>
      <c r="BT33"/>
      <c r="BU33"/>
      <c r="BV33"/>
      <c r="BW33"/>
      <c r="BX33"/>
      <c r="BY33"/>
      <c r="BZ33"/>
      <c r="CA33"/>
      <c r="CB33"/>
      <c r="CC33"/>
      <c r="CF33" s="87"/>
    </row>
    <row r="34" spans="2:88" x14ac:dyDescent="0.35">
      <c r="C34" s="108"/>
      <c r="D34" s="108"/>
      <c r="E34" s="108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109"/>
      <c r="Q34" s="87"/>
      <c r="R34" s="116" t="s">
        <v>228</v>
      </c>
      <c r="S34" s="94">
        <f>IFERROR((SUMIF(B12:B30,1,H12:H30))/H$31*S$32,0*1)</f>
        <v>0</v>
      </c>
      <c r="T34" s="109"/>
      <c r="U34" s="87"/>
      <c r="V34" s="87"/>
      <c r="W34" s="87"/>
      <c r="X34" s="87"/>
      <c r="Y34" s="87"/>
      <c r="Z34" s="87"/>
      <c r="AM34" s="87"/>
      <c r="AV34" s="108"/>
      <c r="AW34" s="108"/>
      <c r="AX34" s="108"/>
      <c r="AY34" s="87"/>
      <c r="AZ34" s="87"/>
      <c r="BA34" s="87"/>
      <c r="BB34" s="87"/>
      <c r="BC34" s="87"/>
      <c r="BD34" s="87"/>
      <c r="BE34" s="87"/>
      <c r="BF34" s="87"/>
      <c r="BG34" s="87"/>
      <c r="BK34" s="109"/>
      <c r="BL34" s="87"/>
      <c r="BM34" s="87"/>
      <c r="BN34" s="87"/>
      <c r="BO34" s="87"/>
      <c r="BP34" s="87"/>
      <c r="BQ34" s="87"/>
      <c r="BR34" s="87"/>
      <c r="BS34" s="87"/>
      <c r="BT34"/>
      <c r="BU34"/>
      <c r="BV34"/>
      <c r="BW34"/>
      <c r="BX34"/>
      <c r="BY34"/>
      <c r="BZ34"/>
      <c r="CA34"/>
      <c r="CB34"/>
      <c r="CC34"/>
      <c r="CF34" s="87"/>
    </row>
    <row r="35" spans="2:88" x14ac:dyDescent="0.35">
      <c r="C35" s="108"/>
      <c r="D35" s="108"/>
      <c r="E35" s="108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109"/>
      <c r="Q35" s="87"/>
      <c r="R35" s="116" t="s">
        <v>229</v>
      </c>
      <c r="S35" s="94">
        <f>S32-S34</f>
        <v>0</v>
      </c>
      <c r="T35" s="109"/>
      <c r="U35" s="87"/>
      <c r="V35" s="87"/>
      <c r="W35" s="87"/>
      <c r="X35" s="87"/>
      <c r="Y35" s="87"/>
      <c r="Z35" s="87"/>
      <c r="AM35" s="87"/>
      <c r="AV35" s="108"/>
      <c r="AW35" s="108"/>
      <c r="AX35" s="108"/>
      <c r="AY35" s="87"/>
      <c r="AZ35" s="87"/>
      <c r="BA35" s="87"/>
      <c r="BB35" s="87"/>
      <c r="BC35" s="87"/>
      <c r="BD35" s="87"/>
      <c r="BE35" s="87"/>
      <c r="BF35" s="87"/>
      <c r="BG35" s="87"/>
      <c r="BK35" s="109"/>
      <c r="BL35" s="87"/>
      <c r="BM35" s="87"/>
      <c r="BN35" s="87"/>
      <c r="BO35" s="87"/>
      <c r="BP35" s="87"/>
      <c r="BQ35" s="87"/>
      <c r="BR35" s="87"/>
      <c r="BS35" s="87"/>
      <c r="BT35"/>
      <c r="BU35"/>
      <c r="BV35"/>
      <c r="BW35"/>
      <c r="BX35"/>
      <c r="BY35"/>
      <c r="BZ35"/>
      <c r="CA35"/>
      <c r="CB35"/>
      <c r="CC35"/>
      <c r="CF35" s="87"/>
    </row>
    <row r="36" spans="2:88" x14ac:dyDescent="0.35">
      <c r="C36" s="108"/>
      <c r="D36" s="108"/>
      <c r="E36" s="108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109"/>
      <c r="Q36" s="87"/>
      <c r="T36" s="87"/>
      <c r="U36" s="87"/>
      <c r="V36" s="87"/>
      <c r="W36" s="87"/>
      <c r="X36" s="87"/>
      <c r="Y36" s="87"/>
      <c r="Z36" s="87"/>
      <c r="AM36" s="87"/>
      <c r="AV36" s="108"/>
      <c r="AW36" s="108"/>
      <c r="AX36" s="108"/>
      <c r="AY36" s="87"/>
      <c r="AZ36" s="87"/>
      <c r="BA36" s="87"/>
      <c r="BB36" s="87"/>
      <c r="BC36" s="87"/>
      <c r="BD36" s="87"/>
      <c r="BE36" s="87"/>
      <c r="BF36" s="87"/>
      <c r="BG36" s="87"/>
      <c r="BK36" s="87"/>
      <c r="BL36" s="87"/>
      <c r="BM36" s="87"/>
      <c r="BN36" s="87"/>
      <c r="BO36" s="87"/>
      <c r="BP36" s="87"/>
      <c r="BQ36" s="87"/>
      <c r="BR36" s="87"/>
      <c r="BS36" s="87"/>
      <c r="BT36"/>
      <c r="BU36"/>
      <c r="BV36"/>
      <c r="BW36"/>
      <c r="BX36"/>
      <c r="BY36"/>
      <c r="BZ36"/>
      <c r="CA36"/>
      <c r="CB36"/>
      <c r="CC36"/>
      <c r="CF36" s="87"/>
    </row>
    <row r="37" spans="2:88" x14ac:dyDescent="0.35">
      <c r="C37" s="108"/>
      <c r="D37" s="108"/>
      <c r="E37" s="108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109"/>
      <c r="Q37" s="87"/>
      <c r="T37" s="87"/>
      <c r="U37" s="87"/>
      <c r="V37" s="87"/>
      <c r="W37" s="87"/>
      <c r="X37" s="87"/>
      <c r="Y37" s="87"/>
      <c r="Z37" s="87"/>
      <c r="AM37" s="87"/>
      <c r="AV37" s="108"/>
      <c r="AW37" s="108"/>
      <c r="AX37" s="108"/>
      <c r="AY37" s="87"/>
      <c r="AZ37" s="87"/>
      <c r="BA37" s="87"/>
      <c r="BB37" s="87"/>
      <c r="BC37" s="87"/>
      <c r="BD37" s="87"/>
      <c r="BE37" s="87"/>
      <c r="BF37" s="87"/>
      <c r="BG37" s="87"/>
      <c r="BH37" s="87"/>
      <c r="BK37" s="87"/>
      <c r="BL37" s="87"/>
      <c r="BM37" s="87"/>
      <c r="BN37" s="87"/>
      <c r="BO37" s="87"/>
      <c r="BP37" s="87"/>
      <c r="BQ37" s="87"/>
      <c r="BR37" s="87"/>
      <c r="BS37" s="87"/>
      <c r="BT37"/>
      <c r="BU37"/>
      <c r="BV37"/>
      <c r="BW37"/>
      <c r="BX37"/>
      <c r="BY37"/>
      <c r="BZ37"/>
      <c r="CA37"/>
      <c r="CB37"/>
      <c r="CC37"/>
      <c r="CF37" s="87"/>
    </row>
    <row r="38" spans="2:88" x14ac:dyDescent="0.35">
      <c r="C38" s="108"/>
      <c r="D38" s="108"/>
      <c r="E38" s="108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109"/>
      <c r="Q38" s="87"/>
      <c r="T38" s="87"/>
      <c r="U38" s="87"/>
      <c r="V38" s="87"/>
      <c r="W38" s="87"/>
      <c r="X38" s="87"/>
      <c r="Y38" s="87"/>
      <c r="Z38" s="87"/>
      <c r="AM38" s="87"/>
      <c r="AV38" s="108"/>
      <c r="AW38" s="108"/>
      <c r="AX38" s="108"/>
      <c r="AY38" s="87"/>
      <c r="AZ38" s="87"/>
      <c r="BA38" s="87"/>
      <c r="BB38" s="87"/>
      <c r="BC38" s="87"/>
      <c r="BD38" s="87"/>
      <c r="BE38" s="87"/>
      <c r="BF38" s="87"/>
      <c r="BG38" s="87"/>
      <c r="BH38" s="87"/>
      <c r="BK38" s="87"/>
      <c r="BL38" s="87"/>
      <c r="BM38" s="87"/>
      <c r="BN38" s="87"/>
      <c r="BO38" s="87"/>
      <c r="BP38" s="87"/>
      <c r="BQ38" s="87"/>
      <c r="BR38" s="87"/>
      <c r="BS38" s="87"/>
      <c r="BT38"/>
      <c r="BU38"/>
      <c r="BV38"/>
      <c r="BW38"/>
      <c r="BX38"/>
      <c r="BY38"/>
      <c r="BZ38"/>
      <c r="CA38"/>
      <c r="CB38"/>
      <c r="CC38"/>
      <c r="CF38" s="87"/>
    </row>
    <row r="39" spans="2:88" x14ac:dyDescent="0.35">
      <c r="C39" s="108"/>
      <c r="D39" s="108"/>
      <c r="E39" s="108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T39" s="87"/>
      <c r="U39" s="87"/>
      <c r="V39" s="87"/>
      <c r="W39" s="87"/>
      <c r="X39" s="87"/>
      <c r="Y39" s="87"/>
      <c r="Z39" s="87"/>
      <c r="AB39" s="87"/>
      <c r="AC39" s="87"/>
      <c r="AD39" s="87"/>
      <c r="AM39" s="87"/>
      <c r="AV39" s="108"/>
      <c r="AW39" s="108"/>
      <c r="AX39" s="108"/>
      <c r="AY39" s="87"/>
      <c r="AZ39" s="87"/>
      <c r="BA39" s="87"/>
      <c r="BB39" s="87"/>
      <c r="BC39" s="87"/>
      <c r="BD39" s="87"/>
      <c r="BE39" s="87"/>
      <c r="BF39" s="87"/>
      <c r="BG39" s="87"/>
      <c r="BH39" s="87"/>
      <c r="BK39" s="87"/>
      <c r="BL39" s="87"/>
      <c r="BM39" s="87"/>
      <c r="BN39" s="87"/>
      <c r="BO39" s="87"/>
      <c r="BP39" s="87"/>
      <c r="BQ39" s="87"/>
      <c r="BR39" s="87"/>
      <c r="BS39" s="87"/>
      <c r="BU39" s="87"/>
      <c r="BV39" s="87"/>
      <c r="BW39" s="87"/>
      <c r="CF39" s="87"/>
    </row>
    <row r="40" spans="2:88" ht="16" thickBot="1" x14ac:dyDescent="0.4">
      <c r="C40" s="421" t="s">
        <v>333</v>
      </c>
      <c r="D40" s="482">
        <f>DP!X14</f>
        <v>0</v>
      </c>
      <c r="E40" s="108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M40" s="87"/>
      <c r="AV40" s="421" t="s">
        <v>333</v>
      </c>
      <c r="AW40" s="482">
        <f>DP!AZ14</f>
        <v>183600</v>
      </c>
      <c r="AX40" s="108"/>
      <c r="AY40" s="87"/>
      <c r="AZ40" s="87"/>
      <c r="BA40" s="87"/>
      <c r="BB40" s="87"/>
      <c r="BC40" s="87"/>
      <c r="BD40" s="87"/>
      <c r="BE40" s="87"/>
      <c r="BF40" s="87"/>
      <c r="BG40" s="87"/>
      <c r="BH40" s="87"/>
      <c r="BK40" s="87"/>
      <c r="BL40" s="87"/>
      <c r="BM40" s="87"/>
      <c r="BN40" s="87"/>
      <c r="BO40" s="87"/>
      <c r="BP40" s="87"/>
      <c r="BQ40" s="87"/>
      <c r="BR40" s="87"/>
      <c r="BS40" s="87"/>
      <c r="BT40" s="87"/>
      <c r="BU40" s="87"/>
      <c r="BV40" s="87"/>
      <c r="BW40" s="87"/>
      <c r="CF40" s="87"/>
    </row>
    <row r="41" spans="2:88" ht="15.5" customHeight="1" x14ac:dyDescent="0.35">
      <c r="C41" s="1026" t="s">
        <v>78</v>
      </c>
      <c r="D41" s="1009" t="s">
        <v>169</v>
      </c>
      <c r="E41" s="1010"/>
      <c r="F41" s="1010"/>
      <c r="G41" s="1010"/>
      <c r="H41" s="1011"/>
      <c r="I41" s="130"/>
      <c r="J41" s="1015" t="s">
        <v>170</v>
      </c>
      <c r="K41" s="1015" t="s">
        <v>215</v>
      </c>
      <c r="L41" s="1015" t="s">
        <v>216</v>
      </c>
      <c r="M41" s="1017" t="s">
        <v>217</v>
      </c>
      <c r="N41" s="130"/>
      <c r="O41" s="1019" t="s">
        <v>213</v>
      </c>
      <c r="P41" s="1007"/>
      <c r="Q41" s="1007"/>
      <c r="R41" s="1007"/>
      <c r="S41" s="1007"/>
      <c r="T41" s="1007"/>
      <c r="U41" s="1007"/>
      <c r="V41" s="1007"/>
      <c r="W41" s="1007"/>
      <c r="X41" s="1007"/>
      <c r="Y41" s="1007"/>
      <c r="Z41" s="130"/>
      <c r="AA41" s="1019" t="s">
        <v>180</v>
      </c>
      <c r="AB41" s="1007"/>
      <c r="AC41" s="1007"/>
      <c r="AD41" s="1007"/>
      <c r="AE41" s="1007"/>
      <c r="AF41" s="1007"/>
      <c r="AG41" s="1007"/>
      <c r="AH41" s="1007"/>
      <c r="AI41" s="1007"/>
      <c r="AJ41" s="1007"/>
      <c r="AK41" s="1007"/>
      <c r="AL41" s="1020"/>
      <c r="AM41" s="130"/>
      <c r="AN41" s="131" t="s">
        <v>214</v>
      </c>
      <c r="AO41" s="1006" t="s">
        <v>361</v>
      </c>
      <c r="AP41" s="1007"/>
      <c r="AQ41" s="1008"/>
      <c r="AV41" s="1026" t="s">
        <v>78</v>
      </c>
      <c r="AW41" s="1009" t="s">
        <v>169</v>
      </c>
      <c r="AX41" s="1010"/>
      <c r="AY41" s="1010"/>
      <c r="AZ41" s="1010"/>
      <c r="BA41" s="1011"/>
      <c r="BB41" s="130"/>
      <c r="BC41" s="1015" t="s">
        <v>170</v>
      </c>
      <c r="BD41" s="1015" t="s">
        <v>215</v>
      </c>
      <c r="BE41" s="1015" t="s">
        <v>216</v>
      </c>
      <c r="BF41" s="1017" t="s">
        <v>217</v>
      </c>
      <c r="BG41" s="130"/>
      <c r="BH41" s="1019" t="s">
        <v>213</v>
      </c>
      <c r="BI41" s="1007"/>
      <c r="BJ41" s="1007"/>
      <c r="BK41" s="1029"/>
      <c r="BL41" s="1029"/>
      <c r="BM41" s="1029"/>
      <c r="BN41" s="1029"/>
      <c r="BO41" s="1029"/>
      <c r="BP41" s="1029"/>
      <c r="BQ41" s="130"/>
      <c r="BR41" s="130"/>
      <c r="BS41" s="130"/>
      <c r="BT41" s="1019" t="s">
        <v>180</v>
      </c>
      <c r="BU41" s="1007"/>
      <c r="BV41" s="1007"/>
      <c r="BW41" s="1007"/>
      <c r="BX41" s="1007"/>
      <c r="BY41" s="1007"/>
      <c r="BZ41" s="1007"/>
      <c r="CA41" s="1007"/>
      <c r="CB41" s="1007"/>
      <c r="CC41" s="1007"/>
      <c r="CD41" s="1007"/>
      <c r="CE41" s="1020"/>
      <c r="CF41" s="130"/>
      <c r="CG41" s="131" t="s">
        <v>214</v>
      </c>
      <c r="CH41" s="1006" t="s">
        <v>361</v>
      </c>
      <c r="CI41" s="1007"/>
      <c r="CJ41" s="1008"/>
    </row>
    <row r="42" spans="2:88" ht="30.5" thickBot="1" x14ac:dyDescent="0.4">
      <c r="C42" s="1027"/>
      <c r="D42" s="1012"/>
      <c r="E42" s="1013"/>
      <c r="F42" s="1013"/>
      <c r="G42" s="1013"/>
      <c r="H42" s="1014"/>
      <c r="I42" s="130"/>
      <c r="J42" s="1016"/>
      <c r="K42" s="1016"/>
      <c r="L42" s="1016"/>
      <c r="M42" s="1018"/>
      <c r="N42" s="130"/>
      <c r="O42" s="134" t="s">
        <v>218</v>
      </c>
      <c r="P42" s="415"/>
      <c r="Q42" s="415"/>
      <c r="R42" s="135"/>
      <c r="S42" s="135"/>
      <c r="T42" s="69" t="s">
        <v>171</v>
      </c>
      <c r="U42" s="69"/>
      <c r="V42" s="69"/>
      <c r="W42" s="69" t="s">
        <v>172</v>
      </c>
      <c r="X42" s="69"/>
      <c r="Y42" s="69"/>
      <c r="Z42" s="130"/>
      <c r="AA42" s="1021" t="s">
        <v>173</v>
      </c>
      <c r="AB42" s="1022"/>
      <c r="AC42" s="1023"/>
      <c r="AD42" s="1024" t="s">
        <v>174</v>
      </c>
      <c r="AE42" s="1022"/>
      <c r="AF42" s="1023"/>
      <c r="AG42" s="1024" t="s">
        <v>175</v>
      </c>
      <c r="AH42" s="1022"/>
      <c r="AI42" s="1023"/>
      <c r="AJ42" s="1024" t="s">
        <v>176</v>
      </c>
      <c r="AK42" s="1022"/>
      <c r="AL42" s="1025"/>
      <c r="AM42" s="130"/>
      <c r="AN42" s="115" t="s">
        <v>177</v>
      </c>
      <c r="AO42" s="458" t="s">
        <v>362</v>
      </c>
      <c r="AP42" s="458" t="s">
        <v>363</v>
      </c>
      <c r="AQ42" s="494" t="s">
        <v>364</v>
      </c>
      <c r="AV42" s="1027"/>
      <c r="AW42" s="1012"/>
      <c r="AX42" s="1013"/>
      <c r="AY42" s="1013"/>
      <c r="AZ42" s="1013"/>
      <c r="BA42" s="1014"/>
      <c r="BB42" s="130"/>
      <c r="BC42" s="1016"/>
      <c r="BD42" s="1016"/>
      <c r="BE42" s="1016"/>
      <c r="BF42" s="1018"/>
      <c r="BG42" s="130"/>
      <c r="BH42" s="1031" t="s">
        <v>234</v>
      </c>
      <c r="BI42" s="1032"/>
      <c r="BJ42" s="1032"/>
      <c r="BK42" s="1030" t="s">
        <v>171</v>
      </c>
      <c r="BL42" s="1030"/>
      <c r="BM42" s="1030"/>
      <c r="BN42" s="1030" t="s">
        <v>231</v>
      </c>
      <c r="BO42" s="1030"/>
      <c r="BP42" s="1030"/>
      <c r="BQ42" s="130"/>
      <c r="BR42" s="130"/>
      <c r="BS42" s="130"/>
      <c r="BT42" s="1021" t="s">
        <v>173</v>
      </c>
      <c r="BU42" s="1022"/>
      <c r="BV42" s="1023"/>
      <c r="BW42" s="1024" t="s">
        <v>174</v>
      </c>
      <c r="BX42" s="1022"/>
      <c r="BY42" s="1023"/>
      <c r="BZ42" s="1024" t="s">
        <v>175</v>
      </c>
      <c r="CA42" s="1022"/>
      <c r="CB42" s="1023"/>
      <c r="CC42" s="1024" t="s">
        <v>176</v>
      </c>
      <c r="CD42" s="1022"/>
      <c r="CE42" s="1025"/>
      <c r="CF42" s="130"/>
      <c r="CG42" s="115" t="s">
        <v>177</v>
      </c>
      <c r="CH42" s="458" t="s">
        <v>362</v>
      </c>
      <c r="CI42" s="458" t="s">
        <v>363</v>
      </c>
      <c r="CJ42" s="494" t="s">
        <v>364</v>
      </c>
    </row>
    <row r="43" spans="2:88" ht="16" thickBot="1" x14ac:dyDescent="0.4">
      <c r="C43" s="1028"/>
      <c r="D43" s="111" t="s">
        <v>225</v>
      </c>
      <c r="E43" s="111" t="s">
        <v>329</v>
      </c>
      <c r="F43" s="112" t="s">
        <v>178</v>
      </c>
      <c r="G43" s="113" t="s">
        <v>226</v>
      </c>
      <c r="H43" s="114" t="s">
        <v>227</v>
      </c>
      <c r="I43" s="136"/>
      <c r="J43" s="119" t="s">
        <v>179</v>
      </c>
      <c r="K43" s="137" t="s">
        <v>224</v>
      </c>
      <c r="L43" s="137" t="s">
        <v>224</v>
      </c>
      <c r="M43" s="138" t="s">
        <v>224</v>
      </c>
      <c r="N43" s="136"/>
      <c r="O43" s="118" t="s">
        <v>223</v>
      </c>
      <c r="P43" s="119" t="s">
        <v>179</v>
      </c>
      <c r="Q43" s="137" t="s">
        <v>224</v>
      </c>
      <c r="R43" s="119" t="s">
        <v>179</v>
      </c>
      <c r="S43" s="137" t="s">
        <v>224</v>
      </c>
      <c r="T43" s="119" t="s">
        <v>219</v>
      </c>
      <c r="U43" s="119" t="s">
        <v>179</v>
      </c>
      <c r="V43" s="137" t="s">
        <v>224</v>
      </c>
      <c r="W43" s="119" t="s">
        <v>219</v>
      </c>
      <c r="X43" s="119" t="s">
        <v>179</v>
      </c>
      <c r="Y43" s="137" t="s">
        <v>224</v>
      </c>
      <c r="Z43" s="136"/>
      <c r="AA43" s="118" t="s">
        <v>220</v>
      </c>
      <c r="AB43" s="119" t="s">
        <v>179</v>
      </c>
      <c r="AC43" s="137" t="s">
        <v>224</v>
      </c>
      <c r="AD43" s="119" t="s">
        <v>220</v>
      </c>
      <c r="AE43" s="119" t="s">
        <v>179</v>
      </c>
      <c r="AF43" s="137" t="s">
        <v>224</v>
      </c>
      <c r="AG43" s="119" t="s">
        <v>220</v>
      </c>
      <c r="AH43" s="119" t="s">
        <v>179</v>
      </c>
      <c r="AI43" s="137" t="s">
        <v>224</v>
      </c>
      <c r="AJ43" s="119" t="s">
        <v>221</v>
      </c>
      <c r="AK43" s="119" t="s">
        <v>179</v>
      </c>
      <c r="AL43" s="138" t="s">
        <v>224</v>
      </c>
      <c r="AM43" s="136"/>
      <c r="AN43" s="139" t="s">
        <v>224</v>
      </c>
      <c r="AO43" s="137" t="s">
        <v>224</v>
      </c>
      <c r="AP43" s="137" t="s">
        <v>224</v>
      </c>
      <c r="AQ43" s="137" t="s">
        <v>224</v>
      </c>
      <c r="AV43" s="1028"/>
      <c r="AW43" s="111" t="s">
        <v>225</v>
      </c>
      <c r="AX43" s="111" t="s">
        <v>329</v>
      </c>
      <c r="AY43" s="112" t="s">
        <v>178</v>
      </c>
      <c r="AZ43" s="113" t="s">
        <v>226</v>
      </c>
      <c r="BA43" s="114" t="s">
        <v>227</v>
      </c>
      <c r="BB43" s="136"/>
      <c r="BC43" s="119" t="s">
        <v>179</v>
      </c>
      <c r="BD43" s="137" t="s">
        <v>224</v>
      </c>
      <c r="BE43" s="137" t="s">
        <v>224</v>
      </c>
      <c r="BF43" s="138" t="s">
        <v>224</v>
      </c>
      <c r="BG43" s="136"/>
      <c r="BH43" s="118" t="s">
        <v>219</v>
      </c>
      <c r="BI43" s="119" t="s">
        <v>179</v>
      </c>
      <c r="BJ43" s="434" t="s">
        <v>224</v>
      </c>
      <c r="BK43" s="3" t="s">
        <v>219</v>
      </c>
      <c r="BL43" s="3" t="s">
        <v>179</v>
      </c>
      <c r="BM43" s="490" t="s">
        <v>224</v>
      </c>
      <c r="BN43" s="3" t="s">
        <v>219</v>
      </c>
      <c r="BO43" s="3" t="s">
        <v>179</v>
      </c>
      <c r="BP43" s="490" t="s">
        <v>224</v>
      </c>
      <c r="BQ43" s="136"/>
      <c r="BR43" s="136"/>
      <c r="BS43" s="136"/>
      <c r="BT43" s="118" t="s">
        <v>220</v>
      </c>
      <c r="BU43" s="119" t="s">
        <v>179</v>
      </c>
      <c r="BV43" s="137" t="s">
        <v>224</v>
      </c>
      <c r="BW43" s="119" t="s">
        <v>220</v>
      </c>
      <c r="BX43" s="119" t="s">
        <v>179</v>
      </c>
      <c r="BY43" s="137" t="s">
        <v>224</v>
      </c>
      <c r="BZ43" s="119" t="s">
        <v>220</v>
      </c>
      <c r="CA43" s="119" t="s">
        <v>179</v>
      </c>
      <c r="CB43" s="137" t="s">
        <v>224</v>
      </c>
      <c r="CC43" s="119" t="s">
        <v>221</v>
      </c>
      <c r="CD43" s="119" t="s">
        <v>179</v>
      </c>
      <c r="CE43" s="138" t="s">
        <v>224</v>
      </c>
      <c r="CF43" s="136"/>
      <c r="CG43" s="139" t="s">
        <v>224</v>
      </c>
      <c r="CH43" s="137" t="s">
        <v>224</v>
      </c>
      <c r="CI43" s="137" t="s">
        <v>224</v>
      </c>
      <c r="CJ43" s="137" t="s">
        <v>224</v>
      </c>
    </row>
    <row r="44" spans="2:88" ht="16" thickBot="1" x14ac:dyDescent="0.4">
      <c r="C44" s="117" t="s">
        <v>331</v>
      </c>
      <c r="D44" s="117"/>
      <c r="E44" s="11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423"/>
      <c r="U44" s="424"/>
      <c r="V44" s="424"/>
      <c r="W44" s="424"/>
      <c r="X44" s="424"/>
      <c r="Y44" s="425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7"/>
      <c r="AO44" s="87"/>
      <c r="AP44" s="87"/>
      <c r="AQ44" s="87"/>
      <c r="AV44" s="117" t="s">
        <v>350</v>
      </c>
      <c r="AW44" s="117"/>
      <c r="AX44" s="117"/>
      <c r="AY44" s="87"/>
      <c r="AZ44" s="87"/>
      <c r="BA44" s="87"/>
      <c r="BB44" s="87"/>
      <c r="BC44" s="87"/>
      <c r="BD44" s="87"/>
      <c r="BE44" s="87"/>
      <c r="BF44" s="87"/>
      <c r="BG44" s="87"/>
      <c r="BH44" s="87"/>
      <c r="BI44" s="87"/>
      <c r="BJ44" s="87"/>
      <c r="BK44" s="491"/>
      <c r="BL44" s="491"/>
      <c r="BM44" s="491"/>
      <c r="BN44" s="491"/>
      <c r="BO44" s="491"/>
      <c r="BP44" s="491"/>
      <c r="BQ44" s="87"/>
      <c r="BR44" s="87"/>
      <c r="BS44" s="87"/>
      <c r="BT44" s="87"/>
      <c r="BU44" s="87"/>
      <c r="BV44" s="87"/>
      <c r="BW44" s="87"/>
      <c r="BX44" s="87"/>
      <c r="BY44" s="87"/>
      <c r="BZ44" s="87"/>
      <c r="CA44" s="87"/>
      <c r="CB44" s="87"/>
      <c r="CC44" s="87"/>
      <c r="CD44" s="87"/>
      <c r="CE44" s="87"/>
      <c r="CF44" s="87"/>
      <c r="CG44" s="87"/>
      <c r="CH44" s="87"/>
      <c r="CI44" s="87"/>
      <c r="CJ44" s="87"/>
    </row>
    <row r="45" spans="2:88" x14ac:dyDescent="0.35">
      <c r="B45" s="481">
        <f>DP!S18</f>
        <v>1</v>
      </c>
      <c r="C45" s="481" t="str">
        <f>DP!T18</f>
        <v xml:space="preserve">PALMITO ENTERO 800 </v>
      </c>
      <c r="D45" s="481">
        <f>DP!U18</f>
        <v>800</v>
      </c>
      <c r="E45" s="481">
        <f>DP!V18</f>
        <v>500</v>
      </c>
      <c r="F45" s="412">
        <f>IFERROR((H45*1000)/E45,0*1)</f>
        <v>0</v>
      </c>
      <c r="G45" s="470">
        <f>DP!X18</f>
        <v>0</v>
      </c>
      <c r="H45" s="98">
        <f>$D$40*G45</f>
        <v>0</v>
      </c>
      <c r="I45" s="97"/>
      <c r="J45" s="101">
        <f t="shared" ref="J45:J63" si="30">IF(F45&gt;0,L45/F45,0*1)</f>
        <v>0</v>
      </c>
      <c r="K45" s="122">
        <f t="shared" ref="K45:K63" si="31">IF(F45&gt;0,M45/F45,0*1)</f>
        <v>0</v>
      </c>
      <c r="L45" s="140">
        <f t="shared" ref="L45:L63" si="32">IF(F45&gt;0,M45+AQ45,0*1)</f>
        <v>0</v>
      </c>
      <c r="M45" s="123">
        <f t="shared" ref="M45:M63" si="33">IF(F45&gt;0,(S45+V45+Y45+AC45+AF45+AI45+AL45+AN45),0*1)</f>
        <v>0</v>
      </c>
      <c r="N45" s="100"/>
      <c r="O45" s="141">
        <f>($E45/DP!$M$29)*F45</f>
        <v>0</v>
      </c>
      <c r="P45" s="102">
        <f>IF(O45&gt;0,(DP!$M$31),0*1)</f>
        <v>0</v>
      </c>
      <c r="Q45" s="102">
        <f>O45*P45</f>
        <v>0</v>
      </c>
      <c r="R45" s="101">
        <f>IF(O45&gt;0,S45/O45,0*1)</f>
        <v>0</v>
      </c>
      <c r="S45" s="418">
        <f>IFERROR(IF(B45=1,(S$67+70%*S$68)/(SUMIF($B$45:$B$63,1,$H$45:$H$63))*H45,(30%*S$68)/(SUMIF($B$45:$B$63,0,$H$45:$H$63))*H45),0*1)</f>
        <v>0</v>
      </c>
      <c r="T45" s="475">
        <f>H45*DP!$M$44</f>
        <v>0</v>
      </c>
      <c r="U45" s="475">
        <f>IF(H45&gt;0,DP!$N$44,0*1)</f>
        <v>0</v>
      </c>
      <c r="V45" s="475">
        <f>T45*U45</f>
        <v>0</v>
      </c>
      <c r="W45" s="475">
        <f>H45*DP!$M$45</f>
        <v>0</v>
      </c>
      <c r="X45" s="475">
        <f>IF(H45&gt;0,DP!$N$45,0*1)</f>
        <v>0</v>
      </c>
      <c r="Y45" s="475">
        <f>W45*X45</f>
        <v>0</v>
      </c>
      <c r="Z45" s="100"/>
      <c r="AA45" s="93">
        <f>IF(D45=DP!$L$15,F45*(1+DP!$M$15),IF(D45=DP!$L$16,F45*(1+DP!$M$16),IF(D45=DP!$L$17,F45*(1+DP!$M$17),IF(D45=DP!$L$18,F45*(1+DP!$M$18),0*1))))</f>
        <v>0</v>
      </c>
      <c r="AB45" s="102">
        <f>IF(D45=DP!$L$22,(DP!$M$22),IF(D45=DP!$L$23,(DP!$M$23),IF(D45=DP!$L$24,(DP!$M$24),IF(D45=DP!$L$25,(DP!$M$25),((0*1))))))</f>
        <v>0</v>
      </c>
      <c r="AC45" s="93">
        <f>AA45*AB45</f>
        <v>0</v>
      </c>
      <c r="AD45" s="93">
        <f>IF(D45=DP!$L$15,F45*(1+DP!$M$15),IF(D45=DP!$L$16,F45*(1+DP!$M$16),IF(D45=DP!$L$17,F45*(1+DP!$M$17),IF(D45=DP!$L$18,F45*(1+DP!$M$18),0*1))))</f>
        <v>0</v>
      </c>
      <c r="AE45" s="102">
        <f>IF(D45=DP!$L$22,(DP!$N$22),IF(D45=DP!$L$23,(DP!$N$23),IF(D45=DP!$L$24,(DP!$N$24),IF(D45=DP!$L$25,(DP!$N$25),((0*1))))))</f>
        <v>0</v>
      </c>
      <c r="AF45" s="93">
        <f>AD45*AE45</f>
        <v>0</v>
      </c>
      <c r="AG45" s="93">
        <f>IF(D45=DP!$L$15,(F45/DP!$K$15)*(1+DP!$M$15),IF(D45=DP!$L$16,(F45/DP!$K$16)*(1+DP!$M$16),IF(D45=DP!$L$17,(F45/DP!$K$17)*(1+DP!$M$17),IF(D45=DP!$L$18,(F45/DP!$K$18)*(1+DP!$M$18),0*1))))</f>
        <v>0</v>
      </c>
      <c r="AH45" s="102">
        <f>IF(D45=DP!$L$22,(DP!$O$22),IF(D45=DP!$L$23,(DP!$O$23),IF(D45=DP!$L$24,(DP!$O$24),IF(D45=DP!$L$25,(DP!$O$25),((0*1))))))</f>
        <v>0</v>
      </c>
      <c r="AI45" s="93">
        <f>AG45*AH45</f>
        <v>0</v>
      </c>
      <c r="AJ45" s="93">
        <f>IF(D45=DP!$L$15,F45*(1+DP!$M$15),IF(D45=DP!$L$16,F45*(1+DP!$M$16),IF(D45=DP!$L$17,F45*(1+DP!$M$17),IF(D45=DP!$L$18,F45*(1+DP!$M$18),0*1))))</f>
        <v>0</v>
      </c>
      <c r="AK45" s="102">
        <f>IF(D45=DP!$L$22,(DP!$P$22),IF(D45=DP!$L$23,(DP!$P$23),IF(D45=DP!$L$24,(DP!$P$24),IF(D45=DP!$L$25,(DP!$P$25),((0*1))))))</f>
        <v>0</v>
      </c>
      <c r="AL45" s="93">
        <f>AJ45*AK45</f>
        <v>0</v>
      </c>
      <c r="AM45" s="100"/>
      <c r="AN45" s="149">
        <f t="shared" ref="AN45:AN63" si="34">IF(F45&gt;0,AN$65/H$64*H45,0*1)</f>
        <v>0</v>
      </c>
      <c r="AO45" s="149">
        <f>DP!$N$35*H45</f>
        <v>0</v>
      </c>
      <c r="AP45" s="149">
        <f>DP!$O$35*H45</f>
        <v>0</v>
      </c>
      <c r="AQ45" s="149">
        <f>DP!$P$35*H45</f>
        <v>0</v>
      </c>
      <c r="AV45" s="412" t="str">
        <f>DP!AV18</f>
        <v>PIÑA RODAJA 850</v>
      </c>
      <c r="AW45" s="412">
        <f>DP!AW18</f>
        <v>850</v>
      </c>
      <c r="AX45" s="412">
        <f>DP!AX18</f>
        <v>425</v>
      </c>
      <c r="AY45" s="412">
        <f>IFERROR((BA45*1000)/AX45,0*1)</f>
        <v>0</v>
      </c>
      <c r="AZ45" s="470">
        <f>DP!AZ18</f>
        <v>0</v>
      </c>
      <c r="BA45" s="98">
        <f>$AW$40*AZ45</f>
        <v>0</v>
      </c>
      <c r="BB45" s="97"/>
      <c r="BC45" s="101">
        <f t="shared" ref="BC45:BC63" si="35">IF(AY45&gt;0,BE45/AY45,0*1)</f>
        <v>0</v>
      </c>
      <c r="BD45" s="122">
        <f t="shared" ref="BD45:BD63" si="36">IF(AY45&gt;0,BF45/AY45,0*1)</f>
        <v>0</v>
      </c>
      <c r="BE45" s="140">
        <f t="shared" ref="BE45:BE63" si="37">IF(AY45&gt;0,BF45+CJ45,0*1)</f>
        <v>0</v>
      </c>
      <c r="BF45" s="123">
        <f t="shared" ref="BF45:BF63" si="38">IF(AY45&gt;0,(BJ45+BM45+BP45+BV45+BY45+CB45+CE45+CG45),0*1)</f>
        <v>0</v>
      </c>
      <c r="BG45" s="100"/>
      <c r="BH45" s="102">
        <f>IFERROR((BA45*100%)/DP!$AO$29,(0*1))</f>
        <v>0</v>
      </c>
      <c r="BI45" s="102">
        <f>IF(BH45&gt;0,(DP!$AO$31),0*1)</f>
        <v>0</v>
      </c>
      <c r="BJ45" s="435">
        <f>BH45*BI45</f>
        <v>0</v>
      </c>
      <c r="BK45" s="475">
        <f>BA45*DP!$AO$44</f>
        <v>0</v>
      </c>
      <c r="BL45" s="475">
        <f>IF(BA45&gt;0,DP!$AP$44,0*1)</f>
        <v>0</v>
      </c>
      <c r="BM45" s="475">
        <f>BK45*BL45</f>
        <v>0</v>
      </c>
      <c r="BN45" s="102">
        <f>BA45*DP!$AO$45</f>
        <v>0</v>
      </c>
      <c r="BO45" s="102">
        <f>IF(BA45&gt;0,DP!$AP$45,0*1)</f>
        <v>0</v>
      </c>
      <c r="BP45" s="475">
        <f>BN45*BO45</f>
        <v>0</v>
      </c>
      <c r="BQ45" s="100"/>
      <c r="BR45" s="100"/>
      <c r="BS45" s="100"/>
      <c r="BT45" s="93">
        <f>IF(AW45=DP!$AN$15,AY45*(1+DP!$AO$15),IF(AW45=DP!$AN$16,AY45*(1+DP!$AO$16),IF(AW45=DP!$AN$17,AY45*(1+DP!$AO$17),IF(AW45=DP!$AN$18,AY45*(1+DP!$AO$18),0*1))))</f>
        <v>0</v>
      </c>
      <c r="BU45" s="102">
        <f>IF(AW45=DP!$AN$22,(DP!$AO$22),IF(AW45=DP!$AN$23,(DP!$AO$23),IF(AW45=DP!$AN$24,(DP!$AO$24),IF(AW45=DP!$AN$25,(DP!$AO$25),((0*1))))))</f>
        <v>0</v>
      </c>
      <c r="BV45" s="93">
        <f>BT45*BU45</f>
        <v>0</v>
      </c>
      <c r="BW45" s="93">
        <f>IF(AW45=DP!$AN$15,AY45*(1+DP!$AO$15),IF(AW45=DP!$AN$16,AY45*(1+DP!$AO$16),IF(AW45=DP!$AN$17,AY45*(1+DP!$AO$17),IF(AW45=DP!$AN$18,AY45*(1+DP!$AO$18),0*1))))</f>
        <v>0</v>
      </c>
      <c r="BX45" s="102">
        <f>IF(AW45=DP!$AN$22,(DP!$AP$22),IF(AW45=DP!$AN$23,(DP!$AP$23),IF(AW45=DP!$AN$24,(DP!$AP$24),IF(AW45=DP!$AN$25,(DP!$AP$25),((0*1))))))</f>
        <v>0</v>
      </c>
      <c r="BY45" s="93">
        <f>BW45*BX45</f>
        <v>0</v>
      </c>
      <c r="BZ45" s="93">
        <f>IF(AW45=DP!$AN$15,(AY45/DP!$AM$15)*(1+DP!$AO$15),IF(AW45=DP!$AN$16,(AY45/DP!$AM$16)*(1+DP!$AO$16),IF(AW45=DP!$AN$17,(AY45/DP!$AM$17)*(1+DP!$AO$17),IF(AW45=DP!$AN$18,(AY45/DP!$AM$18)*(1+DP!$AO$18),0*1))))</f>
        <v>0</v>
      </c>
      <c r="CA45" s="102">
        <f>IF(AW45=DP!$AN$22,(DP!$AQ$22),IF(AW45=DP!$AN$23,(DP!$AQ$23),IF(AW45=DP!$AN$24,(DP!$AQ$24),IF(AW45=DP!$AN$25,(DP!$AQ$25),((0*1))))))</f>
        <v>0</v>
      </c>
      <c r="CB45" s="93">
        <f>BZ45*CA45</f>
        <v>0</v>
      </c>
      <c r="CC45" s="93">
        <f>IF(AW45=DP!$AN$15,AY45*(1+DP!$AO$15),IF(AW45=DP!$AN$16,AY45*(1+DP!$AO$16),IF(AW45=DP!$AN$17,AY45*(1+DP!$AO$17),IF(AW45=DP!$AN$18,AY45*(1+DP!$AO$18),0*1))))</f>
        <v>0</v>
      </c>
      <c r="CD45" s="102">
        <f>IF(AW45=DP!$AN$22,(DP!$AR$22),IF(AW45=DP!$AN$23,(DP!$AR$23),IF(AW45=DP!$AN$24,(DP!$AR$24),IF(AW45=DP!$AN$25,(DP!$AR$25),((0*1))))))</f>
        <v>0</v>
      </c>
      <c r="CE45" s="93">
        <f>CC45*CD45</f>
        <v>0</v>
      </c>
      <c r="CF45" s="100"/>
      <c r="CG45" s="143">
        <f t="shared" ref="CG45:CG63" si="39">IF(AY45&gt;0,CG$65/BA$64*BA45,0*1)</f>
        <v>0</v>
      </c>
      <c r="CH45" s="149">
        <f>DP!$N$35*BA45</f>
        <v>0</v>
      </c>
      <c r="CI45" s="149">
        <f>DP!$O$35*BA45</f>
        <v>0</v>
      </c>
      <c r="CJ45" s="149">
        <f>DP!$P$35*BA45</f>
        <v>0</v>
      </c>
    </row>
    <row r="46" spans="2:88" x14ac:dyDescent="0.35">
      <c r="B46" s="481">
        <f>DP!S19</f>
        <v>0</v>
      </c>
      <c r="C46" s="481" t="str">
        <f>DP!T19</f>
        <v>PALMITO RODAJA 800</v>
      </c>
      <c r="D46" s="481">
        <f>DP!U19</f>
        <v>800</v>
      </c>
      <c r="E46" s="481">
        <f>DP!V19</f>
        <v>500</v>
      </c>
      <c r="F46" s="412">
        <f t="shared" ref="F46:F63" si="40">IFERROR((H46*1000)/E46,0*1)</f>
        <v>0</v>
      </c>
      <c r="G46" s="470">
        <f>DP!X19</f>
        <v>0</v>
      </c>
      <c r="H46" s="98">
        <f t="shared" ref="H46:H63" si="41">$D$40*G46</f>
        <v>0</v>
      </c>
      <c r="I46" s="97"/>
      <c r="J46" s="102">
        <f t="shared" si="30"/>
        <v>0</v>
      </c>
      <c r="K46" s="98">
        <f t="shared" si="31"/>
        <v>0</v>
      </c>
      <c r="L46" s="93">
        <f t="shared" si="32"/>
        <v>0</v>
      </c>
      <c r="M46" s="99">
        <f t="shared" si="33"/>
        <v>0</v>
      </c>
      <c r="N46" s="100"/>
      <c r="O46" s="146">
        <f>($E46/DP!$M$29)*F46</f>
        <v>0</v>
      </c>
      <c r="P46" s="102">
        <f>IF(O46&gt;0,(DP!$M$31),0*1)</f>
        <v>0</v>
      </c>
      <c r="Q46" s="102">
        <f t="shared" ref="Q46:Q53" si="42">O46*P46</f>
        <v>0</v>
      </c>
      <c r="R46" s="102">
        <f t="shared" ref="R46:R63" si="43">IF(O46&gt;0,S46/O46,0*1)</f>
        <v>0</v>
      </c>
      <c r="S46" s="418">
        <f t="shared" ref="S46:S63" si="44">IFERROR(IF(B46=1,(S$67+70%*S$68)/(SUMIF($B$45:$B$63,1,$H$45:$H$63))*H46,(30%*S$68)/(SUMIF($B$45:$B$63,0,$H$45:$H$63))*H46),0*1)</f>
        <v>0</v>
      </c>
      <c r="T46" s="475">
        <f>H46*DP!$M$44</f>
        <v>0</v>
      </c>
      <c r="U46" s="475">
        <f>IF(H46&gt;0,DP!$N$44,0*1)</f>
        <v>0</v>
      </c>
      <c r="V46" s="475">
        <f t="shared" ref="V46:V63" si="45">T46*U46</f>
        <v>0</v>
      </c>
      <c r="W46" s="475">
        <f>H46*DP!$M$45</f>
        <v>0</v>
      </c>
      <c r="X46" s="475">
        <f>IF(H46&gt;0,DP!$N$45,0*1)</f>
        <v>0</v>
      </c>
      <c r="Y46" s="475">
        <f t="shared" ref="Y46:Y63" si="46">W46*X46</f>
        <v>0</v>
      </c>
      <c r="Z46" s="100"/>
      <c r="AA46" s="93">
        <f>IF(D46=DP!$L$15,F46*(1+DP!$M$15),IF(D46=DP!$L$16,F46*(1+DP!$M$16),IF(D46=DP!$L$17,F46*(1+DP!$M$17),IF(D46=DP!$L$18,F46*(1+DP!$M$18),0*1))))</f>
        <v>0</v>
      </c>
      <c r="AB46" s="102">
        <f>IF(D46=DP!$L$22,(DP!$M$22),IF(D46=DP!$L$23,(DP!$M$23),IF(D46=DP!$L$24,(DP!$M$24),IF(D46=DP!$L$25,(DP!$M$25),((0*1))))))</f>
        <v>0</v>
      </c>
      <c r="AC46" s="93">
        <f t="shared" ref="AC46:AC63" si="47">AA46*AB46</f>
        <v>0</v>
      </c>
      <c r="AD46" s="93">
        <f>IF(D46=DP!$L$15,F46*(1+DP!$M$15),IF(D46=DP!$L$16,F46*(1+DP!$M$16),IF(D46=DP!$L$17,F46*(1+DP!$M$17),IF(D46=DP!$L$18,F46*(1+DP!$M$18),0*1))))</f>
        <v>0</v>
      </c>
      <c r="AE46" s="102">
        <f>IF(D46=DP!$L$22,(DP!$N$22),IF(D46=DP!$L$23,(DP!$N$23),IF(D46=DP!$L$24,(DP!$N$24),IF(D46=DP!$L$25,(DP!$N$25),((0*1))))))</f>
        <v>0</v>
      </c>
      <c r="AF46" s="93">
        <f t="shared" ref="AF46:AF63" si="48">AD46*AE46</f>
        <v>0</v>
      </c>
      <c r="AG46" s="93">
        <f>IF(D46=DP!$L$15,(F46/DP!$K$15)*(1+DP!$M$15),IF(D46=DP!$L$16,(F46/DP!$K$16)*(1+DP!$M$16),IF(D46=DP!$L$17,(F46/DP!$K$17)*(1+DP!$M$17),IF(D46=DP!$L$18,(F46/DP!$K$18)*(1+DP!$M$18),0*1))))</f>
        <v>0</v>
      </c>
      <c r="AH46" s="102">
        <f>IF(D46=DP!$L$22,(DP!$O$22),IF(D46=DP!$L$23,(DP!$O$23),IF(D46=DP!$L$24,(DP!$O$24),IF(D46=DP!$L$25,(DP!$O$25),((0*1))))))</f>
        <v>0</v>
      </c>
      <c r="AI46" s="93">
        <f t="shared" ref="AI46:AI63" si="49">AG46*AH46</f>
        <v>0</v>
      </c>
      <c r="AJ46" s="93">
        <f>IF(D46=DP!$L$15,F46*(1+DP!$M$15),IF(D46=DP!$L$16,F46*(1+DP!$M$16),IF(D46=DP!$L$17,F46*(1+DP!$M$17),IF(D46=DP!$L$18,F46*(1+DP!$M$18),0*1))))</f>
        <v>0</v>
      </c>
      <c r="AK46" s="102">
        <f>IF(D46=DP!$L$22,(DP!$P$22),IF(D46=DP!$L$23,(DP!$P$23),IF(D46=DP!$L$24,(DP!$P$24),IF(D46=DP!$L$25,(DP!$P$25),((0*1))))))</f>
        <v>0</v>
      </c>
      <c r="AL46" s="93">
        <f t="shared" ref="AL46:AL63" si="50">AJ46*AK46</f>
        <v>0</v>
      </c>
      <c r="AM46" s="100"/>
      <c r="AN46" s="149">
        <f t="shared" si="34"/>
        <v>0</v>
      </c>
      <c r="AO46" s="149">
        <f>DP!$N$35*H46</f>
        <v>0</v>
      </c>
      <c r="AP46" s="149">
        <f>DP!$O$35*H46</f>
        <v>0</v>
      </c>
      <c r="AQ46" s="149">
        <f>DP!$P$35*H46</f>
        <v>0</v>
      </c>
      <c r="AV46" s="412" t="str">
        <f>DP!AV19</f>
        <v>PIÑA TROZO 850</v>
      </c>
      <c r="AW46" s="412">
        <f>DP!AW19</f>
        <v>850</v>
      </c>
      <c r="AX46" s="412">
        <f>DP!AX19</f>
        <v>440</v>
      </c>
      <c r="AY46" s="412">
        <f t="shared" ref="AY46:AY63" si="51">IFERROR((BA46*1000)/AX46,0*1)</f>
        <v>0</v>
      </c>
      <c r="AZ46" s="470">
        <f>DP!AZ19</f>
        <v>0</v>
      </c>
      <c r="BA46" s="98">
        <f t="shared" ref="BA46:BA63" si="52">$AW$40*AZ46</f>
        <v>0</v>
      </c>
      <c r="BB46" s="97"/>
      <c r="BC46" s="102">
        <f t="shared" si="35"/>
        <v>0</v>
      </c>
      <c r="BD46" s="98">
        <f t="shared" si="36"/>
        <v>0</v>
      </c>
      <c r="BE46" s="93">
        <f t="shared" si="37"/>
        <v>0</v>
      </c>
      <c r="BF46" s="99">
        <f t="shared" si="38"/>
        <v>0</v>
      </c>
      <c r="BG46" s="100"/>
      <c r="BH46" s="102">
        <f>IFERROR((BA46*100%)/DP!$AO$29,(0*1))</f>
        <v>0</v>
      </c>
      <c r="BI46" s="102">
        <f>IF(BH46&gt;0,(DP!$AO$31),0*1)</f>
        <v>0</v>
      </c>
      <c r="BJ46" s="435">
        <f t="shared" ref="BJ46:BJ63" si="53">BH46*BI46</f>
        <v>0</v>
      </c>
      <c r="BK46" s="475">
        <f>BA46*DP!$AO$44</f>
        <v>0</v>
      </c>
      <c r="BL46" s="475">
        <f>IF(BA46&gt;0,DP!$AP$44,0*1)</f>
        <v>0</v>
      </c>
      <c r="BM46" s="475">
        <f t="shared" ref="BM46:BM63" si="54">BK46*BL46</f>
        <v>0</v>
      </c>
      <c r="BN46" s="102">
        <f>BA46*DP!$AO$45</f>
        <v>0</v>
      </c>
      <c r="BO46" s="102">
        <f>IF(BA46&gt;0,DP!$AP$45,0*1)</f>
        <v>0</v>
      </c>
      <c r="BP46" s="475">
        <f t="shared" ref="BP46:BP63" si="55">BN46*BO46</f>
        <v>0</v>
      </c>
      <c r="BQ46" s="100"/>
      <c r="BR46" s="100"/>
      <c r="BS46" s="100"/>
      <c r="BT46" s="93">
        <f>IF(AW46=DP!$AN$15,AY46*(1+DP!$AO$15),IF(AW46=DP!$AN$16,AY46*(1+DP!$AO$16),IF(AW46=DP!$AN$17,AY46*(1+DP!$AO$17),IF(AW46=DP!$AN$18,AY46*(1+DP!$AO$18),0*1))))</f>
        <v>0</v>
      </c>
      <c r="BU46" s="102">
        <f>IF(AW46=DP!$AN$22,(DP!$AO$22),IF(AW46=DP!$AN$23,(DP!$AO$23),IF(AW46=DP!$AN$24,(DP!$AO$24),IF(AW46=DP!$AN$25,(DP!$AO$25),((0*1))))))</f>
        <v>0</v>
      </c>
      <c r="BV46" s="93">
        <f t="shared" ref="BV46:BV63" si="56">BT46*BU46</f>
        <v>0</v>
      </c>
      <c r="BW46" s="93">
        <f>IF(AW46=DP!$AN$15,AY46*(1+DP!$AO$15),IF(AW46=DP!$AN$16,AY46*(1+DP!$AO$16),IF(AW46=DP!$AN$17,AY46*(1+DP!$AO$17),IF(AW46=DP!$AN$18,AY46*(1+DP!$AO$18),0*1))))</f>
        <v>0</v>
      </c>
      <c r="BX46" s="102">
        <f>IF(AW46=DP!$AN$22,(DP!$AP$22),IF(AW46=DP!$AN$23,(DP!$AP$23),IF(AW46=DP!$AN$24,(DP!$AP$24),IF(AW46=DP!$AN$25,(DP!$AP$25),((0*1))))))</f>
        <v>0</v>
      </c>
      <c r="BY46" s="93">
        <f t="shared" ref="BY46:BY56" si="57">BW46*BX46</f>
        <v>0</v>
      </c>
      <c r="BZ46" s="93">
        <f>IF(AW46=DP!$AN$15,(AY46/DP!$AM$15)*(1+DP!$AO$15),IF(AW46=DP!$AN$16,(AY46/DP!$AM$16)*(1+DP!$AO$16),IF(AW46=DP!$AN$17,(AY46/DP!$AM$17)*(1+DP!$AO$17),IF(AW46=DP!$AN$18,(AY46/DP!$AM$18)*(1+DP!$AO$18),0*1))))</f>
        <v>0</v>
      </c>
      <c r="CA46" s="102">
        <f>IF(AW46=DP!$AN$22,(DP!$AQ$22),IF(AW46=DP!$AN$23,(DP!$AQ$23),IF(AW46=DP!$AN$24,(DP!$AQ$24),IF(AW46=DP!$AN$25,(DP!$AQ$25),((0*1))))))</f>
        <v>0</v>
      </c>
      <c r="CB46" s="93">
        <f t="shared" ref="CB46:CB63" si="58">BZ46*CA46</f>
        <v>0</v>
      </c>
      <c r="CC46" s="93">
        <f>IF(AW46=DP!$AN$15,AY46*(1+DP!$AO$15),IF(AW46=DP!$AN$16,AY46*(1+DP!$AO$16),IF(AW46=DP!$AN$17,AY46*(1+DP!$AO$17),IF(AW46=DP!$AN$18,AY46*(1+DP!$AO$18),0*1))))</f>
        <v>0</v>
      </c>
      <c r="CD46" s="102">
        <f>IF(AW46=DP!$AN$22,(DP!$AR$22),IF(AW46=DP!$AN$23,(DP!$AR$23),IF(AW46=DP!$AN$24,(DP!$AR$24),IF(AW46=DP!$AN$25,(DP!$AR$25),((0*1))))))</f>
        <v>0</v>
      </c>
      <c r="CE46" s="93">
        <f t="shared" ref="CE46:CE63" si="59">CC46*CD46</f>
        <v>0</v>
      </c>
      <c r="CF46" s="100"/>
      <c r="CG46" s="148">
        <f t="shared" si="39"/>
        <v>0</v>
      </c>
      <c r="CH46" s="149">
        <f>DP!$N$35*BA46</f>
        <v>0</v>
      </c>
      <c r="CI46" s="149">
        <f>DP!$O$35*BA46</f>
        <v>0</v>
      </c>
      <c r="CJ46" s="149">
        <f>DP!$P$35*BA46</f>
        <v>0</v>
      </c>
    </row>
    <row r="47" spans="2:88" x14ac:dyDescent="0.35">
      <c r="B47" s="481">
        <f>DP!S20</f>
        <v>0</v>
      </c>
      <c r="C47" s="481" t="str">
        <f>DP!T20</f>
        <v>PALMITO TROZO 800</v>
      </c>
      <c r="D47" s="481">
        <f>DP!U20</f>
        <v>800</v>
      </c>
      <c r="E47" s="481">
        <f>DP!V20</f>
        <v>500</v>
      </c>
      <c r="F47" s="412">
        <f t="shared" si="40"/>
        <v>0</v>
      </c>
      <c r="G47" s="470">
        <f>DP!X20</f>
        <v>0</v>
      </c>
      <c r="H47" s="98">
        <f t="shared" si="41"/>
        <v>0</v>
      </c>
      <c r="I47" s="97"/>
      <c r="J47" s="102">
        <f t="shared" si="30"/>
        <v>0</v>
      </c>
      <c r="K47" s="98">
        <f t="shared" si="31"/>
        <v>0</v>
      </c>
      <c r="L47" s="93">
        <f t="shared" si="32"/>
        <v>0</v>
      </c>
      <c r="M47" s="99">
        <f t="shared" si="33"/>
        <v>0</v>
      </c>
      <c r="N47" s="100"/>
      <c r="O47" s="146">
        <f>($E47/DP!$M$29)*F47</f>
        <v>0</v>
      </c>
      <c r="P47" s="102">
        <f>IF(O47&gt;0,(DP!$M$31),0*1)</f>
        <v>0</v>
      </c>
      <c r="Q47" s="102">
        <f t="shared" si="42"/>
        <v>0</v>
      </c>
      <c r="R47" s="102">
        <f t="shared" si="43"/>
        <v>0</v>
      </c>
      <c r="S47" s="418">
        <f t="shared" si="44"/>
        <v>0</v>
      </c>
      <c r="T47" s="475">
        <f>H47*DP!$M$44</f>
        <v>0</v>
      </c>
      <c r="U47" s="475">
        <f>IF(H47&gt;0,DP!$N$44,0*1)</f>
        <v>0</v>
      </c>
      <c r="V47" s="475">
        <f t="shared" si="45"/>
        <v>0</v>
      </c>
      <c r="W47" s="475">
        <f>H47*DP!$M$45</f>
        <v>0</v>
      </c>
      <c r="X47" s="475">
        <f>IF(H47&gt;0,DP!$N$45,0*1)</f>
        <v>0</v>
      </c>
      <c r="Y47" s="475">
        <f t="shared" si="46"/>
        <v>0</v>
      </c>
      <c r="Z47" s="100"/>
      <c r="AA47" s="93">
        <f>IF(D47=DP!$L$15,F47*(1+DP!$M$15),IF(D47=DP!$L$16,F47*(1+DP!$M$16),IF(D47=DP!$L$17,F47*(1+DP!$M$17),IF(D47=DP!$L$18,F47*(1+DP!$M$18),0*1))))</f>
        <v>0</v>
      </c>
      <c r="AB47" s="102">
        <f>IF(D47=DP!$L$22,(DP!$M$22),IF(D47=DP!$L$23,(DP!$M$23),IF(D47=DP!$L$24,(DP!$M$24),IF(D47=DP!$L$25,(DP!$M$25),((0*1))))))</f>
        <v>0</v>
      </c>
      <c r="AC47" s="93">
        <f t="shared" si="47"/>
        <v>0</v>
      </c>
      <c r="AD47" s="93">
        <f>IF(D47=DP!$L$15,F47*(1+DP!$M$15),IF(D47=DP!$L$16,F47*(1+DP!$M$16),IF(D47=DP!$L$17,F47*(1+DP!$M$17),IF(D47=DP!$L$18,F47*(1+DP!$M$18),0*1))))</f>
        <v>0</v>
      </c>
      <c r="AE47" s="102">
        <f>IF(D47=DP!$L$22,(DP!$N$22),IF(D47=DP!$L$23,(DP!$N$23),IF(D47=DP!$L$24,(DP!$N$24),IF(D47=DP!$L$25,(DP!$N$25),((0*1))))))</f>
        <v>0</v>
      </c>
      <c r="AF47" s="93">
        <f t="shared" si="48"/>
        <v>0</v>
      </c>
      <c r="AG47" s="93">
        <f>IF(D47=DP!$L$15,(F47/DP!$K$15)*(1+DP!$M$15),IF(D47=DP!$L$16,(F47/DP!$K$16)*(1+DP!$M$16),IF(D47=DP!$L$17,(F47/DP!$K$17)*(1+DP!$M$17),IF(D47=DP!$L$18,(F47/DP!$K$18)*(1+DP!$M$18),0*1))))</f>
        <v>0</v>
      </c>
      <c r="AH47" s="102">
        <f>IF(D47=DP!$L$22,(DP!$O$22),IF(D47=DP!$L$23,(DP!$O$23),IF(D47=DP!$L$24,(DP!$O$24),IF(D47=DP!$L$25,(DP!$O$25),((0*1))))))</f>
        <v>0</v>
      </c>
      <c r="AI47" s="93">
        <f t="shared" si="49"/>
        <v>0</v>
      </c>
      <c r="AJ47" s="93">
        <f>IF(D47=DP!$L$15,F47*(1+DP!$M$15),IF(D47=DP!$L$16,F47*(1+DP!$M$16),IF(D47=DP!$L$17,F47*(1+DP!$M$17),IF(D47=DP!$L$18,F47*(1+DP!$M$18),0*1))))</f>
        <v>0</v>
      </c>
      <c r="AK47" s="102">
        <f>IF(D47=DP!$L$22,(DP!$P$22),IF(D47=DP!$L$23,(DP!$P$23),IF(D47=DP!$L$24,(DP!$P$24),IF(D47=DP!$L$25,(DP!$P$25),((0*1))))))</f>
        <v>0</v>
      </c>
      <c r="AL47" s="93">
        <f t="shared" si="50"/>
        <v>0</v>
      </c>
      <c r="AM47" s="100"/>
      <c r="AN47" s="149">
        <f t="shared" si="34"/>
        <v>0</v>
      </c>
      <c r="AO47" s="149">
        <f>DP!$N$35*H47</f>
        <v>0</v>
      </c>
      <c r="AP47" s="149">
        <f>DP!$O$35*H47</f>
        <v>0</v>
      </c>
      <c r="AQ47" s="149">
        <f>DP!$P$35*H47</f>
        <v>0</v>
      </c>
      <c r="AV47" s="412" t="str">
        <f>DP!AV20</f>
        <v>PIÑA TROZO A-10</v>
      </c>
      <c r="AW47" s="412">
        <f>DP!AW20</f>
        <v>2920</v>
      </c>
      <c r="AX47" s="412">
        <f>DP!AX20</f>
        <v>1825</v>
      </c>
      <c r="AY47" s="412">
        <f t="shared" si="51"/>
        <v>0</v>
      </c>
      <c r="AZ47" s="470">
        <f>DP!AZ20</f>
        <v>0</v>
      </c>
      <c r="BA47" s="98">
        <f t="shared" si="52"/>
        <v>0</v>
      </c>
      <c r="BB47" s="97"/>
      <c r="BC47" s="102">
        <f t="shared" si="35"/>
        <v>0</v>
      </c>
      <c r="BD47" s="98">
        <f t="shared" si="36"/>
        <v>0</v>
      </c>
      <c r="BE47" s="93">
        <f t="shared" si="37"/>
        <v>0</v>
      </c>
      <c r="BF47" s="99">
        <f t="shared" si="38"/>
        <v>0</v>
      </c>
      <c r="BG47" s="100"/>
      <c r="BH47" s="102">
        <f>IFERROR((BA47*100%)/DP!$AO$29,(0*1))</f>
        <v>0</v>
      </c>
      <c r="BI47" s="102">
        <f>IF(BH47&gt;0,(DP!$AO$31),0*1)</f>
        <v>0</v>
      </c>
      <c r="BJ47" s="435">
        <f t="shared" si="53"/>
        <v>0</v>
      </c>
      <c r="BK47" s="475">
        <f>BA47*DP!$AO$44</f>
        <v>0</v>
      </c>
      <c r="BL47" s="475">
        <f>IF(BA47&gt;0,DP!$AP$44,0*1)</f>
        <v>0</v>
      </c>
      <c r="BM47" s="475">
        <f t="shared" si="54"/>
        <v>0</v>
      </c>
      <c r="BN47" s="102">
        <f>BA47*DP!$AO$45</f>
        <v>0</v>
      </c>
      <c r="BO47" s="102">
        <f>IF(BA47&gt;0,DP!$AP$45,0*1)</f>
        <v>0</v>
      </c>
      <c r="BP47" s="475">
        <f t="shared" si="55"/>
        <v>0</v>
      </c>
      <c r="BQ47" s="100"/>
      <c r="BR47" s="100"/>
      <c r="BS47" s="100"/>
      <c r="BT47" s="93">
        <f>IF(AW47=DP!$AN$15,AY47*(1+DP!$AO$15),IF(AW47=DP!$AN$16,AY47*(1+DP!$AO$16),IF(AW47=DP!$AN$17,AY47*(1+DP!$AO$17),IF(AW47=DP!$AN$18,AY47*(1+DP!$AO$18),0*1))))</f>
        <v>0</v>
      </c>
      <c r="BU47" s="102">
        <f>IF(AW47=DP!$AN$22,(DP!$AO$22),IF(AW47=DP!$AN$23,(DP!$AO$23),IF(AW47=DP!$AN$24,(DP!$AO$24),IF(AW47=DP!$AN$25,(DP!$AO$25),((0*1))))))</f>
        <v>0</v>
      </c>
      <c r="BV47" s="93">
        <f t="shared" si="56"/>
        <v>0</v>
      </c>
      <c r="BW47" s="93">
        <f>IF(AW47=DP!$AN$15,AY47*(1+DP!$AO$15),IF(AW47=DP!$AN$16,AY47*(1+DP!$AO$16),IF(AW47=DP!$AN$17,AY47*(1+DP!$AO$17),IF(AW47=DP!$AN$18,AY47*(1+DP!$AO$18),0*1))))</f>
        <v>0</v>
      </c>
      <c r="BX47" s="102">
        <f>IF(AW47=DP!$AN$22,(DP!$AP$22),IF(AW47=DP!$AN$23,(DP!$AP$23),IF(AW47=DP!$AN$24,(DP!$AP$24),IF(AW47=DP!$AN$25,(DP!$AP$25),((0*1))))))</f>
        <v>0</v>
      </c>
      <c r="BY47" s="93">
        <f t="shared" si="57"/>
        <v>0</v>
      </c>
      <c r="BZ47" s="93">
        <f>IF(AW47=DP!$AN$15,(AY47/DP!$AM$15)*(1+DP!$AO$15),IF(AW47=DP!$AN$16,(AY47/DP!$AM$16)*(1+DP!$AO$16),IF(AW47=DP!$AN$17,(AY47/DP!$AM$17)*(1+DP!$AO$17),IF(AW47=DP!$AN$18,(AY47/DP!$AM$18)*(1+DP!$AO$18),0*1))))</f>
        <v>0</v>
      </c>
      <c r="CA47" s="102">
        <f>IF(AW47=DP!$AN$22,(DP!$AQ$22),IF(AW47=DP!$AN$23,(DP!$AQ$23),IF(AW47=DP!$AN$24,(DP!$AQ$24),IF(AW47=DP!$AN$25,(DP!$AQ$25),((0*1))))))</f>
        <v>0</v>
      </c>
      <c r="CB47" s="93">
        <f t="shared" si="58"/>
        <v>0</v>
      </c>
      <c r="CC47" s="93">
        <f>IF(AW47=DP!$AN$15,AY47*(1+DP!$AO$15),IF(AW47=DP!$AN$16,AY47*(1+DP!$AO$16),IF(AW47=DP!$AN$17,AY47*(1+DP!$AO$17),IF(AW47=DP!$AN$18,AY47*(1+DP!$AO$18),0*1))))</f>
        <v>0</v>
      </c>
      <c r="CD47" s="102">
        <f>IF(AW47=DP!$AN$22,(DP!$AR$22),IF(AW47=DP!$AN$23,(DP!$AR$23),IF(AW47=DP!$AN$24,(DP!$AR$24),IF(AW47=DP!$AN$25,(DP!$AR$25),((0*1))))))</f>
        <v>0</v>
      </c>
      <c r="CE47" s="93">
        <f t="shared" si="59"/>
        <v>0</v>
      </c>
      <c r="CF47" s="100"/>
      <c r="CG47" s="148">
        <f t="shared" si="39"/>
        <v>0</v>
      </c>
      <c r="CH47" s="149">
        <f>DP!$N$35*BA47</f>
        <v>0</v>
      </c>
      <c r="CI47" s="149">
        <f>DP!$O$35*BA47</f>
        <v>0</v>
      </c>
      <c r="CJ47" s="149">
        <f>DP!$P$35*BA47</f>
        <v>0</v>
      </c>
    </row>
    <row r="48" spans="2:88" x14ac:dyDescent="0.35">
      <c r="B48" s="481">
        <f>DP!S21</f>
        <v>1</v>
      </c>
      <c r="C48" s="481" t="str">
        <f>DP!T21</f>
        <v>PALMITO ENTERO 400</v>
      </c>
      <c r="D48" s="481">
        <f>DP!U21</f>
        <v>400</v>
      </c>
      <c r="E48" s="481">
        <f>DP!V21</f>
        <v>220</v>
      </c>
      <c r="F48" s="412">
        <f t="shared" si="40"/>
        <v>0</v>
      </c>
      <c r="G48" s="470">
        <f>DP!X21</f>
        <v>0</v>
      </c>
      <c r="H48" s="98">
        <f t="shared" si="41"/>
        <v>0</v>
      </c>
      <c r="I48" s="97"/>
      <c r="J48" s="102">
        <f t="shared" si="30"/>
        <v>0</v>
      </c>
      <c r="K48" s="98">
        <f t="shared" si="31"/>
        <v>0</v>
      </c>
      <c r="L48" s="93">
        <f t="shared" si="32"/>
        <v>0</v>
      </c>
      <c r="M48" s="99">
        <f t="shared" si="33"/>
        <v>0</v>
      </c>
      <c r="N48" s="100"/>
      <c r="O48" s="146">
        <f>($E48/DP!$M$29)*F48</f>
        <v>0</v>
      </c>
      <c r="P48" s="102">
        <f>IF(O48&gt;0,(DP!$M$31),0*1)</f>
        <v>0</v>
      </c>
      <c r="Q48" s="102">
        <f t="shared" si="42"/>
        <v>0</v>
      </c>
      <c r="R48" s="102">
        <f t="shared" si="43"/>
        <v>0</v>
      </c>
      <c r="S48" s="418">
        <f t="shared" si="44"/>
        <v>0</v>
      </c>
      <c r="T48" s="475">
        <f>H48*DP!$M$44</f>
        <v>0</v>
      </c>
      <c r="U48" s="475">
        <f>IF(H48&gt;0,DP!$N$44,0*1)</f>
        <v>0</v>
      </c>
      <c r="V48" s="475">
        <f t="shared" si="45"/>
        <v>0</v>
      </c>
      <c r="W48" s="475">
        <f>H48*DP!$M$45</f>
        <v>0</v>
      </c>
      <c r="X48" s="475">
        <f>IF(H48&gt;0,DP!$N$45,0*1)</f>
        <v>0</v>
      </c>
      <c r="Y48" s="475">
        <f t="shared" si="46"/>
        <v>0</v>
      </c>
      <c r="Z48" s="100"/>
      <c r="AA48" s="93">
        <f>IF(D48=DP!$L$15,F48*(1+DP!$M$15),IF(D48=DP!$L$16,F48*(1+DP!$M$16),IF(D48=DP!$L$17,F48*(1+DP!$M$17),IF(D48=DP!$L$18,F48*(1+DP!$M$18),0*1))))</f>
        <v>0</v>
      </c>
      <c r="AB48" s="102">
        <f>IF(D48=DP!$L$22,(DP!$M$22),IF(D48=DP!$L$23,(DP!$M$23),IF(D48=DP!$L$24,(DP!$M$24),IF(D48=DP!$L$25,(DP!$M$25),((0*1))))))</f>
        <v>0</v>
      </c>
      <c r="AC48" s="93">
        <f t="shared" si="47"/>
        <v>0</v>
      </c>
      <c r="AD48" s="93">
        <f>IF(D48=DP!$L$15,F48*(1+DP!$M$15),IF(D48=DP!$L$16,F48*(1+DP!$M$16),IF(D48=DP!$L$17,F48*(1+DP!$M$17),IF(D48=DP!$L$18,F48*(1+DP!$M$18),0*1))))</f>
        <v>0</v>
      </c>
      <c r="AE48" s="102">
        <f>IF(D48=DP!$L$22,(DP!$N$22),IF(D48=DP!$L$23,(DP!$N$23),IF(D48=DP!$L$24,(DP!$N$24),IF(D48=DP!$L$25,(DP!$N$25),((0*1))))))</f>
        <v>0</v>
      </c>
      <c r="AF48" s="93">
        <f t="shared" si="48"/>
        <v>0</v>
      </c>
      <c r="AG48" s="93">
        <f>IF(D48=DP!$L$15,(F48/DP!$K$15)*(1+DP!$M$15),IF(D48=DP!$L$16,(F48/DP!$K$16)*(1+DP!$M$16),IF(D48=DP!$L$17,(F48/DP!$K$17)*(1+DP!$M$17),IF(D48=DP!$L$18,(F48/DP!$K$18)*(1+DP!$M$18),0*1))))</f>
        <v>0</v>
      </c>
      <c r="AH48" s="102">
        <f>IF(D48=DP!$L$22,(DP!$O$22),IF(D48=DP!$L$23,(DP!$O$23),IF(D48=DP!$L$24,(DP!$O$24),IF(D48=DP!$L$25,(DP!$O$25),((0*1))))))</f>
        <v>0</v>
      </c>
      <c r="AI48" s="93">
        <f t="shared" si="49"/>
        <v>0</v>
      </c>
      <c r="AJ48" s="93">
        <f>IF(D48=DP!$L$15,F48*(1+DP!$M$15),IF(D48=DP!$L$16,F48*(1+DP!$M$16),IF(D48=DP!$L$17,F48*(1+DP!$M$17),IF(D48=DP!$L$18,F48*(1+DP!$M$18),0*1))))</f>
        <v>0</v>
      </c>
      <c r="AK48" s="102">
        <f>IF(D48=DP!$L$22,(DP!$P$22),IF(D48=DP!$L$23,(DP!$P$23),IF(D48=DP!$L$24,(DP!$P$24),IF(D48=DP!$L$25,(DP!$P$25),((0*1))))))</f>
        <v>0</v>
      </c>
      <c r="AL48" s="93">
        <f t="shared" si="50"/>
        <v>0</v>
      </c>
      <c r="AM48" s="100"/>
      <c r="AN48" s="149">
        <f t="shared" si="34"/>
        <v>0</v>
      </c>
      <c r="AO48" s="149">
        <f>DP!$N$35*H48</f>
        <v>0</v>
      </c>
      <c r="AP48" s="149">
        <f>DP!$O$35*H48</f>
        <v>0</v>
      </c>
      <c r="AQ48" s="149">
        <f>DP!$P$35*H48</f>
        <v>0</v>
      </c>
      <c r="AV48" s="412" t="str">
        <f>DP!AV21</f>
        <v>PIÑA RODAJA A-10</v>
      </c>
      <c r="AW48" s="412">
        <f>DP!AW21</f>
        <v>2920</v>
      </c>
      <c r="AX48" s="412">
        <f>DP!AX21</f>
        <v>1825</v>
      </c>
      <c r="AY48" s="412">
        <f t="shared" si="51"/>
        <v>0</v>
      </c>
      <c r="AZ48" s="470">
        <f>DP!AZ21</f>
        <v>0</v>
      </c>
      <c r="BA48" s="98">
        <f t="shared" si="52"/>
        <v>0</v>
      </c>
      <c r="BB48" s="97"/>
      <c r="BC48" s="102">
        <f t="shared" si="35"/>
        <v>0</v>
      </c>
      <c r="BD48" s="98">
        <f t="shared" si="36"/>
        <v>0</v>
      </c>
      <c r="BE48" s="93">
        <f t="shared" si="37"/>
        <v>0</v>
      </c>
      <c r="BF48" s="99">
        <f t="shared" si="38"/>
        <v>0</v>
      </c>
      <c r="BG48" s="100"/>
      <c r="BH48" s="102">
        <f>IFERROR((BA48*100%)/DP!$AO$29,(0*1))</f>
        <v>0</v>
      </c>
      <c r="BI48" s="102">
        <f>IF(BH48&gt;0,(DP!$AO$31),0*1)</f>
        <v>0</v>
      </c>
      <c r="BJ48" s="435">
        <f t="shared" si="53"/>
        <v>0</v>
      </c>
      <c r="BK48" s="475">
        <f>BA48*DP!$AO$44</f>
        <v>0</v>
      </c>
      <c r="BL48" s="475">
        <f>IF(BA48&gt;0,DP!$AP$44,0*1)</f>
        <v>0</v>
      </c>
      <c r="BM48" s="475">
        <f t="shared" si="54"/>
        <v>0</v>
      </c>
      <c r="BN48" s="102">
        <f>BA48*DP!$AO$45</f>
        <v>0</v>
      </c>
      <c r="BO48" s="102">
        <f>IF(BA48&gt;0,DP!$AP$45,0*1)</f>
        <v>0</v>
      </c>
      <c r="BP48" s="475">
        <f t="shared" si="55"/>
        <v>0</v>
      </c>
      <c r="BQ48" s="100"/>
      <c r="BR48" s="100"/>
      <c r="BS48" s="100"/>
      <c r="BT48" s="93">
        <f>IF(AW48=DP!$AN$15,AY48*(1+DP!$AO$15),IF(AW48=DP!$AN$16,AY48*(1+DP!$AO$16),IF(AW48=DP!$AN$17,AY48*(1+DP!$AO$17),IF(AW48=DP!$AN$18,AY48*(1+DP!$AO$18),0*1))))</f>
        <v>0</v>
      </c>
      <c r="BU48" s="102">
        <f>IF(AW48=DP!$AN$22,(DP!$AO$22),IF(AW48=DP!$AN$23,(DP!$AO$23),IF(AW48=DP!$AN$24,(DP!$AO$24),IF(AW48=DP!$AN$25,(DP!$AO$25),((0*1))))))</f>
        <v>0</v>
      </c>
      <c r="BV48" s="93">
        <f t="shared" si="56"/>
        <v>0</v>
      </c>
      <c r="BW48" s="93">
        <f>IF(AW48=DP!$AN$15,AY48*(1+DP!$AO$15),IF(AW48=DP!$AN$16,AY48*(1+DP!$AO$16),IF(AW48=DP!$AN$17,AY48*(1+DP!$AO$17),IF(AW48=DP!$AN$18,AY48*(1+DP!$AO$18),0*1))))</f>
        <v>0</v>
      </c>
      <c r="BX48" s="102">
        <f>IF(AW48=DP!$AN$22,(DP!$AP$22),IF(AW48=DP!$AN$23,(DP!$AP$23),IF(AW48=DP!$AN$24,(DP!$AP$24),IF(AW48=DP!$AN$25,(DP!$AP$25),((0*1))))))</f>
        <v>0</v>
      </c>
      <c r="BY48" s="93">
        <f t="shared" si="57"/>
        <v>0</v>
      </c>
      <c r="BZ48" s="93">
        <f>IF(AW48=DP!$AN$15,(AY48/DP!$AM$15)*(1+DP!$AO$15),IF(AW48=DP!$AN$16,(AY48/DP!$AM$16)*(1+DP!$AO$16),IF(AW48=DP!$AN$17,(AY48/DP!$AM$17)*(1+DP!$AO$17),IF(AW48=DP!$AN$18,(AY48/DP!$AM$18)*(1+DP!$AO$18),0*1))))</f>
        <v>0</v>
      </c>
      <c r="CA48" s="102">
        <f>IF(AW48=DP!$AN$22,(DP!$AQ$22),IF(AW48=DP!$AN$23,(DP!$AQ$23),IF(AW48=DP!$AN$24,(DP!$AQ$24),IF(AW48=DP!$AN$25,(DP!$AQ$25),((0*1))))))</f>
        <v>0</v>
      </c>
      <c r="CB48" s="93">
        <f t="shared" si="58"/>
        <v>0</v>
      </c>
      <c r="CC48" s="93">
        <f>IF(AW48=DP!$AN$15,AY48*(1+DP!$AO$15),IF(AW48=DP!$AN$16,AY48*(1+DP!$AO$16),IF(AW48=DP!$AN$17,AY48*(1+DP!$AO$17),IF(AW48=DP!$AN$18,AY48*(1+DP!$AO$18),0*1))))</f>
        <v>0</v>
      </c>
      <c r="CD48" s="102">
        <f>IF(AW48=DP!$AN$22,(DP!$AR$22),IF(AW48=DP!$AN$23,(DP!$AR$23),IF(AW48=DP!$AN$24,(DP!$AR$24),IF(AW48=DP!$AN$25,(DP!$AR$25),((0*1))))))</f>
        <v>0</v>
      </c>
      <c r="CE48" s="93">
        <f t="shared" si="59"/>
        <v>0</v>
      </c>
      <c r="CF48" s="100"/>
      <c r="CG48" s="148">
        <f t="shared" si="39"/>
        <v>0</v>
      </c>
      <c r="CH48" s="149">
        <f>DP!$N$35*BA48</f>
        <v>0</v>
      </c>
      <c r="CI48" s="149">
        <f>DP!$O$35*BA48</f>
        <v>0</v>
      </c>
      <c r="CJ48" s="149">
        <f>DP!$P$35*BA48</f>
        <v>0</v>
      </c>
    </row>
    <row r="49" spans="2:88" x14ac:dyDescent="0.35">
      <c r="B49" s="481">
        <f>DP!S22</f>
        <v>0</v>
      </c>
      <c r="C49" s="481" t="str">
        <f>DP!T22</f>
        <v>PALMITO RODAJA 400</v>
      </c>
      <c r="D49" s="481">
        <f>DP!U22</f>
        <v>400</v>
      </c>
      <c r="E49" s="481">
        <f>DP!V22</f>
        <v>220</v>
      </c>
      <c r="F49" s="412">
        <f t="shared" si="40"/>
        <v>0</v>
      </c>
      <c r="G49" s="470">
        <f>DP!X22</f>
        <v>0</v>
      </c>
      <c r="H49" s="98">
        <f t="shared" si="41"/>
        <v>0</v>
      </c>
      <c r="I49" s="97"/>
      <c r="J49" s="102">
        <f t="shared" si="30"/>
        <v>0</v>
      </c>
      <c r="K49" s="98">
        <f t="shared" si="31"/>
        <v>0</v>
      </c>
      <c r="L49" s="93">
        <f t="shared" si="32"/>
        <v>0</v>
      </c>
      <c r="M49" s="99">
        <f t="shared" si="33"/>
        <v>0</v>
      </c>
      <c r="N49" s="100"/>
      <c r="O49" s="146">
        <f>($E49/DP!$M$29)*F49</f>
        <v>0</v>
      </c>
      <c r="P49" s="102">
        <f>IF(O49&gt;0,(DP!$M$31),0*1)</f>
        <v>0</v>
      </c>
      <c r="Q49" s="102">
        <f t="shared" si="42"/>
        <v>0</v>
      </c>
      <c r="R49" s="102">
        <f t="shared" si="43"/>
        <v>0</v>
      </c>
      <c r="S49" s="418">
        <f t="shared" si="44"/>
        <v>0</v>
      </c>
      <c r="T49" s="475">
        <f>H49*DP!$M$44</f>
        <v>0</v>
      </c>
      <c r="U49" s="475">
        <f>IF(H49&gt;0,DP!$N$44,0*1)</f>
        <v>0</v>
      </c>
      <c r="V49" s="475">
        <f t="shared" si="45"/>
        <v>0</v>
      </c>
      <c r="W49" s="475">
        <f>H49*DP!$M$45</f>
        <v>0</v>
      </c>
      <c r="X49" s="475">
        <f>IF(H49&gt;0,DP!$N$45,0*1)</f>
        <v>0</v>
      </c>
      <c r="Y49" s="475">
        <f t="shared" si="46"/>
        <v>0</v>
      </c>
      <c r="Z49" s="100"/>
      <c r="AA49" s="93">
        <f>IF(D49=DP!$L$15,F49*(1+DP!$M$15),IF(D49=DP!$L$16,F49*(1+DP!$M$16),IF(D49=DP!$L$17,F49*(1+DP!$M$17),IF(D49=DP!$L$18,F49*(1+DP!$M$18),0*1))))</f>
        <v>0</v>
      </c>
      <c r="AB49" s="102">
        <f>IF(D49=DP!$L$22,(DP!$M$22),IF(D49=DP!$L$23,(DP!$M$23),IF(D49=DP!$L$24,(DP!$M$24),IF(D49=DP!$L$25,(DP!$M$25),((0*1))))))</f>
        <v>0</v>
      </c>
      <c r="AC49" s="93">
        <f t="shared" si="47"/>
        <v>0</v>
      </c>
      <c r="AD49" s="93">
        <f>IF(D49=DP!$L$15,F49*(1+DP!$M$15),IF(D49=DP!$L$16,F49*(1+DP!$M$16),IF(D49=DP!$L$17,F49*(1+DP!$M$17),IF(D49=DP!$L$18,F49*(1+DP!$M$18),0*1))))</f>
        <v>0</v>
      </c>
      <c r="AE49" s="102">
        <f>IF(D49=DP!$L$22,(DP!$N$22),IF(D49=DP!$L$23,(DP!$N$23),IF(D49=DP!$L$24,(DP!$N$24),IF(D49=DP!$L$25,(DP!$N$25),((0*1))))))</f>
        <v>0</v>
      </c>
      <c r="AF49" s="93">
        <f t="shared" si="48"/>
        <v>0</v>
      </c>
      <c r="AG49" s="93">
        <f>IF(D49=DP!$L$15,(F49/DP!$K$15)*(1+DP!$M$15),IF(D49=DP!$L$16,(F49/DP!$K$16)*(1+DP!$M$16),IF(D49=DP!$L$17,(F49/DP!$K$17)*(1+DP!$M$17),IF(D49=DP!$L$18,(F49/DP!$K$18)*(1+DP!$M$18),0*1))))</f>
        <v>0</v>
      </c>
      <c r="AH49" s="102">
        <f>IF(D49=DP!$L$22,(DP!$O$22),IF(D49=DP!$L$23,(DP!$O$23),IF(D49=DP!$L$24,(DP!$O$24),IF(D49=DP!$L$25,(DP!$O$25),((0*1))))))</f>
        <v>0</v>
      </c>
      <c r="AI49" s="93">
        <f t="shared" si="49"/>
        <v>0</v>
      </c>
      <c r="AJ49" s="93">
        <f>IF(D49=DP!$L$15,F49*(1+DP!$M$15),IF(D49=DP!$L$16,F49*(1+DP!$M$16),IF(D49=DP!$L$17,F49*(1+DP!$M$17),IF(D49=DP!$L$18,F49*(1+DP!$M$18),0*1))))</f>
        <v>0</v>
      </c>
      <c r="AK49" s="102">
        <f>IF(D49=DP!$L$22,(DP!$P$22),IF(D49=DP!$L$23,(DP!$P$23),IF(D49=DP!$L$24,(DP!$P$24),IF(D49=DP!$L$25,(DP!$P$25),((0*1))))))</f>
        <v>0</v>
      </c>
      <c r="AL49" s="93">
        <f t="shared" si="50"/>
        <v>0</v>
      </c>
      <c r="AM49" s="100"/>
      <c r="AN49" s="149">
        <f t="shared" si="34"/>
        <v>0</v>
      </c>
      <c r="AO49" s="149">
        <f>DP!$N$35*H49</f>
        <v>0</v>
      </c>
      <c r="AP49" s="149">
        <f>DP!$O$35*H49</f>
        <v>0</v>
      </c>
      <c r="AQ49" s="149">
        <f>DP!$P$35*H49</f>
        <v>0</v>
      </c>
      <c r="AV49" s="412" t="str">
        <f>DP!AV22</f>
        <v>PIÑA RODAJA 567</v>
      </c>
      <c r="AW49" s="412">
        <f>DP!AW22</f>
        <v>567</v>
      </c>
      <c r="AX49" s="412">
        <f>DP!AX22</f>
        <v>340</v>
      </c>
      <c r="AY49" s="412">
        <f t="shared" si="51"/>
        <v>270000</v>
      </c>
      <c r="AZ49" s="470">
        <f>DP!AZ22</f>
        <v>0.5</v>
      </c>
      <c r="BA49" s="98">
        <f>$AW$40*AZ49</f>
        <v>91800</v>
      </c>
      <c r="BB49" s="97"/>
      <c r="BC49" s="102">
        <f t="shared" si="35"/>
        <v>0.96041166831383962</v>
      </c>
      <c r="BD49" s="98">
        <f t="shared" si="36"/>
        <v>0.83461166831383959</v>
      </c>
      <c r="BE49" s="93">
        <f t="shared" si="37"/>
        <v>259311.1504447367</v>
      </c>
      <c r="BF49" s="99">
        <f t="shared" si="38"/>
        <v>225345.1504447367</v>
      </c>
      <c r="BG49" s="100"/>
      <c r="BH49" s="102">
        <f>IFERROR((BA49*100%)/DP!$AO$29,(0*1))</f>
        <v>204000</v>
      </c>
      <c r="BI49" s="102">
        <f>IF(BH49&gt;0,(DP!$AO$31),0*1)</f>
        <v>0.45</v>
      </c>
      <c r="BJ49" s="435">
        <f t="shared" si="53"/>
        <v>91800</v>
      </c>
      <c r="BK49" s="475">
        <f>BA49*DP!$AO$44</f>
        <v>229.5</v>
      </c>
      <c r="BL49" s="475">
        <f>IF(BA49&gt;0,DP!$AP$44,0*1)</f>
        <v>0.95</v>
      </c>
      <c r="BM49" s="475">
        <f t="shared" si="54"/>
        <v>218.02499999999998</v>
      </c>
      <c r="BN49" s="102">
        <f>BA49*DP!$AO$45</f>
        <v>15238.800000000001</v>
      </c>
      <c r="BO49" s="102">
        <f>IF(BA49&gt;0,DP!$AP$45,0*1)</f>
        <v>0.76919999999999999</v>
      </c>
      <c r="BP49" s="475">
        <f t="shared" si="55"/>
        <v>11721.684960000001</v>
      </c>
      <c r="BQ49" s="100"/>
      <c r="BR49" s="100"/>
      <c r="BS49" s="100"/>
      <c r="BT49" s="93">
        <f>IF(AW49=DP!$AN$15,AY49*(1+DP!$AO$15),IF(AW49=DP!$AN$16,AY49*(1+DP!$AO$16),IF(AW49=DP!$AN$17,AY49*(1+DP!$AO$17),IF(AW49=DP!$AN$18,AY49*(1+DP!$AO$18),0*1))))</f>
        <v>271350</v>
      </c>
      <c r="BU49" s="102">
        <f>IF(AW49=DP!$AN$22,(DP!$AO$22),IF(AW49=DP!$AN$23,(DP!$AO$23),IF(AW49=DP!$AN$24,(DP!$AO$24),IF(AW49=DP!$AN$25,(DP!$AO$25),((0*1))))))</f>
        <v>0.23</v>
      </c>
      <c r="BV49" s="93">
        <f t="shared" si="56"/>
        <v>62410.5</v>
      </c>
      <c r="BW49" s="93">
        <f>IF(AW49=DP!$AN$15,AY49*(1+DP!$AO$15),IF(AW49=DP!$AN$16,AY49*(1+DP!$AO$16),IF(AW49=DP!$AN$17,AY49*(1+DP!$AO$17),IF(AW49=DP!$AN$18,AY49*(1+DP!$AO$18),0*1))))</f>
        <v>271350</v>
      </c>
      <c r="BX49" s="102">
        <f>IF(AW49=DP!$AN$22,(DP!$AP$22),IF(AW49=DP!$AN$23,(DP!$AP$23),IF(AW49=DP!$AN$24,(DP!$AP$24),IF(AW49=DP!$AN$25,(DP!$AP$25),((0*1))))))</f>
        <v>5.5E-2</v>
      </c>
      <c r="BY49" s="93">
        <f t="shared" si="57"/>
        <v>14924.25</v>
      </c>
      <c r="BZ49" s="93">
        <f>IF(AW49=DP!$AN$15,(AY49/DP!$AM$15)*(1+DP!$AO$15),IF(AW49=DP!$AN$16,(AY49/DP!$AM$16)*(1+DP!$AO$16),IF(AW49=DP!$AN$17,(AY49/DP!$AM$17)*(1+DP!$AO$17),IF(AW49=DP!$AN$18,(AY49/DP!$AM$18)*(1+DP!$AO$18),0*1))))</f>
        <v>11306.249999999998</v>
      </c>
      <c r="CA49" s="102">
        <f>IF(AW49=DP!$AN$22,(DP!$AQ$22),IF(AW49=DP!$AN$23,(DP!$AQ$23),IF(AW49=DP!$AN$24,(DP!$AQ$24),IF(AW49=DP!$AN$25,(DP!$AQ$25),((0*1))))))</f>
        <v>0.51199999999999923</v>
      </c>
      <c r="CB49" s="93">
        <f t="shared" si="58"/>
        <v>5788.7999999999902</v>
      </c>
      <c r="CC49" s="93">
        <f>IF(AW49=DP!$AN$15,AY49*(1+DP!$AO$15),IF(AW49=DP!$AN$16,AY49*(1+DP!$AO$16),IF(AW49=DP!$AN$17,AY49*(1+DP!$AO$17),IF(AW49=DP!$AN$18,AY49*(1+DP!$AO$18),0*1))))</f>
        <v>271350</v>
      </c>
      <c r="CD49" s="102">
        <f>IF(AW49=DP!$AN$22,(DP!$AR$22),IF(AW49=DP!$AN$23,(DP!$AR$23),IF(AW49=DP!$AN$24,(DP!$AR$24),IF(AW49=DP!$AN$25,(DP!$AR$25),((0*1))))))</f>
        <v>3.3045977011494254E-2</v>
      </c>
      <c r="CE49" s="93">
        <f t="shared" si="59"/>
        <v>8967.0258620689656</v>
      </c>
      <c r="CF49" s="100"/>
      <c r="CG49" s="148">
        <f t="shared" si="39"/>
        <v>29514.864622667745</v>
      </c>
      <c r="CH49" s="149">
        <f>DP!$N$35*BA49</f>
        <v>1318.9655172413795</v>
      </c>
      <c r="CI49" s="149">
        <f>DP!$O$35*BA49</f>
        <v>5012.0689655172418</v>
      </c>
      <c r="CJ49" s="149">
        <f>DP!$P$35*BA49</f>
        <v>33966</v>
      </c>
    </row>
    <row r="50" spans="2:88" x14ac:dyDescent="0.35">
      <c r="B50" s="481">
        <f>DP!S23</f>
        <v>0</v>
      </c>
      <c r="C50" s="481" t="str">
        <f>DP!T23</f>
        <v>PALMITO TROZO 400</v>
      </c>
      <c r="D50" s="481">
        <f>DP!U23</f>
        <v>400</v>
      </c>
      <c r="E50" s="481">
        <f>DP!V23</f>
        <v>236</v>
      </c>
      <c r="F50" s="412">
        <f t="shared" si="40"/>
        <v>0</v>
      </c>
      <c r="G50" s="470">
        <f>DP!X23</f>
        <v>0</v>
      </c>
      <c r="H50" s="98">
        <f t="shared" si="41"/>
        <v>0</v>
      </c>
      <c r="I50" s="97"/>
      <c r="J50" s="102">
        <f t="shared" si="30"/>
        <v>0</v>
      </c>
      <c r="K50" s="98">
        <f t="shared" si="31"/>
        <v>0</v>
      </c>
      <c r="L50" s="93">
        <f t="shared" si="32"/>
        <v>0</v>
      </c>
      <c r="M50" s="99">
        <f t="shared" si="33"/>
        <v>0</v>
      </c>
      <c r="N50" s="100"/>
      <c r="O50" s="146">
        <f>($E50/DP!$M$29)*F50</f>
        <v>0</v>
      </c>
      <c r="P50" s="102">
        <f>IF(O50&gt;0,(DP!$M$31),0*1)</f>
        <v>0</v>
      </c>
      <c r="Q50" s="102">
        <f t="shared" si="42"/>
        <v>0</v>
      </c>
      <c r="R50" s="102">
        <f t="shared" si="43"/>
        <v>0</v>
      </c>
      <c r="S50" s="418">
        <f t="shared" si="44"/>
        <v>0</v>
      </c>
      <c r="T50" s="475">
        <f>H50*DP!$M$44</f>
        <v>0</v>
      </c>
      <c r="U50" s="475">
        <f>IF(H50&gt;0,DP!$N$44,0*1)</f>
        <v>0</v>
      </c>
      <c r="V50" s="475">
        <f t="shared" si="45"/>
        <v>0</v>
      </c>
      <c r="W50" s="475">
        <f>H50*DP!$M$45</f>
        <v>0</v>
      </c>
      <c r="X50" s="475">
        <f>IF(H50&gt;0,DP!$N$45,0*1)</f>
        <v>0</v>
      </c>
      <c r="Y50" s="475">
        <f t="shared" si="46"/>
        <v>0</v>
      </c>
      <c r="Z50" s="100"/>
      <c r="AA50" s="93">
        <f>IF(D50=DP!$L$15,F50*(1+DP!$M$15),IF(D50=DP!$L$16,F50*(1+DP!$M$16),IF(D50=DP!$L$17,F50*(1+DP!$M$17),IF(D50=DP!$L$18,F50*(1+DP!$M$18),0*1))))</f>
        <v>0</v>
      </c>
      <c r="AB50" s="102">
        <f>IF(D50=DP!$L$22,(DP!$M$22),IF(D50=DP!$L$23,(DP!$M$23),IF(D50=DP!$L$24,(DP!$M$24),IF(D50=DP!$L$25,(DP!$M$25),((0*1))))))</f>
        <v>0</v>
      </c>
      <c r="AC50" s="93">
        <f t="shared" si="47"/>
        <v>0</v>
      </c>
      <c r="AD50" s="93">
        <f>IF(D50=DP!$L$15,F50*(1+DP!$M$15),IF(D50=DP!$L$16,F50*(1+DP!$M$16),IF(D50=DP!$L$17,F50*(1+DP!$M$17),IF(D50=DP!$L$18,F50*(1+DP!$M$18),0*1))))</f>
        <v>0</v>
      </c>
      <c r="AE50" s="102">
        <f>IF(D50=DP!$L$22,(DP!$N$22),IF(D50=DP!$L$23,(DP!$N$23),IF(D50=DP!$L$24,(DP!$N$24),IF(D50=DP!$L$25,(DP!$N$25),((0*1))))))</f>
        <v>0</v>
      </c>
      <c r="AF50" s="93">
        <f t="shared" si="48"/>
        <v>0</v>
      </c>
      <c r="AG50" s="93">
        <f>IF(D50=DP!$L$15,(F50/DP!$K$15)*(1+DP!$M$15),IF(D50=DP!$L$16,(F50/DP!$K$16)*(1+DP!$M$16),IF(D50=DP!$L$17,(F50/DP!$K$17)*(1+DP!$M$17),IF(D50=DP!$L$18,(F50/DP!$K$18)*(1+DP!$M$18),0*1))))</f>
        <v>0</v>
      </c>
      <c r="AH50" s="102">
        <f>IF(D50=DP!$L$22,(DP!$O$22),IF(D50=DP!$L$23,(DP!$O$23),IF(D50=DP!$L$24,(DP!$O$24),IF(D50=DP!$L$25,(DP!$O$25),((0*1))))))</f>
        <v>0</v>
      </c>
      <c r="AI50" s="93">
        <f t="shared" si="49"/>
        <v>0</v>
      </c>
      <c r="AJ50" s="93">
        <f>IF(D50=DP!$L$15,F50*(1+DP!$M$15),IF(D50=DP!$L$16,F50*(1+DP!$M$16),IF(D50=DP!$L$17,F50*(1+DP!$M$17),IF(D50=DP!$L$18,F50*(1+DP!$M$18),0*1))))</f>
        <v>0</v>
      </c>
      <c r="AK50" s="102">
        <f>IF(D50=DP!$L$22,(DP!$P$22),IF(D50=DP!$L$23,(DP!$P$23),IF(D50=DP!$L$24,(DP!$P$24),IF(D50=DP!$L$25,(DP!$P$25),((0*1))))))</f>
        <v>0</v>
      </c>
      <c r="AL50" s="93">
        <f t="shared" si="50"/>
        <v>0</v>
      </c>
      <c r="AM50" s="100"/>
      <c r="AN50" s="149">
        <f t="shared" si="34"/>
        <v>0</v>
      </c>
      <c r="AO50" s="149">
        <f>DP!$N$35*H50</f>
        <v>0</v>
      </c>
      <c r="AP50" s="149">
        <f>DP!$O$35*H50</f>
        <v>0</v>
      </c>
      <c r="AQ50" s="149">
        <f>DP!$P$35*H50</f>
        <v>0</v>
      </c>
      <c r="AV50" s="412" t="str">
        <f>DP!AV23</f>
        <v>PIÑA TROZO 567</v>
      </c>
      <c r="AW50" s="412">
        <f>DP!AW23</f>
        <v>567</v>
      </c>
      <c r="AX50" s="412">
        <f>DP!AX23</f>
        <v>340</v>
      </c>
      <c r="AY50" s="412">
        <f t="shared" si="51"/>
        <v>108000</v>
      </c>
      <c r="AZ50" s="470">
        <f>DP!AZ23</f>
        <v>0.2</v>
      </c>
      <c r="BA50" s="98">
        <f t="shared" si="52"/>
        <v>36720</v>
      </c>
      <c r="BB50" s="97"/>
      <c r="BC50" s="102">
        <f t="shared" si="35"/>
        <v>0.9604116683138394</v>
      </c>
      <c r="BD50" s="98">
        <f t="shared" si="36"/>
        <v>0.83461166831383948</v>
      </c>
      <c r="BE50" s="93">
        <f t="shared" si="37"/>
        <v>103724.46017789465</v>
      </c>
      <c r="BF50" s="99">
        <f t="shared" si="38"/>
        <v>90138.060177894658</v>
      </c>
      <c r="BG50" s="100"/>
      <c r="BH50" s="102">
        <f>IFERROR((BA50*100%)/DP!$AO$29,(0*1))</f>
        <v>81600</v>
      </c>
      <c r="BI50" s="102">
        <f>IF(BH50&gt;0,(DP!$AO$31),0*1)</f>
        <v>0.45</v>
      </c>
      <c r="BJ50" s="435">
        <f t="shared" si="53"/>
        <v>36720</v>
      </c>
      <c r="BK50" s="475">
        <f>BA50*DP!$AO$44</f>
        <v>91.8</v>
      </c>
      <c r="BL50" s="475">
        <f>IF(BA50&gt;0,DP!$AP$44,0*1)</f>
        <v>0.95</v>
      </c>
      <c r="BM50" s="475">
        <f t="shared" si="54"/>
        <v>87.21</v>
      </c>
      <c r="BN50" s="102">
        <f>BA50*DP!$AO$45</f>
        <v>6095.52</v>
      </c>
      <c r="BO50" s="102">
        <f>IF(BA50&gt;0,DP!$AP$45,0*1)</f>
        <v>0.76919999999999999</v>
      </c>
      <c r="BP50" s="475">
        <f t="shared" si="55"/>
        <v>4688.673984</v>
      </c>
      <c r="BQ50" s="100"/>
      <c r="BR50" s="100"/>
      <c r="BS50" s="100"/>
      <c r="BT50" s="93">
        <f>IF(AW50=DP!$AN$15,AY50*(1+DP!$AO$15),IF(AW50=DP!$AN$16,AY50*(1+DP!$AO$16),IF(AW50=DP!$AN$17,AY50*(1+DP!$AO$17),IF(AW50=DP!$AN$18,AY50*(1+DP!$AO$18),0*1))))</f>
        <v>108539.99999999999</v>
      </c>
      <c r="BU50" s="102">
        <f>IF(AW50=DP!$AN$22,(DP!$AO$22),IF(AW50=DP!$AN$23,(DP!$AO$23),IF(AW50=DP!$AN$24,(DP!$AO$24),IF(AW50=DP!$AN$25,(DP!$AO$25),((0*1))))))</f>
        <v>0.23</v>
      </c>
      <c r="BV50" s="93">
        <f t="shared" si="56"/>
        <v>24964.199999999997</v>
      </c>
      <c r="BW50" s="93">
        <f>IF(AW50=DP!$AN$15,AY50*(1+DP!$AO$15),IF(AW50=DP!$AN$16,AY50*(1+DP!$AO$16),IF(AW50=DP!$AN$17,AY50*(1+DP!$AO$17),IF(AW50=DP!$AN$18,AY50*(1+DP!$AO$18),0*1))))</f>
        <v>108539.99999999999</v>
      </c>
      <c r="BX50" s="102">
        <f>IF(AW50=DP!$AN$22,(DP!$AP$22),IF(AW50=DP!$AN$23,(DP!$AP$23),IF(AW50=DP!$AN$24,(DP!$AP$24),IF(AW50=DP!$AN$25,(DP!$AP$25),((0*1))))))</f>
        <v>5.5E-2</v>
      </c>
      <c r="BY50" s="93">
        <f t="shared" si="57"/>
        <v>5969.6999999999989</v>
      </c>
      <c r="BZ50" s="93">
        <f>IF(AW50=DP!$AN$15,(AY50/DP!$AM$15)*(1+DP!$AO$15),IF(AW50=DP!$AN$16,(AY50/DP!$AM$16)*(1+DP!$AO$16),IF(AW50=DP!$AN$17,(AY50/DP!$AM$17)*(1+DP!$AO$17),IF(AW50=DP!$AN$18,(AY50/DP!$AM$18)*(1+DP!$AO$18),0*1))))</f>
        <v>4522.4999999999991</v>
      </c>
      <c r="CA50" s="102">
        <f>IF(AW50=DP!$AN$22,(DP!$AQ$22),IF(AW50=DP!$AN$23,(DP!$AQ$23),IF(AW50=DP!$AN$24,(DP!$AQ$24),IF(AW50=DP!$AN$25,(DP!$AQ$25),((0*1))))))</f>
        <v>0.51199999999999923</v>
      </c>
      <c r="CB50" s="93">
        <f t="shared" si="58"/>
        <v>2315.5199999999959</v>
      </c>
      <c r="CC50" s="93">
        <f>IF(AW50=DP!$AN$15,AY50*(1+DP!$AO$15),IF(AW50=DP!$AN$16,AY50*(1+DP!$AO$16),IF(AW50=DP!$AN$17,AY50*(1+DP!$AO$17),IF(AW50=DP!$AN$18,AY50*(1+DP!$AO$18),0*1))))</f>
        <v>108539.99999999999</v>
      </c>
      <c r="CD50" s="102">
        <f>IF(AW50=DP!$AN$22,(DP!$AR$22),IF(AW50=DP!$AN$23,(DP!$AR$23),IF(AW50=DP!$AN$24,(DP!$AR$24),IF(AW50=DP!$AN$25,(DP!$AR$25),((0*1))))))</f>
        <v>3.3045977011494254E-2</v>
      </c>
      <c r="CE50" s="93">
        <f t="shared" si="59"/>
        <v>3586.8103448275861</v>
      </c>
      <c r="CF50" s="100"/>
      <c r="CG50" s="148">
        <f t="shared" si="39"/>
        <v>11805.945849067097</v>
      </c>
      <c r="CH50" s="149">
        <f>DP!$N$35*BA50</f>
        <v>527.58620689655174</v>
      </c>
      <c r="CI50" s="149">
        <f>DP!$O$35*BA50</f>
        <v>2004.8275862068967</v>
      </c>
      <c r="CJ50" s="149">
        <f>DP!$P$35*BA50</f>
        <v>13586.4</v>
      </c>
    </row>
    <row r="51" spans="2:88" x14ac:dyDescent="0.35">
      <c r="B51" s="481">
        <f>DP!S24</f>
        <v>0</v>
      </c>
      <c r="C51" s="481" t="str">
        <f>DP!T24</f>
        <v>PALMITO TROZO  A-10</v>
      </c>
      <c r="D51" s="481">
        <f>DP!U24</f>
        <v>2920</v>
      </c>
      <c r="E51" s="481">
        <f>DP!V24</f>
        <v>1825</v>
      </c>
      <c r="F51" s="412">
        <f t="shared" si="40"/>
        <v>0</v>
      </c>
      <c r="G51" s="470">
        <f>DP!X24</f>
        <v>0</v>
      </c>
      <c r="H51" s="98">
        <f t="shared" si="41"/>
        <v>0</v>
      </c>
      <c r="I51" s="97"/>
      <c r="J51" s="102">
        <f t="shared" si="30"/>
        <v>0</v>
      </c>
      <c r="K51" s="98">
        <f t="shared" si="31"/>
        <v>0</v>
      </c>
      <c r="L51" s="93">
        <f t="shared" si="32"/>
        <v>0</v>
      </c>
      <c r="M51" s="99">
        <f t="shared" si="33"/>
        <v>0</v>
      </c>
      <c r="N51" s="100"/>
      <c r="O51" s="146">
        <f>($E51/DP!$M$29)*F51</f>
        <v>0</v>
      </c>
      <c r="P51" s="102">
        <f>IF(O51&gt;0,(DP!$M$31),0*1)</f>
        <v>0</v>
      </c>
      <c r="Q51" s="102">
        <f t="shared" si="42"/>
        <v>0</v>
      </c>
      <c r="R51" s="102">
        <f t="shared" si="43"/>
        <v>0</v>
      </c>
      <c r="S51" s="418">
        <f t="shared" si="44"/>
        <v>0</v>
      </c>
      <c r="T51" s="475">
        <f>H51*DP!$M$44</f>
        <v>0</v>
      </c>
      <c r="U51" s="475">
        <f>IF(H51&gt;0,DP!$N$44,0*1)</f>
        <v>0</v>
      </c>
      <c r="V51" s="475">
        <f t="shared" si="45"/>
        <v>0</v>
      </c>
      <c r="W51" s="475">
        <f>H51*DP!$M$45</f>
        <v>0</v>
      </c>
      <c r="X51" s="475">
        <f>IF(H51&gt;0,DP!$N$45,0*1)</f>
        <v>0</v>
      </c>
      <c r="Y51" s="475">
        <f t="shared" si="46"/>
        <v>0</v>
      </c>
      <c r="Z51" s="100"/>
      <c r="AA51" s="93">
        <f>IF(D51=DP!$L$15,F51*(1+DP!$M$15),IF(D51=DP!$L$16,F51*(1+DP!$M$16),IF(D51=DP!$L$17,F51*(1+DP!$M$17),IF(D51=DP!$L$18,F51*(1+DP!$M$18),0*1))))</f>
        <v>0</v>
      </c>
      <c r="AB51" s="102">
        <f>IF(D51=DP!$L$22,(DP!$M$22),IF(D51=DP!$L$23,(DP!$M$23),IF(D51=DP!$L$24,(DP!$M$24),IF(D51=DP!$L$25,(DP!$M$25),((0*1))))))</f>
        <v>0</v>
      </c>
      <c r="AC51" s="93">
        <f t="shared" si="47"/>
        <v>0</v>
      </c>
      <c r="AD51" s="93">
        <f>IF(D51=DP!$L$15,F51*(1+DP!$M$15),IF(D51=DP!$L$16,F51*(1+DP!$M$16),IF(D51=DP!$L$17,F51*(1+DP!$M$17),IF(D51=DP!$L$18,F51*(1+DP!$M$18),0*1))))</f>
        <v>0</v>
      </c>
      <c r="AE51" s="102">
        <f>IF(D51=DP!$L$22,(DP!$N$22),IF(D51=DP!$L$23,(DP!$N$23),IF(D51=DP!$L$24,(DP!$N$24),IF(D51=DP!$L$25,(DP!$N$25),((0*1))))))</f>
        <v>0</v>
      </c>
      <c r="AF51" s="93">
        <f t="shared" si="48"/>
        <v>0</v>
      </c>
      <c r="AG51" s="93">
        <f>IF(D51=DP!$L$15,(F51/DP!$K$15)*(1+DP!$M$15),IF(D51=DP!$L$16,(F51/DP!$K$16)*(1+DP!$M$16),IF(D51=DP!$L$17,(F51/DP!$K$17)*(1+DP!$M$17),IF(D51=DP!$L$18,(F51/DP!$K$18)*(1+DP!$M$18),0*1))))</f>
        <v>0</v>
      </c>
      <c r="AH51" s="102">
        <f>IF(D51=DP!$L$22,(DP!$O$22),IF(D51=DP!$L$23,(DP!$O$23),IF(D51=DP!$L$24,(DP!$O$24),IF(D51=DP!$L$25,(DP!$O$25),((0*1))))))</f>
        <v>0</v>
      </c>
      <c r="AI51" s="93">
        <f t="shared" si="49"/>
        <v>0</v>
      </c>
      <c r="AJ51" s="93">
        <f>IF(D51=DP!$L$15,F51*(1+DP!$M$15),IF(D51=DP!$L$16,F51*(1+DP!$M$16),IF(D51=DP!$L$17,F51*(1+DP!$M$17),IF(D51=DP!$L$18,F51*(1+DP!$M$18),0*1))))</f>
        <v>0</v>
      </c>
      <c r="AK51" s="102">
        <f>IF(D51=DP!$L$22,(DP!$P$22),IF(D51=DP!$L$23,(DP!$P$23),IF(D51=DP!$L$24,(DP!$P$24),IF(D51=DP!$L$25,(DP!$P$25),((0*1))))))</f>
        <v>0</v>
      </c>
      <c r="AL51" s="93">
        <f t="shared" si="50"/>
        <v>0</v>
      </c>
      <c r="AM51" s="100"/>
      <c r="AN51" s="149">
        <f t="shared" si="34"/>
        <v>0</v>
      </c>
      <c r="AO51" s="149">
        <f>DP!$N$35*H51</f>
        <v>0</v>
      </c>
      <c r="AP51" s="149">
        <f>DP!$O$35*H51</f>
        <v>0</v>
      </c>
      <c r="AQ51" s="149">
        <f>DP!$P$35*H51</f>
        <v>0</v>
      </c>
      <c r="AV51" s="412" t="str">
        <f>DP!AV24</f>
        <v>PIÑA RODAJA 822</v>
      </c>
      <c r="AW51" s="412">
        <f>DP!AW24</f>
        <v>822</v>
      </c>
      <c r="AX51" s="412">
        <f>DP!AX24</f>
        <v>500</v>
      </c>
      <c r="AY51" s="412">
        <f t="shared" si="51"/>
        <v>73440</v>
      </c>
      <c r="AZ51" s="470">
        <f>DP!AZ24</f>
        <v>0.2</v>
      </c>
      <c r="BA51" s="98">
        <f t="shared" si="52"/>
        <v>36720</v>
      </c>
      <c r="BB51" s="97"/>
      <c r="BC51" s="102">
        <f t="shared" si="35"/>
        <v>1.2984286501572693</v>
      </c>
      <c r="BD51" s="98">
        <f t="shared" si="36"/>
        <v>1.1134286501572692</v>
      </c>
      <c r="BE51" s="93">
        <f t="shared" si="37"/>
        <v>95356.600067549851</v>
      </c>
      <c r="BF51" s="99">
        <f t="shared" si="38"/>
        <v>81770.200067549857</v>
      </c>
      <c r="BG51" s="100"/>
      <c r="BH51" s="102">
        <f>IFERROR((BA51*100%)/DP!$AO$29,(0*1))</f>
        <v>81600</v>
      </c>
      <c r="BI51" s="102">
        <f>IF(BH51&gt;0,(DP!$AO$31),0*1)</f>
        <v>0.45</v>
      </c>
      <c r="BJ51" s="435">
        <f t="shared" si="53"/>
        <v>36720</v>
      </c>
      <c r="BK51" s="475">
        <f>BA51*DP!$AO$44</f>
        <v>91.8</v>
      </c>
      <c r="BL51" s="475">
        <f>IF(BA51&gt;0,DP!$AP$44,0*1)</f>
        <v>0.95</v>
      </c>
      <c r="BM51" s="475">
        <f t="shared" si="54"/>
        <v>87.21</v>
      </c>
      <c r="BN51" s="102">
        <f>BA51*DP!$AO$45</f>
        <v>6095.52</v>
      </c>
      <c r="BO51" s="102">
        <f>IF(BA51&gt;0,DP!$AP$45,0*1)</f>
        <v>0.76919999999999999</v>
      </c>
      <c r="BP51" s="475">
        <f t="shared" si="55"/>
        <v>4688.673984</v>
      </c>
      <c r="BQ51" s="100"/>
      <c r="BR51" s="100"/>
      <c r="BS51" s="100"/>
      <c r="BT51" s="93">
        <f>IF(AW51=DP!$AN$15,AY51*(1+DP!$AO$15),IF(AW51=DP!$AN$16,AY51*(1+DP!$AO$16),IF(AW51=DP!$AN$17,AY51*(1+DP!$AO$17),IF(AW51=DP!$AN$18,AY51*(1+DP!$AO$18),0*1))))</f>
        <v>73807.199999999997</v>
      </c>
      <c r="BU51" s="102">
        <f>IF(AW51=DP!$AN$22,(DP!$AO$22),IF(AW51=DP!$AN$23,(DP!$AO$23),IF(AW51=DP!$AN$24,(DP!$AO$24),IF(AW51=DP!$AN$25,(DP!$AO$25),((0*1))))))</f>
        <v>0.24</v>
      </c>
      <c r="BV51" s="93">
        <f t="shared" si="56"/>
        <v>17713.727999999999</v>
      </c>
      <c r="BW51" s="93">
        <f>IF(AW51=DP!$AN$15,AY51*(1+DP!$AO$15),IF(AW51=DP!$AN$16,AY51*(1+DP!$AO$16),IF(AW51=DP!$AN$17,AY51*(1+DP!$AO$17),IF(AW51=DP!$AN$18,AY51*(1+DP!$AO$18),0*1))))</f>
        <v>73807.199999999997</v>
      </c>
      <c r="BX51" s="102">
        <f>IF(AW51=DP!$AN$22,(DP!$AP$22),IF(AW51=DP!$AN$23,(DP!$AP$23),IF(AW51=DP!$AN$24,(DP!$AP$24),IF(AW51=DP!$AN$25,(DP!$AP$25),((0*1))))))</f>
        <v>7.0000000000000007E-2</v>
      </c>
      <c r="BY51" s="93">
        <f t="shared" si="57"/>
        <v>5166.5039999999999</v>
      </c>
      <c r="BZ51" s="93">
        <f>IF(AW51=DP!$AN$15,(AY51/DP!$AM$15)*(1+DP!$AO$15),IF(AW51=DP!$AN$16,(AY51/DP!$AM$16)*(1+DP!$AO$16),IF(AW51=DP!$AN$17,(AY51/DP!$AM$17)*(1+DP!$AO$17),IF(AW51=DP!$AN$18,(AY51/DP!$AM$18)*(1+DP!$AO$18),0*1))))</f>
        <v>6150.5999999999995</v>
      </c>
      <c r="CA51" s="102">
        <f>IF(AW51=DP!$AN$22,(DP!$AQ$22),IF(AW51=DP!$AN$23,(DP!$AQ$23),IF(AW51=DP!$AN$24,(DP!$AQ$24),IF(AW51=DP!$AN$25,(DP!$AQ$25),((0*1))))))</f>
        <v>0.51200000000000045</v>
      </c>
      <c r="CB51" s="93">
        <f t="shared" si="58"/>
        <v>3149.1072000000026</v>
      </c>
      <c r="CC51" s="93">
        <f>IF(AW51=DP!$AN$15,AY51*(1+DP!$AO$15),IF(AW51=DP!$AN$16,AY51*(1+DP!$AO$16),IF(AW51=DP!$AN$17,AY51*(1+DP!$AO$17),IF(AW51=DP!$AN$18,AY51*(1+DP!$AO$18),0*1))))</f>
        <v>73807.199999999997</v>
      </c>
      <c r="CD51" s="102">
        <f>IF(AW51=DP!$AN$22,(DP!$AR$22),IF(AW51=DP!$AN$23,(DP!$AR$23),IF(AW51=DP!$AN$24,(DP!$AR$24),IF(AW51=DP!$AN$25,(DP!$AR$25),((0*1))))))</f>
        <v>3.3045977011494254E-2</v>
      </c>
      <c r="CE51" s="93">
        <f t="shared" si="59"/>
        <v>2439.0310344827585</v>
      </c>
      <c r="CF51" s="100"/>
      <c r="CG51" s="148">
        <f t="shared" si="39"/>
        <v>11805.945849067097</v>
      </c>
      <c r="CH51" s="149">
        <f>DP!$N$35*BA51</f>
        <v>527.58620689655174</v>
      </c>
      <c r="CI51" s="149">
        <f>DP!$O$35*BA51</f>
        <v>2004.8275862068967</v>
      </c>
      <c r="CJ51" s="149">
        <f>DP!$P$35*BA51</f>
        <v>13586.4</v>
      </c>
    </row>
    <row r="52" spans="2:88" x14ac:dyDescent="0.35">
      <c r="B52" s="481">
        <f>DP!S25</f>
        <v>0</v>
      </c>
      <c r="C52" s="481" t="str">
        <f>DP!T25</f>
        <v>PALMITO RODAJA  A-10</v>
      </c>
      <c r="D52" s="481">
        <f>DP!U25</f>
        <v>2920</v>
      </c>
      <c r="E52" s="481">
        <f>DP!V25</f>
        <v>1825</v>
      </c>
      <c r="F52" s="412">
        <f t="shared" si="40"/>
        <v>0</v>
      </c>
      <c r="G52" s="470">
        <f>DP!X25</f>
        <v>0</v>
      </c>
      <c r="H52" s="98">
        <f t="shared" si="41"/>
        <v>0</v>
      </c>
      <c r="I52" s="97"/>
      <c r="J52" s="102">
        <f t="shared" si="30"/>
        <v>0</v>
      </c>
      <c r="K52" s="98">
        <f t="shared" si="31"/>
        <v>0</v>
      </c>
      <c r="L52" s="93">
        <f t="shared" si="32"/>
        <v>0</v>
      </c>
      <c r="M52" s="99">
        <f t="shared" si="33"/>
        <v>0</v>
      </c>
      <c r="N52" s="100"/>
      <c r="O52" s="146">
        <f>($E52/DP!$M$29)*F52</f>
        <v>0</v>
      </c>
      <c r="P52" s="102">
        <f>IF(O52&gt;0,(DP!$M$31),0*1)</f>
        <v>0</v>
      </c>
      <c r="Q52" s="102">
        <f t="shared" si="42"/>
        <v>0</v>
      </c>
      <c r="R52" s="102">
        <f t="shared" si="43"/>
        <v>0</v>
      </c>
      <c r="S52" s="418">
        <f t="shared" si="44"/>
        <v>0</v>
      </c>
      <c r="T52" s="475">
        <f>H52*DP!$M$44</f>
        <v>0</v>
      </c>
      <c r="U52" s="475">
        <f>IF(H52&gt;0,DP!$N$44,0*1)</f>
        <v>0</v>
      </c>
      <c r="V52" s="475">
        <f t="shared" si="45"/>
        <v>0</v>
      </c>
      <c r="W52" s="475">
        <f>H52*DP!$M$45</f>
        <v>0</v>
      </c>
      <c r="X52" s="475">
        <f>IF(H52&gt;0,DP!$N$45,0*1)</f>
        <v>0</v>
      </c>
      <c r="Y52" s="475">
        <f t="shared" si="46"/>
        <v>0</v>
      </c>
      <c r="Z52" s="100"/>
      <c r="AA52" s="93">
        <f>IF(D52=DP!$L$15,F52*(1+DP!$M$15),IF(D52=DP!$L$16,F52*(1+DP!$M$16),IF(D52=DP!$L$17,F52*(1+DP!$M$17),IF(D52=DP!$L$18,F52*(1+DP!$M$18),0*1))))</f>
        <v>0</v>
      </c>
      <c r="AB52" s="102">
        <f>IF(D52=DP!$L$22,(DP!$M$22),IF(D52=DP!$L$23,(DP!$M$23),IF(D52=DP!$L$24,(DP!$M$24),IF(D52=DP!$L$25,(DP!$M$25),((0*1))))))</f>
        <v>0</v>
      </c>
      <c r="AC52" s="93">
        <f t="shared" si="47"/>
        <v>0</v>
      </c>
      <c r="AD52" s="93">
        <f>IF(D52=DP!$L$15,F52*(1+DP!$M$15),IF(D52=DP!$L$16,F52*(1+DP!$M$16),IF(D52=DP!$L$17,F52*(1+DP!$M$17),IF(D52=DP!$L$18,F52*(1+DP!$M$18),0*1))))</f>
        <v>0</v>
      </c>
      <c r="AE52" s="102">
        <f>IF(D52=DP!$L$22,(DP!$N$22),IF(D52=DP!$L$23,(DP!$N$23),IF(D52=DP!$L$24,(DP!$N$24),IF(D52=DP!$L$25,(DP!$N$25),((0*1))))))</f>
        <v>0</v>
      </c>
      <c r="AF52" s="93">
        <f t="shared" si="48"/>
        <v>0</v>
      </c>
      <c r="AG52" s="93">
        <f>IF(D52=DP!$L$15,(F52/DP!$K$15)*(1+DP!$M$15),IF(D52=DP!$L$16,(F52/DP!$K$16)*(1+DP!$M$16),IF(D52=DP!$L$17,(F52/DP!$K$17)*(1+DP!$M$17),IF(D52=DP!$L$18,(F52/DP!$K$18)*(1+DP!$M$18),0*1))))</f>
        <v>0</v>
      </c>
      <c r="AH52" s="102">
        <f>IF(D52=DP!$L$22,(DP!$O$22),IF(D52=DP!$L$23,(DP!$O$23),IF(D52=DP!$L$24,(DP!$O$24),IF(D52=DP!$L$25,(DP!$O$25),((0*1))))))</f>
        <v>0</v>
      </c>
      <c r="AI52" s="93">
        <f t="shared" si="49"/>
        <v>0</v>
      </c>
      <c r="AJ52" s="93">
        <f>IF(D52=DP!$L$15,F52*(1+DP!$M$15),IF(D52=DP!$L$16,F52*(1+DP!$M$16),IF(D52=DP!$L$17,F52*(1+DP!$M$17),IF(D52=DP!$L$18,F52*(1+DP!$M$18),0*1))))</f>
        <v>0</v>
      </c>
      <c r="AK52" s="102">
        <f>IF(D52=DP!$L$22,(DP!$P$22),IF(D52=DP!$L$23,(DP!$P$23),IF(D52=DP!$L$24,(DP!$P$24),IF(D52=DP!$L$25,(DP!$P$25),((0*1))))))</f>
        <v>0</v>
      </c>
      <c r="AL52" s="93">
        <f t="shared" si="50"/>
        <v>0</v>
      </c>
      <c r="AM52" s="100"/>
      <c r="AN52" s="149">
        <f t="shared" si="34"/>
        <v>0</v>
      </c>
      <c r="AO52" s="149">
        <f>DP!$N$35*H52</f>
        <v>0</v>
      </c>
      <c r="AP52" s="149">
        <f>DP!$O$35*H52</f>
        <v>0</v>
      </c>
      <c r="AQ52" s="149">
        <f>DP!$P$35*H52</f>
        <v>0</v>
      </c>
      <c r="AV52" s="412" t="str">
        <f>DP!AV25</f>
        <v>PIÑA TROZO 822</v>
      </c>
      <c r="AW52" s="412">
        <f>DP!AW25</f>
        <v>822</v>
      </c>
      <c r="AX52" s="412">
        <f>DP!AX25</f>
        <v>500</v>
      </c>
      <c r="AY52" s="412">
        <f t="shared" si="51"/>
        <v>36720</v>
      </c>
      <c r="AZ52" s="470">
        <f>DP!AZ25</f>
        <v>0.1</v>
      </c>
      <c r="BA52" s="98">
        <f t="shared" si="52"/>
        <v>18360</v>
      </c>
      <c r="BB52" s="97"/>
      <c r="BC52" s="102">
        <f t="shared" si="35"/>
        <v>1.2984286501572693</v>
      </c>
      <c r="BD52" s="98">
        <f t="shared" si="36"/>
        <v>1.1134286501572692</v>
      </c>
      <c r="BE52" s="93">
        <f t="shared" si="37"/>
        <v>47678.300033774925</v>
      </c>
      <c r="BF52" s="99">
        <f t="shared" si="38"/>
        <v>40885.100033774928</v>
      </c>
      <c r="BG52" s="100"/>
      <c r="BH52" s="102">
        <f>IFERROR((BA52*100%)/DP!$AO$29,(0*1))</f>
        <v>40800</v>
      </c>
      <c r="BI52" s="102">
        <f>IF(BH52&gt;0,(DP!$AO$31),0*1)</f>
        <v>0.45</v>
      </c>
      <c r="BJ52" s="435">
        <f t="shared" si="53"/>
        <v>18360</v>
      </c>
      <c r="BK52" s="475">
        <f>BA52*DP!$AO$44</f>
        <v>45.9</v>
      </c>
      <c r="BL52" s="475">
        <f>IF(BA52&gt;0,DP!$AP$44,0*1)</f>
        <v>0.95</v>
      </c>
      <c r="BM52" s="475">
        <f t="shared" si="54"/>
        <v>43.604999999999997</v>
      </c>
      <c r="BN52" s="102">
        <f>BA52*DP!$AO$45</f>
        <v>3047.76</v>
      </c>
      <c r="BO52" s="102">
        <f>IF(BA52&gt;0,DP!$AP$45,0*1)</f>
        <v>0.76919999999999999</v>
      </c>
      <c r="BP52" s="475">
        <f t="shared" si="55"/>
        <v>2344.336992</v>
      </c>
      <c r="BQ52" s="100"/>
      <c r="BR52" s="100"/>
      <c r="BS52" s="100"/>
      <c r="BT52" s="93">
        <f>IF(AW52=DP!$AN$15,AY52*(1+DP!$AO$15),IF(AW52=DP!$AN$16,AY52*(1+DP!$AO$16),IF(AW52=DP!$AN$17,AY52*(1+DP!$AO$17),IF(AW52=DP!$AN$18,AY52*(1+DP!$AO$18),0*1))))</f>
        <v>36903.599999999999</v>
      </c>
      <c r="BU52" s="102">
        <f>IF(AW52=DP!$AN$22,(DP!$AO$22),IF(AW52=DP!$AN$23,(DP!$AO$23),IF(AW52=DP!$AN$24,(DP!$AO$24),IF(AW52=DP!$AN$25,(DP!$AO$25),((0*1))))))</f>
        <v>0.24</v>
      </c>
      <c r="BV52" s="93">
        <f t="shared" si="56"/>
        <v>8856.8639999999996</v>
      </c>
      <c r="BW52" s="93">
        <f>IF(AW52=DP!$AN$15,AY52*(1+DP!$AO$15),IF(AW52=DP!$AN$16,AY52*(1+DP!$AO$16),IF(AW52=DP!$AN$17,AY52*(1+DP!$AO$17),IF(AW52=DP!$AN$18,AY52*(1+DP!$AO$18),0*1))))</f>
        <v>36903.599999999999</v>
      </c>
      <c r="BX52" s="102">
        <f>IF(AW52=DP!$AN$22,(DP!$AP$22),IF(AW52=DP!$AN$23,(DP!$AP$23),IF(AW52=DP!$AN$24,(DP!$AP$24),IF(AW52=DP!$AN$25,(DP!$AP$25),((0*1))))))</f>
        <v>7.0000000000000007E-2</v>
      </c>
      <c r="BY52" s="93">
        <f t="shared" si="57"/>
        <v>2583.252</v>
      </c>
      <c r="BZ52" s="93">
        <f>IF(AW52=DP!$AN$15,(AY52/DP!$AM$15)*(1+DP!$AO$15),IF(AW52=DP!$AN$16,(AY52/DP!$AM$16)*(1+DP!$AO$16),IF(AW52=DP!$AN$17,(AY52/DP!$AM$17)*(1+DP!$AO$17),IF(AW52=DP!$AN$18,(AY52/DP!$AM$18)*(1+DP!$AO$18),0*1))))</f>
        <v>3075.2999999999997</v>
      </c>
      <c r="CA52" s="102">
        <f>IF(AW52=DP!$AN$22,(DP!$AQ$22),IF(AW52=DP!$AN$23,(DP!$AQ$23),IF(AW52=DP!$AN$24,(DP!$AQ$24),IF(AW52=DP!$AN$25,(DP!$AQ$25),((0*1))))))</f>
        <v>0.51200000000000045</v>
      </c>
      <c r="CB52" s="93">
        <f t="shared" si="58"/>
        <v>1574.5536000000013</v>
      </c>
      <c r="CC52" s="93">
        <f>IF(AW52=DP!$AN$15,AY52*(1+DP!$AO$15),IF(AW52=DP!$AN$16,AY52*(1+DP!$AO$16),IF(AW52=DP!$AN$17,AY52*(1+DP!$AO$17),IF(AW52=DP!$AN$18,AY52*(1+DP!$AO$18),0*1))))</f>
        <v>36903.599999999999</v>
      </c>
      <c r="CD52" s="102">
        <f>IF(AW52=DP!$AN$22,(DP!$AR$22),IF(AW52=DP!$AN$23,(DP!$AR$23),IF(AW52=DP!$AN$24,(DP!$AR$24),IF(AW52=DP!$AN$25,(DP!$AR$25),((0*1))))))</f>
        <v>3.3045977011494254E-2</v>
      </c>
      <c r="CE52" s="93">
        <f t="shared" si="59"/>
        <v>1219.5155172413793</v>
      </c>
      <c r="CF52" s="100"/>
      <c r="CG52" s="148">
        <f t="shared" si="39"/>
        <v>5902.9729245335484</v>
      </c>
      <c r="CH52" s="149">
        <f>DP!$N$35*BA52</f>
        <v>263.79310344827587</v>
      </c>
      <c r="CI52" s="149">
        <f>DP!$O$35*BA52</f>
        <v>1002.4137931034484</v>
      </c>
      <c r="CJ52" s="149">
        <f>DP!$P$35*BA52</f>
        <v>6793.2</v>
      </c>
    </row>
    <row r="53" spans="2:88" x14ac:dyDescent="0.35">
      <c r="B53" s="481">
        <f>DP!S26</f>
        <v>0</v>
      </c>
      <c r="C53" s="481">
        <f>DP!T26</f>
        <v>0</v>
      </c>
      <c r="D53" s="481">
        <f>DP!U26</f>
        <v>0</v>
      </c>
      <c r="E53" s="481">
        <f>DP!V26</f>
        <v>0</v>
      </c>
      <c r="F53" s="412">
        <f t="shared" si="40"/>
        <v>0</v>
      </c>
      <c r="G53" s="470">
        <f>DP!X26</f>
        <v>0</v>
      </c>
      <c r="H53" s="98">
        <f t="shared" si="41"/>
        <v>0</v>
      </c>
      <c r="I53" s="97"/>
      <c r="J53" s="102">
        <f t="shared" si="30"/>
        <v>0</v>
      </c>
      <c r="K53" s="98">
        <f t="shared" si="31"/>
        <v>0</v>
      </c>
      <c r="L53" s="93">
        <f t="shared" si="32"/>
        <v>0</v>
      </c>
      <c r="M53" s="99">
        <f t="shared" si="33"/>
        <v>0</v>
      </c>
      <c r="N53" s="100"/>
      <c r="O53" s="146">
        <f>($E53/DP!$M$29)*F53</f>
        <v>0</v>
      </c>
      <c r="P53" s="102">
        <f>IF(O53&gt;0,(DP!$M$31),0*1)</f>
        <v>0</v>
      </c>
      <c r="Q53" s="102">
        <f t="shared" si="42"/>
        <v>0</v>
      </c>
      <c r="R53" s="102">
        <f t="shared" si="43"/>
        <v>0</v>
      </c>
      <c r="S53" s="418">
        <f t="shared" si="44"/>
        <v>0</v>
      </c>
      <c r="T53" s="475">
        <f>H53*DP!$M$44</f>
        <v>0</v>
      </c>
      <c r="U53" s="475">
        <f>IF(H53&gt;0,DP!$N$44,0*1)</f>
        <v>0</v>
      </c>
      <c r="V53" s="475">
        <f t="shared" si="45"/>
        <v>0</v>
      </c>
      <c r="W53" s="475">
        <f>H53*DP!$M$45</f>
        <v>0</v>
      </c>
      <c r="X53" s="475">
        <f>IF(H53&gt;0,DP!$N$45,0*1)</f>
        <v>0</v>
      </c>
      <c r="Y53" s="475">
        <f t="shared" si="46"/>
        <v>0</v>
      </c>
      <c r="Z53" s="100"/>
      <c r="AA53" s="93">
        <f>IF(D53=DP!$L$15,F53*(1+DP!$M$15),IF(D53=DP!$L$16,F53*(1+DP!$M$16),IF(D53=DP!$L$17,F53*(1+DP!$M$17),IF(D53=DP!$L$18,F53*(1+DP!$M$18),0*1))))</f>
        <v>0</v>
      </c>
      <c r="AB53" s="102">
        <f>IF(D53=DP!$L$22,(DP!$M$22),IF(D53=DP!$L$23,(DP!$M$23),IF(D53=DP!$L$24,(DP!$M$24),IF(D53=DP!$L$25,(DP!$M$25),((0*1))))))</f>
        <v>0</v>
      </c>
      <c r="AC53" s="93">
        <f t="shared" si="47"/>
        <v>0</v>
      </c>
      <c r="AD53" s="93">
        <f>IF(D53=DP!$L$15,F53*(1+DP!$M$15),IF(D53=DP!$L$16,F53*(1+DP!$M$16),IF(D53=DP!$L$17,F53*(1+DP!$M$17),IF(D53=DP!$L$18,F53*(1+DP!$M$18),0*1))))</f>
        <v>0</v>
      </c>
      <c r="AE53" s="102">
        <f>IF(D53=DP!$L$22,(DP!$N$22),IF(D53=DP!$L$23,(DP!$N$23),IF(D53=DP!$L$24,(DP!$N$24),IF(D53=DP!$L$25,(DP!$N$25),((0*1))))))</f>
        <v>0</v>
      </c>
      <c r="AF53" s="93">
        <f t="shared" si="48"/>
        <v>0</v>
      </c>
      <c r="AG53" s="93">
        <f>IF(D53=DP!$L$15,(F53/DP!$K$15)*(1+DP!$M$15),IF(D53=DP!$L$16,(F53/DP!$K$16)*(1+DP!$M$16),IF(D53=DP!$L$17,(F53/DP!$K$17)*(1+DP!$M$17),IF(D53=DP!$L$18,(F53/DP!$K$18)*(1+DP!$M$18),0*1))))</f>
        <v>0</v>
      </c>
      <c r="AH53" s="102">
        <f>IF(D53=DP!$L$22,(DP!$O$22),IF(D53=DP!$L$23,(DP!$O$23),IF(D53=DP!$L$24,(DP!$O$24),IF(D53=DP!$L$25,(DP!$O$25),((0*1))))))</f>
        <v>0</v>
      </c>
      <c r="AI53" s="93">
        <f t="shared" si="49"/>
        <v>0</v>
      </c>
      <c r="AJ53" s="93">
        <f>IF(D53=DP!$L$15,F53*(1+DP!$M$15),IF(D53=DP!$L$16,F53*(1+DP!$M$16),IF(D53=DP!$L$17,F53*(1+DP!$M$17),IF(D53=DP!$L$18,F53*(1+DP!$M$18),0*1))))</f>
        <v>0</v>
      </c>
      <c r="AK53" s="102">
        <f>IF(D53=DP!$L$22,(DP!$P$22),IF(D53=DP!$L$23,(DP!$P$23),IF(D53=DP!$L$24,(DP!$P$24),IF(D53=DP!$L$25,(DP!$P$25),((0*1))))))</f>
        <v>0</v>
      </c>
      <c r="AL53" s="93">
        <f t="shared" si="50"/>
        <v>0</v>
      </c>
      <c r="AM53" s="100"/>
      <c r="AN53" s="149">
        <f t="shared" si="34"/>
        <v>0</v>
      </c>
      <c r="AO53" s="149">
        <f>DP!$N$35*H53</f>
        <v>0</v>
      </c>
      <c r="AP53" s="149">
        <f>DP!$O$35*H53</f>
        <v>0</v>
      </c>
      <c r="AQ53" s="149">
        <f>DP!$P$35*H53</f>
        <v>0</v>
      </c>
      <c r="AV53" s="412">
        <f>DP!AV26</f>
        <v>0</v>
      </c>
      <c r="AW53" s="412">
        <f>DP!AW26</f>
        <v>0</v>
      </c>
      <c r="AX53" s="412">
        <f>DP!AX26</f>
        <v>0</v>
      </c>
      <c r="AY53" s="412">
        <f t="shared" si="51"/>
        <v>0</v>
      </c>
      <c r="AZ53" s="470">
        <f>DP!AZ26</f>
        <v>0</v>
      </c>
      <c r="BA53" s="98">
        <f t="shared" si="52"/>
        <v>0</v>
      </c>
      <c r="BB53" s="97"/>
      <c r="BC53" s="102">
        <f t="shared" si="35"/>
        <v>0</v>
      </c>
      <c r="BD53" s="98">
        <f t="shared" si="36"/>
        <v>0</v>
      </c>
      <c r="BE53" s="93">
        <f t="shared" si="37"/>
        <v>0</v>
      </c>
      <c r="BF53" s="99">
        <f t="shared" si="38"/>
        <v>0</v>
      </c>
      <c r="BG53" s="100"/>
      <c r="BH53" s="102">
        <f>IFERROR((BA53*100%)/DP!$AO$29,(0*1))</f>
        <v>0</v>
      </c>
      <c r="BI53" s="102">
        <f>IF(BH53&gt;0,(DP!$AO$31),0*1)</f>
        <v>0</v>
      </c>
      <c r="BJ53" s="435">
        <f t="shared" si="53"/>
        <v>0</v>
      </c>
      <c r="BK53" s="475">
        <f>BA53*DP!$AO$44</f>
        <v>0</v>
      </c>
      <c r="BL53" s="475">
        <f>IF(BA53&gt;0,DP!$AP$44,0*1)</f>
        <v>0</v>
      </c>
      <c r="BM53" s="475">
        <f t="shared" si="54"/>
        <v>0</v>
      </c>
      <c r="BN53" s="102">
        <f>BA53*DP!$AO$45</f>
        <v>0</v>
      </c>
      <c r="BO53" s="102">
        <f>IF(BA53&gt;0,DP!$AP$45,0*1)</f>
        <v>0</v>
      </c>
      <c r="BP53" s="475">
        <f t="shared" si="55"/>
        <v>0</v>
      </c>
      <c r="BQ53" s="100"/>
      <c r="BR53" s="100"/>
      <c r="BS53" s="100"/>
      <c r="BT53" s="93">
        <f>IF(AW53=DP!$AN$15,AY53*(1+DP!$AO$15),IF(AW53=DP!$AN$16,AY53*(1+DP!$AO$16),IF(AW53=DP!$AN$17,AY53*(1+DP!$AO$17),IF(AW53=DP!$AN$18,AY53*(1+DP!$AO$18),0*1))))</f>
        <v>0</v>
      </c>
      <c r="BU53" s="102">
        <f>IF(AW53=DP!$AN$22,(DP!$AO$22),IF(AW53=DP!$AN$23,(DP!$AO$23),IF(AW53=DP!$AN$24,(DP!$AO$24),IF(AW53=DP!$AN$25,(DP!$AO$25),((0*1))))))</f>
        <v>0</v>
      </c>
      <c r="BV53" s="93">
        <f t="shared" si="56"/>
        <v>0</v>
      </c>
      <c r="BW53" s="93">
        <f>IF(AW53=DP!$AN$15,AY53*(1+DP!$AO$15),IF(AW53=DP!$AN$16,AY53*(1+DP!$AO$16),IF(AW53=DP!$AN$17,AY53*(1+DP!$AO$17),IF(AW53=DP!$AN$18,AY53*(1+DP!$AO$18),0*1))))</f>
        <v>0</v>
      </c>
      <c r="BX53" s="102">
        <f>IF(AW53=DP!$AN$22,(DP!$AP$22),IF(AW53=DP!$AN$23,(DP!$AP$23),IF(AW53=DP!$AN$24,(DP!$AP$24),IF(AW53=DP!$AN$25,(DP!$AP$25),((0*1))))))</f>
        <v>0</v>
      </c>
      <c r="BY53" s="93">
        <f t="shared" si="57"/>
        <v>0</v>
      </c>
      <c r="BZ53" s="93">
        <f>IF(AW53=DP!$AN$15,(AY53/DP!$AM$15)*(1+DP!$AO$15),IF(AW53=DP!$AN$16,(AY53/DP!$AM$16)*(1+DP!$AO$16),IF(AW53=DP!$AN$17,(AY53/DP!$AM$17)*(1+DP!$AO$17),IF(AW53=DP!$AN$18,(AY53/DP!$AM$18)*(1+DP!$AO$18),0*1))))</f>
        <v>0</v>
      </c>
      <c r="CA53" s="102">
        <f>IF(AW53=DP!$AN$22,(DP!$AQ$22),IF(AW53=DP!$AN$23,(DP!$AQ$23),IF(AW53=DP!$AN$24,(DP!$AQ$24),IF(AW53=DP!$AN$25,(DP!$AQ$25),((0*1))))))</f>
        <v>0</v>
      </c>
      <c r="CB53" s="93">
        <f t="shared" si="58"/>
        <v>0</v>
      </c>
      <c r="CC53" s="93">
        <f>IF(AW53=DP!$AN$15,AY53*(1+DP!$AO$15),IF(AW53=DP!$AN$16,AY53*(1+DP!$AO$16),IF(AW53=DP!$AN$17,AY53*(1+DP!$AO$17),IF(AW53=DP!$AN$18,AY53*(1+DP!$AO$18),0*1))))</f>
        <v>0</v>
      </c>
      <c r="CD53" s="102">
        <f>IF(AW53=DP!$AN$22,(DP!$AR$22),IF(AW53=DP!$AN$23,(DP!$AR$23),IF(AW53=DP!$AN$24,(DP!$AR$24),IF(AW53=DP!$AN$25,(DP!$AR$25),((0*1))))))</f>
        <v>0</v>
      </c>
      <c r="CE53" s="93">
        <f t="shared" si="59"/>
        <v>0</v>
      </c>
      <c r="CF53" s="100"/>
      <c r="CG53" s="148">
        <f t="shared" si="39"/>
        <v>0</v>
      </c>
      <c r="CH53" s="149">
        <f>DP!$N$35*BA53</f>
        <v>0</v>
      </c>
      <c r="CI53" s="149">
        <f>DP!$O$35*BA53</f>
        <v>0</v>
      </c>
      <c r="CJ53" s="149">
        <f>DP!$P$35*BA53</f>
        <v>0</v>
      </c>
    </row>
    <row r="54" spans="2:88" x14ac:dyDescent="0.35">
      <c r="B54" s="481">
        <f>DP!S27</f>
        <v>0</v>
      </c>
      <c r="C54" s="481">
        <f>DP!T27</f>
        <v>0</v>
      </c>
      <c r="D54" s="481">
        <f>DP!U27</f>
        <v>0</v>
      </c>
      <c r="E54" s="481">
        <f>DP!V27</f>
        <v>0</v>
      </c>
      <c r="F54" s="412">
        <f t="shared" si="40"/>
        <v>0</v>
      </c>
      <c r="G54" s="470">
        <f>DP!X27</f>
        <v>0</v>
      </c>
      <c r="H54" s="98">
        <f t="shared" si="41"/>
        <v>0</v>
      </c>
      <c r="I54" s="97"/>
      <c r="J54" s="102">
        <f t="shared" si="30"/>
        <v>0</v>
      </c>
      <c r="K54" s="98">
        <f t="shared" si="31"/>
        <v>0</v>
      </c>
      <c r="L54" s="93">
        <f t="shared" si="32"/>
        <v>0</v>
      </c>
      <c r="M54" s="99">
        <f t="shared" si="33"/>
        <v>0</v>
      </c>
      <c r="N54" s="100"/>
      <c r="O54" s="146">
        <f>($E54/DP!$M$29)*F54</f>
        <v>0</v>
      </c>
      <c r="P54" s="102">
        <f>IF(O54&gt;0,(DP!$M$31),0*1)</f>
        <v>0</v>
      </c>
      <c r="Q54" s="102">
        <f>O54*P54</f>
        <v>0</v>
      </c>
      <c r="R54" s="102">
        <f t="shared" si="43"/>
        <v>0</v>
      </c>
      <c r="S54" s="418">
        <f t="shared" si="44"/>
        <v>0</v>
      </c>
      <c r="T54" s="475">
        <f>H54*DP!$M$44</f>
        <v>0</v>
      </c>
      <c r="U54" s="475">
        <f>IF(H54&gt;0,DP!$N$44,0*1)</f>
        <v>0</v>
      </c>
      <c r="V54" s="475">
        <f t="shared" si="45"/>
        <v>0</v>
      </c>
      <c r="W54" s="475">
        <f>H54*DP!$M$45</f>
        <v>0</v>
      </c>
      <c r="X54" s="475">
        <f>IF(H54&gt;0,DP!$N$45,0*1)</f>
        <v>0</v>
      </c>
      <c r="Y54" s="475">
        <f t="shared" si="46"/>
        <v>0</v>
      </c>
      <c r="Z54" s="100"/>
      <c r="AA54" s="93">
        <f>IF(D54=DP!$L$15,F54*(1+DP!$M$15),IF(D54=DP!$L$16,F54*(1+DP!$M$16),IF(D54=DP!$L$17,F54*(1+DP!$M$17),IF(D54=DP!$L$18,F54*(1+DP!$M$18),0*1))))</f>
        <v>0</v>
      </c>
      <c r="AB54" s="102">
        <f>IF(D54=DP!$L$22,(DP!$M$22),IF(D54=DP!$L$23,(DP!$M$23),IF(D54=DP!$L$24,(DP!$M$24),IF(D54=DP!$L$25,(DP!$M$25),((0*1))))))</f>
        <v>0</v>
      </c>
      <c r="AC54" s="93">
        <f t="shared" si="47"/>
        <v>0</v>
      </c>
      <c r="AD54" s="93">
        <f>IF(D54=DP!$L$15,F54*(1+DP!$M$15),IF(D54=DP!$L$16,F54*(1+DP!$M$16),IF(D54=DP!$L$17,F54*(1+DP!$M$17),IF(D54=DP!$L$18,F54*(1+DP!$M$18),0*1))))</f>
        <v>0</v>
      </c>
      <c r="AE54" s="102">
        <f>IF(D54=DP!$L$22,(DP!$N$22),IF(D54=DP!$L$23,(DP!$N$23),IF(D54=DP!$L$24,(DP!$N$24),IF(D54=DP!$L$25,(DP!$N$25),((0*1))))))</f>
        <v>0</v>
      </c>
      <c r="AF54" s="93">
        <f t="shared" si="48"/>
        <v>0</v>
      </c>
      <c r="AG54" s="93">
        <f>IF(D54=DP!$L$15,(F54/DP!$K$15)*(1+DP!$M$15),IF(D54=DP!$L$16,(F54/DP!$K$16)*(1+DP!$M$16),IF(D54=DP!$L$17,(F54/DP!$K$17)*(1+DP!$M$17),IF(D54=DP!$L$18,(F54/DP!$K$18)*(1+DP!$M$18),0*1))))</f>
        <v>0</v>
      </c>
      <c r="AH54" s="102">
        <f>IF(D54=DP!$L$22,(DP!$O$22),IF(D54=DP!$L$23,(DP!$O$23),IF(D54=DP!$L$24,(DP!$O$24),IF(D54=DP!$L$25,(DP!$O$25),((0*1))))))</f>
        <v>0</v>
      </c>
      <c r="AI54" s="93">
        <f t="shared" si="49"/>
        <v>0</v>
      </c>
      <c r="AJ54" s="93">
        <f>IF(D54=DP!$L$15,F54*(1+DP!$M$15),IF(D54=DP!$L$16,F54*(1+DP!$M$16),IF(D54=DP!$L$17,F54*(1+DP!$M$17),IF(D54=DP!$L$18,F54*(1+DP!$M$18),0*1))))</f>
        <v>0</v>
      </c>
      <c r="AK54" s="102">
        <f>IF(D54=DP!$L$22,(DP!$P$22),IF(D54=DP!$L$23,(DP!$P$23),IF(D54=DP!$L$24,(DP!$P$24),IF(D54=DP!$L$25,(DP!$P$25),((0*1))))))</f>
        <v>0</v>
      </c>
      <c r="AL54" s="93">
        <f t="shared" si="50"/>
        <v>0</v>
      </c>
      <c r="AM54" s="100"/>
      <c r="AN54" s="149">
        <f t="shared" si="34"/>
        <v>0</v>
      </c>
      <c r="AO54" s="149">
        <f>DP!$N$35*H54</f>
        <v>0</v>
      </c>
      <c r="AP54" s="149">
        <f>DP!$O$35*H54</f>
        <v>0</v>
      </c>
      <c r="AQ54" s="149">
        <f>DP!$P$35*H54</f>
        <v>0</v>
      </c>
      <c r="AV54" s="412">
        <f>DP!AV27</f>
        <v>0</v>
      </c>
      <c r="AW54" s="412">
        <f>DP!AW27</f>
        <v>0</v>
      </c>
      <c r="AX54" s="412">
        <f>DP!AX27</f>
        <v>0</v>
      </c>
      <c r="AY54" s="412">
        <f t="shared" si="51"/>
        <v>0</v>
      </c>
      <c r="AZ54" s="470">
        <f>DP!AZ27</f>
        <v>0</v>
      </c>
      <c r="BA54" s="98">
        <f t="shared" si="52"/>
        <v>0</v>
      </c>
      <c r="BB54" s="97"/>
      <c r="BC54" s="102">
        <f t="shared" si="35"/>
        <v>0</v>
      </c>
      <c r="BD54" s="98">
        <f t="shared" si="36"/>
        <v>0</v>
      </c>
      <c r="BE54" s="93">
        <f t="shared" si="37"/>
        <v>0</v>
      </c>
      <c r="BF54" s="99">
        <f t="shared" si="38"/>
        <v>0</v>
      </c>
      <c r="BG54" s="100"/>
      <c r="BH54" s="102">
        <f>IFERROR((BA54*100%)/DP!$AO$29,(0*1))</f>
        <v>0</v>
      </c>
      <c r="BI54" s="102">
        <f>IF(BH54&gt;0,(DP!$AO$31),0*1)</f>
        <v>0</v>
      </c>
      <c r="BJ54" s="435">
        <f t="shared" si="53"/>
        <v>0</v>
      </c>
      <c r="BK54" s="475">
        <f>BA54*DP!$AO$44</f>
        <v>0</v>
      </c>
      <c r="BL54" s="475">
        <f>IF(BA54&gt;0,DP!$AP$44,0*1)</f>
        <v>0</v>
      </c>
      <c r="BM54" s="475">
        <f t="shared" si="54"/>
        <v>0</v>
      </c>
      <c r="BN54" s="102">
        <f>BA54*DP!$AO$45</f>
        <v>0</v>
      </c>
      <c r="BO54" s="102">
        <f>IF(BA54&gt;0,DP!$AP$45,0*1)</f>
        <v>0</v>
      </c>
      <c r="BP54" s="475">
        <f t="shared" si="55"/>
        <v>0</v>
      </c>
      <c r="BQ54" s="100"/>
      <c r="BR54" s="100"/>
      <c r="BS54" s="100"/>
      <c r="BT54" s="93">
        <f>IF(AW54=DP!$AN$15,AY54*(1+DP!$AO$15),IF(AW54=DP!$AN$16,AY54*(1+DP!$AO$16),IF(AW54=DP!$AN$17,AY54*(1+DP!$AO$17),IF(AW54=DP!$AN$18,AY54*(1+DP!$AO$18),0*1))))</f>
        <v>0</v>
      </c>
      <c r="BU54" s="102">
        <f>IF(AW54=DP!$AN$22,(DP!$AO$22),IF(AW54=DP!$AN$23,(DP!$AO$23),IF(AW54=DP!$AN$24,(DP!$AO$24),IF(AW54=DP!$AN$25,(DP!$AO$25),((0*1))))))</f>
        <v>0</v>
      </c>
      <c r="BV54" s="93">
        <f t="shared" si="56"/>
        <v>0</v>
      </c>
      <c r="BW54" s="93">
        <f>IF(AW54=DP!$AN$15,AY54*(1+DP!$AO$15),IF(AW54=DP!$AN$16,AY54*(1+DP!$AO$16),IF(AW54=DP!$AN$17,AY54*(1+DP!$AO$17),IF(AW54=DP!$AN$18,AY54*(1+DP!$AO$18),0*1))))</f>
        <v>0</v>
      </c>
      <c r="BX54" s="102">
        <f>IF(AW54=DP!$AN$22,(DP!$AP$22),IF(AW54=DP!$AN$23,(DP!$AP$23),IF(AW54=DP!$AN$24,(DP!$AP$24),IF(AW54=DP!$AN$25,(DP!$AP$25),((0*1))))))</f>
        <v>0</v>
      </c>
      <c r="BY54" s="93">
        <f t="shared" si="57"/>
        <v>0</v>
      </c>
      <c r="BZ54" s="93">
        <f>IF(AW54=DP!$AN$15,(AY54/DP!$AM$15)*(1+DP!$AO$15),IF(AW54=DP!$AN$16,(AY54/DP!$AM$16)*(1+DP!$AO$16),IF(AW54=DP!$AN$17,(AY54/DP!$AM$17)*(1+DP!$AO$17),IF(AW54=DP!$AN$18,(AY54/DP!$AM$18)*(1+DP!$AO$18),0*1))))</f>
        <v>0</v>
      </c>
      <c r="CA54" s="102">
        <f>IF(AW54=DP!$AN$22,(DP!$AQ$22),IF(AW54=DP!$AN$23,(DP!$AQ$23),IF(AW54=DP!$AN$24,(DP!$AQ$24),IF(AW54=DP!$AN$25,(DP!$AQ$25),((0*1))))))</f>
        <v>0</v>
      </c>
      <c r="CB54" s="93">
        <f t="shared" si="58"/>
        <v>0</v>
      </c>
      <c r="CC54" s="93">
        <f>IF(AW54=DP!$AN$15,AY54*(1+DP!$AO$15),IF(AW54=DP!$AN$16,AY54*(1+DP!$AO$16),IF(AW54=DP!$AN$17,AY54*(1+DP!$AO$17),IF(AW54=DP!$AN$18,AY54*(1+DP!$AO$18),0*1))))</f>
        <v>0</v>
      </c>
      <c r="CD54" s="102">
        <f>IF(AW54=DP!$AN$22,(DP!$AR$22),IF(AW54=DP!$AN$23,(DP!$AR$23),IF(AW54=DP!$AN$24,(DP!$AR$24),IF(AW54=DP!$AN$25,(DP!$AR$25),((0*1))))))</f>
        <v>0</v>
      </c>
      <c r="CE54" s="93">
        <f t="shared" si="59"/>
        <v>0</v>
      </c>
      <c r="CF54" s="100"/>
      <c r="CG54" s="148">
        <f t="shared" si="39"/>
        <v>0</v>
      </c>
      <c r="CH54" s="149">
        <f>DP!$N$35*BA54</f>
        <v>0</v>
      </c>
      <c r="CI54" s="149">
        <f>DP!$O$35*BA54</f>
        <v>0</v>
      </c>
      <c r="CJ54" s="149">
        <f>DP!$P$35*BA54</f>
        <v>0</v>
      </c>
    </row>
    <row r="55" spans="2:88" x14ac:dyDescent="0.35">
      <c r="B55" s="481">
        <f>DP!S28</f>
        <v>0</v>
      </c>
      <c r="C55" s="481">
        <f>DP!T28</f>
        <v>0</v>
      </c>
      <c r="D55" s="481">
        <f>DP!U28</f>
        <v>0</v>
      </c>
      <c r="E55" s="481">
        <f>DP!V28</f>
        <v>0</v>
      </c>
      <c r="F55" s="412">
        <f t="shared" si="40"/>
        <v>0</v>
      </c>
      <c r="G55" s="470">
        <f>DP!X28</f>
        <v>0</v>
      </c>
      <c r="H55" s="98">
        <f t="shared" si="41"/>
        <v>0</v>
      </c>
      <c r="I55" s="97"/>
      <c r="J55" s="102">
        <f t="shared" si="30"/>
        <v>0</v>
      </c>
      <c r="K55" s="98">
        <f t="shared" si="31"/>
        <v>0</v>
      </c>
      <c r="L55" s="93">
        <f t="shared" si="32"/>
        <v>0</v>
      </c>
      <c r="M55" s="99">
        <f t="shared" si="33"/>
        <v>0</v>
      </c>
      <c r="N55" s="100"/>
      <c r="O55" s="146">
        <f>($E55/DP!$M$29)*F55</f>
        <v>0</v>
      </c>
      <c r="P55" s="102">
        <f>IF(O55&gt;0,(DP!$M$31),0*1)</f>
        <v>0</v>
      </c>
      <c r="Q55" s="102">
        <f t="shared" ref="Q55:Q63" si="60">O55*P55</f>
        <v>0</v>
      </c>
      <c r="R55" s="102">
        <f t="shared" si="43"/>
        <v>0</v>
      </c>
      <c r="S55" s="418">
        <f t="shared" si="44"/>
        <v>0</v>
      </c>
      <c r="T55" s="475">
        <f>H55*DP!$M$44</f>
        <v>0</v>
      </c>
      <c r="U55" s="475">
        <f>IF(H55&gt;0,DP!$N$44,0*1)</f>
        <v>0</v>
      </c>
      <c r="V55" s="475">
        <f t="shared" si="45"/>
        <v>0</v>
      </c>
      <c r="W55" s="475">
        <f>H55*DP!$M$45</f>
        <v>0</v>
      </c>
      <c r="X55" s="475">
        <f>IF(H55&gt;0,DP!$N$45,0*1)</f>
        <v>0</v>
      </c>
      <c r="Y55" s="475">
        <f t="shared" si="46"/>
        <v>0</v>
      </c>
      <c r="Z55" s="100"/>
      <c r="AA55" s="93">
        <f>IF(D55=DP!$L$15,F55*(1+DP!$M$15),IF(D55=DP!$L$16,F55*(1+DP!$M$16),IF(D55=DP!$L$17,F55*(1+DP!$M$17),IF(D55=DP!$L$18,F55*(1+DP!$M$18),0*1))))</f>
        <v>0</v>
      </c>
      <c r="AB55" s="102">
        <f>IF(D55=DP!$L$22,(DP!$M$22),IF(D55=DP!$L$23,(DP!$M$23),IF(D55=DP!$L$24,(DP!$M$24),IF(D55=DP!$L$25,(DP!$M$25),((0*1))))))</f>
        <v>0</v>
      </c>
      <c r="AC55" s="93">
        <f t="shared" si="47"/>
        <v>0</v>
      </c>
      <c r="AD55" s="93">
        <f>IF(D55=DP!$L$15,F55*(1+DP!$M$15),IF(D55=DP!$L$16,F55*(1+DP!$M$16),IF(D55=DP!$L$17,F55*(1+DP!$M$17),IF(D55=DP!$L$18,F55*(1+DP!$M$18),0*1))))</f>
        <v>0</v>
      </c>
      <c r="AE55" s="102">
        <f>IF(D55=DP!$L$22,(DP!$N$22),IF(D55=DP!$L$23,(DP!$N$23),IF(D55=DP!$L$24,(DP!$N$24),IF(D55=DP!$L$25,(DP!$N$25),((0*1))))))</f>
        <v>0</v>
      </c>
      <c r="AF55" s="93">
        <f t="shared" si="48"/>
        <v>0</v>
      </c>
      <c r="AG55" s="93">
        <f>IF(D55=DP!$L$15,(F55/DP!$K$15)*(1+DP!$M$15),IF(D55=DP!$L$16,(F55/DP!$K$16)*(1+DP!$M$16),IF(D55=DP!$L$17,(F55/DP!$K$17)*(1+DP!$M$17),IF(D55=DP!$L$18,(F55/DP!$K$18)*(1+DP!$M$18),0*1))))</f>
        <v>0</v>
      </c>
      <c r="AH55" s="102">
        <f>IF(D55=DP!$L$22,(DP!$O$22),IF(D55=DP!$L$23,(DP!$O$23),IF(D55=DP!$L$24,(DP!$O$24),IF(D55=DP!$L$25,(DP!$O$25),((0*1))))))</f>
        <v>0</v>
      </c>
      <c r="AI55" s="93">
        <f t="shared" si="49"/>
        <v>0</v>
      </c>
      <c r="AJ55" s="93">
        <f>IF(D55=DP!$L$15,F55*(1+DP!$M$15),IF(D55=DP!$L$16,F55*(1+DP!$M$16),IF(D55=DP!$L$17,F55*(1+DP!$M$17),IF(D55=DP!$L$18,F55*(1+DP!$M$18),0*1))))</f>
        <v>0</v>
      </c>
      <c r="AK55" s="102">
        <f>IF(D55=DP!$L$22,(DP!$P$22),IF(D55=DP!$L$23,(DP!$P$23),IF(D55=DP!$L$24,(DP!$P$24),IF(D55=DP!$L$25,(DP!$P$25),((0*1))))))</f>
        <v>0</v>
      </c>
      <c r="AL55" s="93">
        <f t="shared" si="50"/>
        <v>0</v>
      </c>
      <c r="AM55" s="100"/>
      <c r="AN55" s="149">
        <f t="shared" si="34"/>
        <v>0</v>
      </c>
      <c r="AO55" s="149">
        <f>DP!$N$35*H55</f>
        <v>0</v>
      </c>
      <c r="AP55" s="149">
        <f>DP!$O$35*H55</f>
        <v>0</v>
      </c>
      <c r="AQ55" s="149">
        <f>DP!$P$35*H55</f>
        <v>0</v>
      </c>
      <c r="AV55" s="412">
        <f>DP!AV28</f>
        <v>0</v>
      </c>
      <c r="AW55" s="412">
        <f>DP!AW28</f>
        <v>0</v>
      </c>
      <c r="AX55" s="412">
        <f>DP!AX28</f>
        <v>0</v>
      </c>
      <c r="AY55" s="412">
        <f t="shared" si="51"/>
        <v>0</v>
      </c>
      <c r="AZ55" s="470">
        <f>DP!AZ28</f>
        <v>0</v>
      </c>
      <c r="BA55" s="98">
        <f t="shared" si="52"/>
        <v>0</v>
      </c>
      <c r="BB55" s="97"/>
      <c r="BC55" s="102">
        <f t="shared" si="35"/>
        <v>0</v>
      </c>
      <c r="BD55" s="98">
        <f t="shared" si="36"/>
        <v>0</v>
      </c>
      <c r="BE55" s="93">
        <f t="shared" si="37"/>
        <v>0</v>
      </c>
      <c r="BF55" s="99">
        <f t="shared" si="38"/>
        <v>0</v>
      </c>
      <c r="BG55" s="100"/>
      <c r="BH55" s="102">
        <f>IFERROR((BA55*100%)/DP!$AO$29,(0*1))</f>
        <v>0</v>
      </c>
      <c r="BI55" s="102">
        <f>IF(BH55&gt;0,(DP!$AO$31),0*1)</f>
        <v>0</v>
      </c>
      <c r="BJ55" s="435">
        <f t="shared" si="53"/>
        <v>0</v>
      </c>
      <c r="BK55" s="475">
        <f>BA55*DP!$AO$44</f>
        <v>0</v>
      </c>
      <c r="BL55" s="475">
        <f>IF(BA55&gt;0,DP!$AP$44,0*1)</f>
        <v>0</v>
      </c>
      <c r="BM55" s="475">
        <f t="shared" si="54"/>
        <v>0</v>
      </c>
      <c r="BN55" s="102">
        <f>BA55*DP!$AO$45</f>
        <v>0</v>
      </c>
      <c r="BO55" s="102">
        <f>IF(BA55&gt;0,DP!$AP$45,0*1)</f>
        <v>0</v>
      </c>
      <c r="BP55" s="475">
        <f t="shared" si="55"/>
        <v>0</v>
      </c>
      <c r="BQ55" s="100"/>
      <c r="BR55" s="100"/>
      <c r="BS55" s="100"/>
      <c r="BT55" s="93">
        <f>IF(AW55=DP!$AN$15,AY55*(1+DP!$AO$15),IF(AW55=DP!$AN$16,AY55*(1+DP!$AO$16),IF(AW55=DP!$AN$17,AY55*(1+DP!$AO$17),IF(AW55=DP!$AN$18,AY55*(1+DP!$AO$18),0*1))))</f>
        <v>0</v>
      </c>
      <c r="BU55" s="102">
        <f>IF(AW55=DP!$AN$22,(DP!$AO$22),IF(AW55=DP!$AN$23,(DP!$AO$23),IF(AW55=DP!$AN$24,(DP!$AO$24),IF(AW55=DP!$AN$25,(DP!$AO$25),((0*1))))))</f>
        <v>0</v>
      </c>
      <c r="BV55" s="93">
        <f t="shared" si="56"/>
        <v>0</v>
      </c>
      <c r="BW55" s="93">
        <f>IF(AW55=DP!$AN$15,AY55*(1+DP!$AO$15),IF(AW55=DP!$AN$16,AY55*(1+DP!$AO$16),IF(AW55=DP!$AN$17,AY55*(1+DP!$AO$17),IF(AW55=DP!$AN$18,AY55*(1+DP!$AO$18),0*1))))</f>
        <v>0</v>
      </c>
      <c r="BX55" s="102">
        <f>IF(AW55=DP!$AN$22,(DP!$AP$22),IF(AW55=DP!$AN$23,(DP!$AP$23),IF(AW55=DP!$AN$24,(DP!$AP$24),IF(AW55=DP!$AN$25,(DP!$AP$25),((0*1))))))</f>
        <v>0</v>
      </c>
      <c r="BY55" s="93">
        <f t="shared" si="57"/>
        <v>0</v>
      </c>
      <c r="BZ55" s="93">
        <f>IF(AW55=DP!$AN$15,(AY55/DP!$AM$15)*(1+DP!$AO$15),IF(AW55=DP!$AN$16,(AY55/DP!$AM$16)*(1+DP!$AO$16),IF(AW55=DP!$AN$17,(AY55/DP!$AM$17)*(1+DP!$AO$17),IF(AW55=DP!$AN$18,(AY55/DP!$AM$18)*(1+DP!$AO$18),0*1))))</f>
        <v>0</v>
      </c>
      <c r="CA55" s="102">
        <f>IF(AW55=DP!$AN$22,(DP!$AQ$22),IF(AW55=DP!$AN$23,(DP!$AQ$23),IF(AW55=DP!$AN$24,(DP!$AQ$24),IF(AW55=DP!$AN$25,(DP!$AQ$25),((0*1))))))</f>
        <v>0</v>
      </c>
      <c r="CB55" s="93">
        <f t="shared" si="58"/>
        <v>0</v>
      </c>
      <c r="CC55" s="93">
        <f>IF(AW55=DP!$AN$15,AY55*(1+DP!$AO$15),IF(AW55=DP!$AN$16,AY55*(1+DP!$AO$16),IF(AW55=DP!$AN$17,AY55*(1+DP!$AO$17),IF(AW55=DP!$AN$18,AY55*(1+DP!$AO$18),0*1))))</f>
        <v>0</v>
      </c>
      <c r="CD55" s="102">
        <f>IF(AW55=DP!$AN$22,(DP!$AR$22),IF(AW55=DP!$AN$23,(DP!$AR$23),IF(AW55=DP!$AN$24,(DP!$AR$24),IF(AW55=DP!$AN$25,(DP!$AR$25),((0*1))))))</f>
        <v>0</v>
      </c>
      <c r="CE55" s="93">
        <f t="shared" si="59"/>
        <v>0</v>
      </c>
      <c r="CF55" s="100"/>
      <c r="CG55" s="148">
        <f t="shared" si="39"/>
        <v>0</v>
      </c>
      <c r="CH55" s="149">
        <f>DP!$N$35*BA55</f>
        <v>0</v>
      </c>
      <c r="CI55" s="149">
        <f>DP!$O$35*BA55</f>
        <v>0</v>
      </c>
      <c r="CJ55" s="149">
        <f>DP!$P$35*BA55</f>
        <v>0</v>
      </c>
    </row>
    <row r="56" spans="2:88" x14ac:dyDescent="0.35">
      <c r="B56" s="481">
        <f>DP!S29</f>
        <v>0</v>
      </c>
      <c r="C56" s="481">
        <f>DP!T29</f>
        <v>0</v>
      </c>
      <c r="D56" s="481">
        <f>DP!U29</f>
        <v>0</v>
      </c>
      <c r="E56" s="481">
        <f>DP!V29</f>
        <v>0</v>
      </c>
      <c r="F56" s="412">
        <f t="shared" si="40"/>
        <v>0</v>
      </c>
      <c r="G56" s="470">
        <f>DP!X29</f>
        <v>0</v>
      </c>
      <c r="H56" s="98">
        <f t="shared" si="41"/>
        <v>0</v>
      </c>
      <c r="I56" s="97"/>
      <c r="J56" s="102">
        <f t="shared" si="30"/>
        <v>0</v>
      </c>
      <c r="K56" s="98">
        <f t="shared" si="31"/>
        <v>0</v>
      </c>
      <c r="L56" s="93">
        <f t="shared" si="32"/>
        <v>0</v>
      </c>
      <c r="M56" s="99">
        <f t="shared" si="33"/>
        <v>0</v>
      </c>
      <c r="N56" s="100"/>
      <c r="O56" s="146">
        <f>($E56/DP!$M$29)*F56</f>
        <v>0</v>
      </c>
      <c r="P56" s="102">
        <f>IF(O56&gt;0,(DP!$M$31),0*1)</f>
        <v>0</v>
      </c>
      <c r="Q56" s="102">
        <f t="shared" si="60"/>
        <v>0</v>
      </c>
      <c r="R56" s="102">
        <f t="shared" si="43"/>
        <v>0</v>
      </c>
      <c r="S56" s="418">
        <f t="shared" si="44"/>
        <v>0</v>
      </c>
      <c r="T56" s="475">
        <f>H56*DP!$M$44</f>
        <v>0</v>
      </c>
      <c r="U56" s="475">
        <f>IF(H56&gt;0,DP!$N$44,0*1)</f>
        <v>0</v>
      </c>
      <c r="V56" s="475">
        <f t="shared" si="45"/>
        <v>0</v>
      </c>
      <c r="W56" s="475">
        <f>H56*DP!$M$45</f>
        <v>0</v>
      </c>
      <c r="X56" s="475">
        <f>IF(H56&gt;0,DP!$N$45,0*1)</f>
        <v>0</v>
      </c>
      <c r="Y56" s="475">
        <f t="shared" si="46"/>
        <v>0</v>
      </c>
      <c r="Z56" s="100"/>
      <c r="AA56" s="93">
        <f>IF(D56=DP!$L$15,F56*(1+DP!$M$15),IF(D56=DP!$L$16,F56*(1+DP!$M$16),IF(D56=DP!$L$17,F56*(1+DP!$M$17),IF(D56=DP!$L$18,F56*(1+DP!$M$18),0*1))))</f>
        <v>0</v>
      </c>
      <c r="AB56" s="102">
        <f>IF(D56=DP!$L$22,(DP!$M$22),IF(D56=DP!$L$23,(DP!$M$23),IF(D56=DP!$L$24,(DP!$M$24),IF(D56=DP!$L$25,(DP!$M$25),((0*1))))))</f>
        <v>0</v>
      </c>
      <c r="AC56" s="93">
        <f t="shared" si="47"/>
        <v>0</v>
      </c>
      <c r="AD56" s="93">
        <f>IF(D56=DP!$L$15,F56*(1+DP!$M$15),IF(D56=DP!$L$16,F56*(1+DP!$M$16),IF(D56=DP!$L$17,F56*(1+DP!$M$17),IF(D56=DP!$L$18,F56*(1+DP!$M$18),0*1))))</f>
        <v>0</v>
      </c>
      <c r="AE56" s="102">
        <f>IF(D56=DP!$L$22,(DP!$N$22),IF(D56=DP!$L$23,(DP!$N$23),IF(D56=DP!$L$24,(DP!$N$24),IF(D56=DP!$L$25,(DP!$N$25),((0*1))))))</f>
        <v>0</v>
      </c>
      <c r="AF56" s="93">
        <f t="shared" si="48"/>
        <v>0</v>
      </c>
      <c r="AG56" s="93">
        <f>IF(D56=DP!$L$15,(F56/DP!$K$15)*(1+DP!$M$15),IF(D56=DP!$L$16,(F56/DP!$K$16)*(1+DP!$M$16),IF(D56=DP!$L$17,(F56/DP!$K$17)*(1+DP!$M$17),IF(D56=DP!$L$18,(F56/DP!$K$18)*(1+DP!$M$18),0*1))))</f>
        <v>0</v>
      </c>
      <c r="AH56" s="102">
        <f>IF(D56=DP!$L$22,(DP!$O$22),IF(D56=DP!$L$23,(DP!$O$23),IF(D56=DP!$L$24,(DP!$O$24),IF(D56=DP!$L$25,(DP!$O$25),((0*1))))))</f>
        <v>0</v>
      </c>
      <c r="AI56" s="93">
        <f t="shared" si="49"/>
        <v>0</v>
      </c>
      <c r="AJ56" s="93">
        <f>IF(D56=DP!$L$15,F56*(1+DP!$M$15),IF(D56=DP!$L$16,F56*(1+DP!$M$16),IF(D56=DP!$L$17,F56*(1+DP!$M$17),IF(D56=DP!$L$18,F56*(1+DP!$M$18),0*1))))</f>
        <v>0</v>
      </c>
      <c r="AK56" s="102">
        <f>IF(D56=DP!$L$22,(DP!$P$22),IF(D56=DP!$L$23,(DP!$P$23),IF(D56=DP!$L$24,(DP!$P$24),IF(D56=DP!$L$25,(DP!$P$25),((0*1))))))</f>
        <v>0</v>
      </c>
      <c r="AL56" s="93">
        <f t="shared" si="50"/>
        <v>0</v>
      </c>
      <c r="AM56" s="100"/>
      <c r="AN56" s="149">
        <f t="shared" si="34"/>
        <v>0</v>
      </c>
      <c r="AO56" s="149">
        <f>DP!$N$35*H56</f>
        <v>0</v>
      </c>
      <c r="AP56" s="149">
        <f>DP!$O$35*H56</f>
        <v>0</v>
      </c>
      <c r="AQ56" s="149">
        <f>DP!$P$35*H56</f>
        <v>0</v>
      </c>
      <c r="AV56" s="412">
        <f>DP!AV29</f>
        <v>0</v>
      </c>
      <c r="AW56" s="412">
        <f>DP!AW29</f>
        <v>0</v>
      </c>
      <c r="AX56" s="412">
        <f>DP!AX29</f>
        <v>0</v>
      </c>
      <c r="AY56" s="412">
        <f t="shared" si="51"/>
        <v>0</v>
      </c>
      <c r="AZ56" s="470">
        <f>DP!AZ29</f>
        <v>0</v>
      </c>
      <c r="BA56" s="98">
        <f t="shared" si="52"/>
        <v>0</v>
      </c>
      <c r="BB56" s="97"/>
      <c r="BC56" s="102">
        <f t="shared" si="35"/>
        <v>0</v>
      </c>
      <c r="BD56" s="98">
        <f t="shared" si="36"/>
        <v>0</v>
      </c>
      <c r="BE56" s="93">
        <f t="shared" si="37"/>
        <v>0</v>
      </c>
      <c r="BF56" s="99">
        <f t="shared" si="38"/>
        <v>0</v>
      </c>
      <c r="BG56" s="100"/>
      <c r="BH56" s="102">
        <f>IFERROR((BA56*100%)/DP!$AO$29,(0*1))</f>
        <v>0</v>
      </c>
      <c r="BI56" s="102">
        <f>IF(BH56&gt;0,(DP!$AO$31),0*1)</f>
        <v>0</v>
      </c>
      <c r="BJ56" s="435">
        <f t="shared" si="53"/>
        <v>0</v>
      </c>
      <c r="BK56" s="475">
        <f>BA56*DP!$AO$44</f>
        <v>0</v>
      </c>
      <c r="BL56" s="475">
        <f>IF(BA56&gt;0,DP!$AP$44,0*1)</f>
        <v>0</v>
      </c>
      <c r="BM56" s="475">
        <f t="shared" si="54"/>
        <v>0</v>
      </c>
      <c r="BN56" s="102">
        <f>BA56*DP!$AO$45</f>
        <v>0</v>
      </c>
      <c r="BO56" s="102">
        <f>IF(BA56&gt;0,DP!$AP$45,0*1)</f>
        <v>0</v>
      </c>
      <c r="BP56" s="475">
        <f t="shared" si="55"/>
        <v>0</v>
      </c>
      <c r="BQ56" s="100"/>
      <c r="BR56" s="100"/>
      <c r="BS56" s="100"/>
      <c r="BT56" s="93">
        <f>IF(AW56=DP!$AN$15,AY56*(1+DP!$AO$15),IF(AW56=DP!$AN$16,AY56*(1+DP!$AO$16),IF(AW56=DP!$AN$17,AY56*(1+DP!$AO$17),IF(AW56=DP!$AN$18,AY56*(1+DP!$AO$18),0*1))))</f>
        <v>0</v>
      </c>
      <c r="BU56" s="102">
        <f>IF(AW56=DP!$AN$22,(DP!$AO$22),IF(AW56=DP!$AN$23,(DP!$AO$23),IF(AW56=DP!$AN$24,(DP!$AO$24),IF(AW56=DP!$AN$25,(DP!$AO$25),((0*1))))))</f>
        <v>0</v>
      </c>
      <c r="BV56" s="93">
        <f t="shared" si="56"/>
        <v>0</v>
      </c>
      <c r="BW56" s="93">
        <f>IF(AW56=DP!$AN$15,AY56*(1+DP!$AO$15),IF(AW56=DP!$AN$16,AY56*(1+DP!$AO$16),IF(AW56=DP!$AN$17,AY56*(1+DP!$AO$17),IF(AW56=DP!$AN$18,AY56*(1+DP!$AO$18),0*1))))</f>
        <v>0</v>
      </c>
      <c r="BX56" s="102">
        <f>IF(AW56=DP!$AN$22,(DP!$AP$22),IF(AW56=DP!$AN$23,(DP!$AP$23),IF(AW56=DP!$AN$24,(DP!$AP$24),IF(AW56=DP!$AN$25,(DP!$AP$25),((0*1))))))</f>
        <v>0</v>
      </c>
      <c r="BY56" s="93">
        <f t="shared" si="57"/>
        <v>0</v>
      </c>
      <c r="BZ56" s="93">
        <f>IF(AW56=DP!$AN$15,(AY56/DP!$AM$15)*(1+DP!$AO$15),IF(AW56=DP!$AN$16,(AY56/DP!$AM$16)*(1+DP!$AO$16),IF(AW56=DP!$AN$17,(AY56/DP!$AM$17)*(1+DP!$AO$17),IF(AW56=DP!$AN$18,(AY56/DP!$AM$18)*(1+DP!$AO$18),0*1))))</f>
        <v>0</v>
      </c>
      <c r="CA56" s="102">
        <f>IF(AW56=DP!$AN$22,(DP!$AQ$22),IF(AW56=DP!$AN$23,(DP!$AQ$23),IF(AW56=DP!$AN$24,(DP!$AQ$24),IF(AW56=DP!$AN$25,(DP!$AQ$25),((0*1))))))</f>
        <v>0</v>
      </c>
      <c r="CB56" s="93">
        <f t="shared" si="58"/>
        <v>0</v>
      </c>
      <c r="CC56" s="93">
        <f>IF(AW56=DP!$AN$15,AY56*(1+DP!$AO$15),IF(AW56=DP!$AN$16,AY56*(1+DP!$AO$16),IF(AW56=DP!$AN$17,AY56*(1+DP!$AO$17),IF(AW56=DP!$AN$18,AY56*(1+DP!$AO$18),0*1))))</f>
        <v>0</v>
      </c>
      <c r="CD56" s="102">
        <f>IF(AW56=DP!$AN$22,(DP!$AR$22),IF(AW56=DP!$AN$23,(DP!$AR$23),IF(AW56=DP!$AN$24,(DP!$AR$24),IF(AW56=DP!$AN$25,(DP!$AR$25),((0*1))))))</f>
        <v>0</v>
      </c>
      <c r="CE56" s="93">
        <f t="shared" si="59"/>
        <v>0</v>
      </c>
      <c r="CF56" s="100"/>
      <c r="CG56" s="148">
        <f t="shared" si="39"/>
        <v>0</v>
      </c>
      <c r="CH56" s="149">
        <f>DP!$N$35*BA56</f>
        <v>0</v>
      </c>
      <c r="CI56" s="149">
        <f>DP!$O$35*BA56</f>
        <v>0</v>
      </c>
      <c r="CJ56" s="149">
        <f>DP!$P$35*BA56</f>
        <v>0</v>
      </c>
    </row>
    <row r="57" spans="2:88" x14ac:dyDescent="0.35">
      <c r="B57" s="481">
        <f>DP!S30</f>
        <v>0</v>
      </c>
      <c r="C57" s="481">
        <f>DP!T30</f>
        <v>0</v>
      </c>
      <c r="D57" s="481">
        <f>DP!U30</f>
        <v>0</v>
      </c>
      <c r="E57" s="481">
        <f>DP!V30</f>
        <v>0</v>
      </c>
      <c r="F57" s="412">
        <f t="shared" si="40"/>
        <v>0</v>
      </c>
      <c r="G57" s="470">
        <f>DP!X30</f>
        <v>0</v>
      </c>
      <c r="H57" s="98">
        <f t="shared" si="41"/>
        <v>0</v>
      </c>
      <c r="I57" s="97"/>
      <c r="J57" s="102">
        <f t="shared" si="30"/>
        <v>0</v>
      </c>
      <c r="K57" s="98">
        <f t="shared" si="31"/>
        <v>0</v>
      </c>
      <c r="L57" s="93">
        <f t="shared" si="32"/>
        <v>0</v>
      </c>
      <c r="M57" s="99">
        <f t="shared" si="33"/>
        <v>0</v>
      </c>
      <c r="N57" s="100"/>
      <c r="O57" s="146">
        <f>($E57/DP!$M$29)*F57</f>
        <v>0</v>
      </c>
      <c r="P57" s="102">
        <f>IF(O57&gt;0,(DP!$M$31),0*1)</f>
        <v>0</v>
      </c>
      <c r="Q57" s="102">
        <f t="shared" si="60"/>
        <v>0</v>
      </c>
      <c r="R57" s="102">
        <f t="shared" si="43"/>
        <v>0</v>
      </c>
      <c r="S57" s="418">
        <f t="shared" si="44"/>
        <v>0</v>
      </c>
      <c r="T57" s="475">
        <f>H57*DP!$M$44</f>
        <v>0</v>
      </c>
      <c r="U57" s="475">
        <f>IF(H57&gt;0,DP!$N$44,0*1)</f>
        <v>0</v>
      </c>
      <c r="V57" s="475">
        <f t="shared" si="45"/>
        <v>0</v>
      </c>
      <c r="W57" s="475">
        <f>H57*DP!$M$45</f>
        <v>0</v>
      </c>
      <c r="X57" s="475">
        <f>IF(H57&gt;0,DP!$N$45,0*1)</f>
        <v>0</v>
      </c>
      <c r="Y57" s="475">
        <f t="shared" si="46"/>
        <v>0</v>
      </c>
      <c r="Z57" s="100"/>
      <c r="AA57" s="93">
        <f>IF(D57=DP!$L$15,F57*(1+DP!$M$15),IF(D57=DP!$L$16,F57*(1+DP!$M$16),IF(D57=DP!$L$17,F57*(1+DP!$M$17),IF(D57=DP!$L$18,F57*(1+DP!$M$18),0*1))))</f>
        <v>0</v>
      </c>
      <c r="AB57" s="102">
        <f>IF(D57=DP!$L$22,(DP!$M$22),IF(D57=DP!$L$23,(DP!$M$23),IF(D57=DP!$L$24,(DP!$M$24),IF(D57=DP!$L$25,(DP!$M$25),((0*1))))))</f>
        <v>0</v>
      </c>
      <c r="AC57" s="93">
        <f t="shared" si="47"/>
        <v>0</v>
      </c>
      <c r="AD57" s="93">
        <f>IF(D57=DP!$L$15,F57*(1+DP!$M$15),IF(D57=DP!$L$16,F57*(1+DP!$M$16),IF(D57=DP!$L$17,F57*(1+DP!$M$17),IF(D57=DP!$L$18,F57*(1+DP!$M$18),0*1))))</f>
        <v>0</v>
      </c>
      <c r="AE57" s="102">
        <f>IF(D57=DP!$L$22,(DP!$N$22),IF(D57=DP!$L$23,(DP!$N$23),IF(D57=DP!$L$24,(DP!$N$24),IF(D57=DP!$L$25,(DP!$N$25),((0*1))))))</f>
        <v>0</v>
      </c>
      <c r="AF57" s="93">
        <f t="shared" si="48"/>
        <v>0</v>
      </c>
      <c r="AG57" s="93">
        <f>IF(D57=DP!$L$15,(F57/DP!$K$15)*(1+DP!$M$15),IF(D57=DP!$L$16,(F57/DP!$K$16)*(1+DP!$M$16),IF(D57=DP!$L$17,(F57/DP!$K$17)*(1+DP!$M$17),IF(D57=DP!$L$18,(F57/DP!$K$18)*(1+DP!$M$18),0*1))))</f>
        <v>0</v>
      </c>
      <c r="AH57" s="102">
        <f>IF(D57=DP!$L$22,(DP!$O$22),IF(D57=DP!$L$23,(DP!$O$23),IF(D57=DP!$L$24,(DP!$O$24),IF(D57=DP!$L$25,(DP!$O$25),((0*1))))))</f>
        <v>0</v>
      </c>
      <c r="AI57" s="93">
        <f t="shared" si="49"/>
        <v>0</v>
      </c>
      <c r="AJ57" s="93">
        <f>IF(D57=DP!$L$15,F57*(1+DP!$M$15),IF(D57=DP!$L$16,F57*(1+DP!$M$16),IF(D57=DP!$L$17,F57*(1+DP!$M$17),IF(D57=DP!$L$18,F57*(1+DP!$M$18),0*1))))</f>
        <v>0</v>
      </c>
      <c r="AK57" s="102">
        <f>IF(D57=DP!$L$22,(DP!$P$22),IF(D57=DP!$L$23,(DP!$P$23),IF(D57=DP!$L$24,(DP!$P$24),IF(D57=DP!$L$25,(DP!$P$25),((0*1))))))</f>
        <v>0</v>
      </c>
      <c r="AL57" s="93">
        <f t="shared" si="50"/>
        <v>0</v>
      </c>
      <c r="AM57" s="100"/>
      <c r="AN57" s="149">
        <f t="shared" si="34"/>
        <v>0</v>
      </c>
      <c r="AO57" s="149">
        <f>DP!$N$35*H57</f>
        <v>0</v>
      </c>
      <c r="AP57" s="149">
        <f>DP!$O$35*H57</f>
        <v>0</v>
      </c>
      <c r="AQ57" s="149">
        <f>DP!$P$35*H57</f>
        <v>0</v>
      </c>
      <c r="AV57" s="412">
        <f>DP!AV30</f>
        <v>0</v>
      </c>
      <c r="AW57" s="412">
        <f>DP!AW30</f>
        <v>0</v>
      </c>
      <c r="AX57" s="412">
        <f>DP!AX30</f>
        <v>0</v>
      </c>
      <c r="AY57" s="412">
        <f t="shared" si="51"/>
        <v>0</v>
      </c>
      <c r="AZ57" s="470">
        <f>DP!AZ30</f>
        <v>0</v>
      </c>
      <c r="BA57" s="98">
        <f t="shared" si="52"/>
        <v>0</v>
      </c>
      <c r="BB57" s="97"/>
      <c r="BC57" s="102">
        <f t="shared" si="35"/>
        <v>0</v>
      </c>
      <c r="BD57" s="98">
        <f t="shared" si="36"/>
        <v>0</v>
      </c>
      <c r="BE57" s="93">
        <f t="shared" si="37"/>
        <v>0</v>
      </c>
      <c r="BF57" s="99">
        <f t="shared" si="38"/>
        <v>0</v>
      </c>
      <c r="BG57" s="100"/>
      <c r="BH57" s="102">
        <f>IFERROR((BA57*100%)/DP!$AO$29,(0*1))</f>
        <v>0</v>
      </c>
      <c r="BI57" s="102">
        <f>IF(BH57&gt;0,(DP!$AO$31),0*1)</f>
        <v>0</v>
      </c>
      <c r="BJ57" s="435">
        <f t="shared" si="53"/>
        <v>0</v>
      </c>
      <c r="BK57" s="475">
        <f>BA57*DP!$AO$44</f>
        <v>0</v>
      </c>
      <c r="BL57" s="475">
        <f>IF(BA57&gt;0,DP!$AP$44,0*1)</f>
        <v>0</v>
      </c>
      <c r="BM57" s="475">
        <f t="shared" si="54"/>
        <v>0</v>
      </c>
      <c r="BN57" s="102">
        <f>BA57*DP!$AO$45</f>
        <v>0</v>
      </c>
      <c r="BO57" s="102">
        <f>IF(BA57&gt;0,DP!$AP$45,0*1)</f>
        <v>0</v>
      </c>
      <c r="BP57" s="475">
        <f t="shared" si="55"/>
        <v>0</v>
      </c>
      <c r="BQ57" s="100"/>
      <c r="BR57" s="100"/>
      <c r="BS57" s="100"/>
      <c r="BT57" s="93">
        <f>IF(AW57=DP!$AN$15,AY57*(1+DP!$AO$15),IF(AW57=DP!$AN$16,AY57*(1+DP!$AO$16),IF(AW57=DP!$AN$17,AY57*(1+DP!$AO$17),IF(AW57=DP!$AN$18,AY57*(1+DP!$AO$18),0*1))))</f>
        <v>0</v>
      </c>
      <c r="BU57" s="102">
        <f>IF(AW57=DP!$AN$22,(DP!$AO$22),IF(AW57=DP!$AN$23,(DP!$AO$23),IF(AW57=DP!$AN$24,(DP!$AO$24),IF(AW57=DP!$AN$25,(DP!$AO$25),((0*1))))))</f>
        <v>0</v>
      </c>
      <c r="BV57" s="93">
        <f t="shared" si="56"/>
        <v>0</v>
      </c>
      <c r="BW57" s="93">
        <f>IF(AW57=DP!$AN$15,AY57*(1+DP!$AO$15),IF(AW57=DP!$AN$16,AY57*(1+DP!$AO$16),IF(AW57=DP!$AN$17,AY57*(1+DP!$AO$17),IF(AW57=DP!$AN$18,AY57*(1+DP!$AO$18),0*1))))</f>
        <v>0</v>
      </c>
      <c r="BX57" s="102">
        <f>IF(AW57=DP!$AN$22,(DP!$AP$22),IF(AW57=DP!$AN$23,(DP!$AP$23),IF(AW57=DP!$AN$24,(DP!$AP$24),IF(AW57=DP!$AN$25,(DP!$AP$25),((0*1))))))</f>
        <v>0</v>
      </c>
      <c r="BY57" s="93">
        <f>BW57*BX57</f>
        <v>0</v>
      </c>
      <c r="BZ57" s="93">
        <f>IF(AW57=DP!$AN$15,(AY57/DP!$AM$15)*(1+DP!$AO$15),IF(AW57=DP!$AN$16,(AY57/DP!$AM$16)*(1+DP!$AO$16),IF(AW57=DP!$AN$17,(AY57/DP!$AM$17)*(1+DP!$AO$17),IF(AW57=DP!$AN$18,(AY57/DP!$AM$18)*(1+DP!$AO$18),0*1))))</f>
        <v>0</v>
      </c>
      <c r="CA57" s="102">
        <f>IF(AW57=DP!$AN$22,(DP!$AQ$22),IF(AW57=DP!$AN$23,(DP!$AQ$23),IF(AW57=DP!$AN$24,(DP!$AQ$24),IF(AW57=DP!$AN$25,(DP!$AQ$25),((0*1))))))</f>
        <v>0</v>
      </c>
      <c r="CB57" s="93">
        <f t="shared" si="58"/>
        <v>0</v>
      </c>
      <c r="CC57" s="93">
        <f>IF(AW57=DP!$AN$15,AY57*(1+DP!$AO$15),IF(AW57=DP!$AN$16,AY57*(1+DP!$AO$16),IF(AW57=DP!$AN$17,AY57*(1+DP!$AO$17),IF(AW57=DP!$AN$18,AY57*(1+DP!$AO$18),0*1))))</f>
        <v>0</v>
      </c>
      <c r="CD57" s="102">
        <f>IF(AW57=DP!$AN$22,(DP!$AR$22),IF(AW57=DP!$AN$23,(DP!$AR$23),IF(AW57=DP!$AN$24,(DP!$AR$24),IF(AW57=DP!$AN$25,(DP!$AR$25),((0*1))))))</f>
        <v>0</v>
      </c>
      <c r="CE57" s="93">
        <f t="shared" si="59"/>
        <v>0</v>
      </c>
      <c r="CF57" s="100"/>
      <c r="CG57" s="148">
        <f t="shared" si="39"/>
        <v>0</v>
      </c>
      <c r="CH57" s="149">
        <f>DP!$N$35*BA57</f>
        <v>0</v>
      </c>
      <c r="CI57" s="149">
        <f>DP!$O$35*BA57</f>
        <v>0</v>
      </c>
      <c r="CJ57" s="149">
        <f>DP!$P$35*BA57</f>
        <v>0</v>
      </c>
    </row>
    <row r="58" spans="2:88" x14ac:dyDescent="0.35">
      <c r="B58" s="481">
        <f>DP!S31</f>
        <v>0</v>
      </c>
      <c r="C58" s="481">
        <f>DP!T31</f>
        <v>0</v>
      </c>
      <c r="D58" s="481">
        <f>DP!U31</f>
        <v>0</v>
      </c>
      <c r="E58" s="481">
        <f>DP!V31</f>
        <v>0</v>
      </c>
      <c r="F58" s="412">
        <f t="shared" si="40"/>
        <v>0</v>
      </c>
      <c r="G58" s="470">
        <f>DP!X31</f>
        <v>0</v>
      </c>
      <c r="H58" s="98">
        <f>$D$40*G58</f>
        <v>0</v>
      </c>
      <c r="I58" s="97"/>
      <c r="J58" s="102">
        <f t="shared" si="30"/>
        <v>0</v>
      </c>
      <c r="K58" s="98">
        <f t="shared" si="31"/>
        <v>0</v>
      </c>
      <c r="L58" s="93">
        <f t="shared" si="32"/>
        <v>0</v>
      </c>
      <c r="M58" s="99">
        <f t="shared" si="33"/>
        <v>0</v>
      </c>
      <c r="N58" s="100"/>
      <c r="O58" s="146">
        <f>($E58/DP!$M$29)*F58</f>
        <v>0</v>
      </c>
      <c r="P58" s="102">
        <f>IF(O58&gt;0,(DP!$M$31),0*1)</f>
        <v>0</v>
      </c>
      <c r="Q58" s="102">
        <f t="shared" si="60"/>
        <v>0</v>
      </c>
      <c r="R58" s="102">
        <f t="shared" si="43"/>
        <v>0</v>
      </c>
      <c r="S58" s="418">
        <f t="shared" si="44"/>
        <v>0</v>
      </c>
      <c r="T58" s="475">
        <f>H58*DP!$M$44</f>
        <v>0</v>
      </c>
      <c r="U58" s="475">
        <f>IF(H58&gt;0,DP!$N$44,0*1)</f>
        <v>0</v>
      </c>
      <c r="V58" s="475">
        <f t="shared" si="45"/>
        <v>0</v>
      </c>
      <c r="W58" s="475">
        <f>H58*DP!$M$45</f>
        <v>0</v>
      </c>
      <c r="X58" s="475">
        <f>IF(H58&gt;0,DP!$N$45,0*1)</f>
        <v>0</v>
      </c>
      <c r="Y58" s="475">
        <f t="shared" si="46"/>
        <v>0</v>
      </c>
      <c r="Z58" s="100"/>
      <c r="AA58" s="93">
        <f>IF(D58=DP!$L$15,F58*(1+DP!$M$15),IF(D58=DP!$L$16,F58*(1+DP!$M$16),IF(D58=DP!$L$17,F58*(1+DP!$M$17),IF(D58=DP!$L$18,F58*(1+DP!$M$18),0*1))))</f>
        <v>0</v>
      </c>
      <c r="AB58" s="102">
        <f>IF(D58=DP!$L$22,(DP!$M$22),IF(D58=DP!$L$23,(DP!$M$23),IF(D58=DP!$L$24,(DP!$M$24),IF(D58=DP!$L$25,(DP!$M$25),((0*1))))))</f>
        <v>0</v>
      </c>
      <c r="AC58" s="93">
        <f t="shared" si="47"/>
        <v>0</v>
      </c>
      <c r="AD58" s="93">
        <f>IF(D58=DP!$L$15,F58*(1+DP!$M$15),IF(D58=DP!$L$16,F58*(1+DP!$M$16),IF(D58=DP!$L$17,F58*(1+DP!$M$17),IF(D58=DP!$L$18,F58*(1+DP!$M$18),0*1))))</f>
        <v>0</v>
      </c>
      <c r="AE58" s="102">
        <f>IF(D58=DP!$L$22,(DP!$N$22),IF(D58=DP!$L$23,(DP!$N$23),IF(D58=DP!$L$24,(DP!$N$24),IF(D58=DP!$L$25,(DP!$N$25),((0*1))))))</f>
        <v>0</v>
      </c>
      <c r="AF58" s="93">
        <f t="shared" si="48"/>
        <v>0</v>
      </c>
      <c r="AG58" s="93">
        <f>IF(D58=DP!$L$15,(F58/DP!$K$15)*(1+DP!$M$15),IF(D58=DP!$L$16,(F58/DP!$K$16)*(1+DP!$M$16),IF(D58=DP!$L$17,(F58/DP!$K$17)*(1+DP!$M$17),IF(D58=DP!$L$18,(F58/DP!$K$18)*(1+DP!$M$18),0*1))))</f>
        <v>0</v>
      </c>
      <c r="AH58" s="102">
        <f>IF(D58=DP!$L$22,(DP!$O$22),IF(D58=DP!$L$23,(DP!$O$23),IF(D58=DP!$L$24,(DP!$O$24),IF(D58=DP!$L$25,(DP!$O$25),((0*1))))))</f>
        <v>0</v>
      </c>
      <c r="AI58" s="93">
        <f t="shared" si="49"/>
        <v>0</v>
      </c>
      <c r="AJ58" s="93">
        <f>IF(D58=DP!$L$15,F58*(1+DP!$M$15),IF(D58=DP!$L$16,F58*(1+DP!$M$16),IF(D58=DP!$L$17,F58*(1+DP!$M$17),IF(D58=DP!$L$18,F58*(1+DP!$M$18),0*1))))</f>
        <v>0</v>
      </c>
      <c r="AK58" s="102">
        <f>IF(D58=DP!$L$22,(DP!$P$22),IF(D58=DP!$L$23,(DP!$P$23),IF(D58=DP!$L$24,(DP!$P$24),IF(D58=DP!$L$25,(DP!$P$25),((0*1))))))</f>
        <v>0</v>
      </c>
      <c r="AL58" s="93">
        <f t="shared" si="50"/>
        <v>0</v>
      </c>
      <c r="AM58" s="100"/>
      <c r="AN58" s="149">
        <f t="shared" si="34"/>
        <v>0</v>
      </c>
      <c r="AO58" s="149">
        <f>DP!$N$35*H58</f>
        <v>0</v>
      </c>
      <c r="AP58" s="149">
        <f>DP!$O$35*H58</f>
        <v>0</v>
      </c>
      <c r="AQ58" s="149">
        <f>DP!$P$35*H58</f>
        <v>0</v>
      </c>
      <c r="AV58" s="412">
        <f>DP!AV31</f>
        <v>0</v>
      </c>
      <c r="AW58" s="412">
        <f>DP!AW31</f>
        <v>0</v>
      </c>
      <c r="AX58" s="412">
        <f>DP!AX31</f>
        <v>0</v>
      </c>
      <c r="AY58" s="412">
        <f t="shared" si="51"/>
        <v>0</v>
      </c>
      <c r="AZ58" s="470">
        <f>DP!AZ31</f>
        <v>0</v>
      </c>
      <c r="BA58" s="98">
        <f t="shared" si="52"/>
        <v>0</v>
      </c>
      <c r="BB58" s="97"/>
      <c r="BC58" s="102">
        <f t="shared" si="35"/>
        <v>0</v>
      </c>
      <c r="BD58" s="98">
        <f t="shared" si="36"/>
        <v>0</v>
      </c>
      <c r="BE58" s="93">
        <f t="shared" si="37"/>
        <v>0</v>
      </c>
      <c r="BF58" s="99">
        <f t="shared" si="38"/>
        <v>0</v>
      </c>
      <c r="BG58" s="100"/>
      <c r="BH58" s="102">
        <f>IFERROR((BA58*100%)/DP!$AO$29,(0*1))</f>
        <v>0</v>
      </c>
      <c r="BI58" s="102">
        <f>IF(BH58&gt;0,(DP!$AO$31),0*1)</f>
        <v>0</v>
      </c>
      <c r="BJ58" s="435">
        <f t="shared" si="53"/>
        <v>0</v>
      </c>
      <c r="BK58" s="475">
        <f>BA58*DP!$AO$44</f>
        <v>0</v>
      </c>
      <c r="BL58" s="475">
        <f>IF(BA58&gt;0,DP!$AP$44,0*1)</f>
        <v>0</v>
      </c>
      <c r="BM58" s="475">
        <f t="shared" si="54"/>
        <v>0</v>
      </c>
      <c r="BN58" s="102">
        <f>BA58*DP!$AO$45</f>
        <v>0</v>
      </c>
      <c r="BO58" s="102">
        <f>IF(BA58&gt;0,DP!$AP$45,0*1)</f>
        <v>0</v>
      </c>
      <c r="BP58" s="475">
        <f t="shared" si="55"/>
        <v>0</v>
      </c>
      <c r="BQ58" s="100"/>
      <c r="BR58" s="100"/>
      <c r="BS58" s="100"/>
      <c r="BT58" s="93">
        <f>IF(AW58=DP!$AN$15,AY58*(1+DP!$AO$15),IF(AW58=DP!$AN$16,AY58*(1+DP!$AO$16),IF(AW58=DP!$AN$17,AY58*(1+DP!$AO$17),IF(AW58=DP!$AN$18,AY58*(1+DP!$AO$18),0*1))))</f>
        <v>0</v>
      </c>
      <c r="BU58" s="102">
        <f>IF(AW58=DP!$AN$22,(DP!$AO$22),IF(AW58=DP!$AN$23,(DP!$AO$23),IF(AW58=DP!$AN$24,(DP!$AO$24),IF(AW58=DP!$AN$25,(DP!$AO$25),((0*1))))))</f>
        <v>0</v>
      </c>
      <c r="BV58" s="93">
        <f t="shared" si="56"/>
        <v>0</v>
      </c>
      <c r="BW58" s="93">
        <f>IF(AW58=DP!$AN$15,AY58*(1+DP!$AO$15),IF(AW58=DP!$AN$16,AY58*(1+DP!$AO$16),IF(AW58=DP!$AN$17,AY58*(1+DP!$AO$17),IF(AW58=DP!$AN$18,AY58*(1+DP!$AO$18),0*1))))</f>
        <v>0</v>
      </c>
      <c r="BX58" s="102">
        <f>IF(AW58=DP!$AN$22,(DP!$AP$22),IF(AW58=DP!$AN$23,(DP!$AP$23),IF(AW58=DP!$AN$24,(DP!$AP$24),IF(AW58=DP!$AN$25,(DP!$AP$25),((0*1))))))</f>
        <v>0</v>
      </c>
      <c r="BY58" s="93">
        <f t="shared" ref="BY58:BY63" si="61">BW58*BX58</f>
        <v>0</v>
      </c>
      <c r="BZ58" s="93">
        <f>IF(AW58=DP!$AN$15,(AY58/DP!$AM$15)*(1+DP!$AO$15),IF(AW58=DP!$AN$16,(AY58/DP!$AM$16)*(1+DP!$AO$16),IF(AW58=DP!$AN$17,(AY58/DP!$AM$17)*(1+DP!$AO$17),IF(AW58=DP!$AN$18,(AY58/DP!$AM$18)*(1+DP!$AO$18),0*1))))</f>
        <v>0</v>
      </c>
      <c r="CA58" s="102">
        <f>IF(AW58=DP!$AN$22,(DP!$AQ$22),IF(AW58=DP!$AN$23,(DP!$AQ$23),IF(AW58=DP!$AN$24,(DP!$AQ$24),IF(AW58=DP!$AN$25,(DP!$AQ$25),((0*1))))))</f>
        <v>0</v>
      </c>
      <c r="CB58" s="93">
        <f t="shared" si="58"/>
        <v>0</v>
      </c>
      <c r="CC58" s="93">
        <f>IF(AW58=DP!$AN$15,AY58*(1+DP!$AO$15),IF(AW58=DP!$AN$16,AY58*(1+DP!$AO$16),IF(AW58=DP!$AN$17,AY58*(1+DP!$AO$17),IF(AW58=DP!$AN$18,AY58*(1+DP!$AO$18),0*1))))</f>
        <v>0</v>
      </c>
      <c r="CD58" s="102">
        <f>IF(AW58=DP!$AN$22,(DP!$AR$22),IF(AW58=DP!$AN$23,(DP!$AR$23),IF(AW58=DP!$AN$24,(DP!$AR$24),IF(AW58=DP!$AN$25,(DP!$AR$25),((0*1))))))</f>
        <v>0</v>
      </c>
      <c r="CE58" s="93">
        <f t="shared" si="59"/>
        <v>0</v>
      </c>
      <c r="CF58" s="100"/>
      <c r="CG58" s="148">
        <f t="shared" si="39"/>
        <v>0</v>
      </c>
      <c r="CH58" s="149">
        <f>DP!$N$35*BA58</f>
        <v>0</v>
      </c>
      <c r="CI58" s="149">
        <f>DP!$O$35*BA58</f>
        <v>0</v>
      </c>
      <c r="CJ58" s="149">
        <f>DP!$P$35*BA58</f>
        <v>0</v>
      </c>
    </row>
    <row r="59" spans="2:88" x14ac:dyDescent="0.35">
      <c r="B59" s="481">
        <f>DP!S32</f>
        <v>0</v>
      </c>
      <c r="C59" s="481">
        <f>DP!T32</f>
        <v>0</v>
      </c>
      <c r="D59" s="481">
        <f>DP!U32</f>
        <v>0</v>
      </c>
      <c r="E59" s="481">
        <f>DP!V32</f>
        <v>0</v>
      </c>
      <c r="F59" s="412">
        <f t="shared" si="40"/>
        <v>0</v>
      </c>
      <c r="G59" s="470">
        <f>DP!X32</f>
        <v>0</v>
      </c>
      <c r="H59" s="98">
        <f t="shared" si="41"/>
        <v>0</v>
      </c>
      <c r="I59" s="97"/>
      <c r="J59" s="102">
        <f t="shared" si="30"/>
        <v>0</v>
      </c>
      <c r="K59" s="98">
        <f t="shared" si="31"/>
        <v>0</v>
      </c>
      <c r="L59" s="93">
        <f t="shared" si="32"/>
        <v>0</v>
      </c>
      <c r="M59" s="99">
        <f t="shared" si="33"/>
        <v>0</v>
      </c>
      <c r="N59" s="100"/>
      <c r="O59" s="146">
        <f>($E59/DP!$M$29)*F59</f>
        <v>0</v>
      </c>
      <c r="P59" s="102">
        <f>IF(O59&gt;0,(DP!$M$31),0*1)</f>
        <v>0</v>
      </c>
      <c r="Q59" s="102">
        <f t="shared" si="60"/>
        <v>0</v>
      </c>
      <c r="R59" s="102">
        <f t="shared" si="43"/>
        <v>0</v>
      </c>
      <c r="S59" s="418">
        <f t="shared" si="44"/>
        <v>0</v>
      </c>
      <c r="T59" s="475">
        <f>H59*DP!$M$44</f>
        <v>0</v>
      </c>
      <c r="U59" s="475">
        <f>IF(H59&gt;0,DP!$N$44,0*1)</f>
        <v>0</v>
      </c>
      <c r="V59" s="475">
        <f t="shared" si="45"/>
        <v>0</v>
      </c>
      <c r="W59" s="475">
        <f>H59*DP!$M$45</f>
        <v>0</v>
      </c>
      <c r="X59" s="475">
        <f>IF(H59&gt;0,DP!$N$45,0*1)</f>
        <v>0</v>
      </c>
      <c r="Y59" s="475">
        <f t="shared" si="46"/>
        <v>0</v>
      </c>
      <c r="Z59" s="100"/>
      <c r="AA59" s="93">
        <f>IF(D59=DP!$L$15,F59*(1+DP!$M$15),IF(D59=DP!$L$16,F59*(1+DP!$M$16),IF(D59=DP!$L$17,F59*(1+DP!$M$17),IF(D59=DP!$L$18,F59*(1+DP!$M$18),0*1))))</f>
        <v>0</v>
      </c>
      <c r="AB59" s="102">
        <f>IF(D59=DP!$L$22,(DP!$M$22),IF(D59=DP!$L$23,(DP!$M$23),IF(D59=DP!$L$24,(DP!$M$24),IF(D59=DP!$L$25,(DP!$M$25),((0*1))))))</f>
        <v>0</v>
      </c>
      <c r="AC59" s="93">
        <f t="shared" si="47"/>
        <v>0</v>
      </c>
      <c r="AD59" s="93">
        <f>IF(D59=DP!$L$15,F59*(1+DP!$M$15),IF(D59=DP!$L$16,F59*(1+DP!$M$16),IF(D59=DP!$L$17,F59*(1+DP!$M$17),IF(D59=DP!$L$18,F59*(1+DP!$M$18),0*1))))</f>
        <v>0</v>
      </c>
      <c r="AE59" s="102">
        <f>IF(D59=DP!$L$22,(DP!$N$22),IF(D59=DP!$L$23,(DP!$N$23),IF(D59=DP!$L$24,(DP!$N$24),IF(D59=DP!$L$25,(DP!$N$25),((0*1))))))</f>
        <v>0</v>
      </c>
      <c r="AF59" s="93">
        <f t="shared" si="48"/>
        <v>0</v>
      </c>
      <c r="AG59" s="93">
        <f>IF(D59=DP!$L$15,(F59/DP!$K$15)*(1+DP!$M$15),IF(D59=DP!$L$16,(F59/DP!$K$16)*(1+DP!$M$16),IF(D59=DP!$L$17,(F59/DP!$K$17)*(1+DP!$M$17),IF(D59=DP!$L$18,(F59/DP!$K$18)*(1+DP!$M$18),0*1))))</f>
        <v>0</v>
      </c>
      <c r="AH59" s="102">
        <f>IF(D59=DP!$L$22,(DP!$O$22),IF(D59=DP!$L$23,(DP!$O$23),IF(D59=DP!$L$24,(DP!$O$24),IF(D59=DP!$L$25,(DP!$O$25),((0*1))))))</f>
        <v>0</v>
      </c>
      <c r="AI59" s="93">
        <f t="shared" si="49"/>
        <v>0</v>
      </c>
      <c r="AJ59" s="93">
        <f>IF(D59=DP!$L$15,F59*(1+DP!$M$15),IF(D59=DP!$L$16,F59*(1+DP!$M$16),IF(D59=DP!$L$17,F59*(1+DP!$M$17),IF(D59=DP!$L$18,F59*(1+DP!$M$18),0*1))))</f>
        <v>0</v>
      </c>
      <c r="AK59" s="102">
        <f>IF(D59=DP!$L$22,(DP!$P$22),IF(D59=DP!$L$23,(DP!$P$23),IF(D59=DP!$L$24,(DP!$P$24),IF(D59=DP!$L$25,(DP!$P$25),((0*1))))))</f>
        <v>0</v>
      </c>
      <c r="AL59" s="93">
        <f t="shared" si="50"/>
        <v>0</v>
      </c>
      <c r="AM59" s="100"/>
      <c r="AN59" s="149">
        <f t="shared" si="34"/>
        <v>0</v>
      </c>
      <c r="AO59" s="149">
        <f>DP!$N$35*H59</f>
        <v>0</v>
      </c>
      <c r="AP59" s="149">
        <f>DP!$O$35*H59</f>
        <v>0</v>
      </c>
      <c r="AQ59" s="149">
        <f>DP!$P$35*H59</f>
        <v>0</v>
      </c>
      <c r="AV59" s="412">
        <f>DP!AV32</f>
        <v>0</v>
      </c>
      <c r="AW59" s="412">
        <f>DP!AW32</f>
        <v>0</v>
      </c>
      <c r="AX59" s="412">
        <f>DP!AX32</f>
        <v>0</v>
      </c>
      <c r="AY59" s="412">
        <f t="shared" si="51"/>
        <v>0</v>
      </c>
      <c r="AZ59" s="470">
        <f>DP!AZ32</f>
        <v>0</v>
      </c>
      <c r="BA59" s="98">
        <f t="shared" si="52"/>
        <v>0</v>
      </c>
      <c r="BB59" s="97"/>
      <c r="BC59" s="102">
        <f t="shared" si="35"/>
        <v>0</v>
      </c>
      <c r="BD59" s="98">
        <f t="shared" si="36"/>
        <v>0</v>
      </c>
      <c r="BE59" s="93">
        <f t="shared" si="37"/>
        <v>0</v>
      </c>
      <c r="BF59" s="99">
        <f t="shared" si="38"/>
        <v>0</v>
      </c>
      <c r="BG59" s="100"/>
      <c r="BH59" s="102">
        <f>IFERROR((BA59*100%)/DP!$AO$29,(0*1))</f>
        <v>0</v>
      </c>
      <c r="BI59" s="102">
        <f>IF(BH59&gt;0,(DP!$AO$31),0*1)</f>
        <v>0</v>
      </c>
      <c r="BJ59" s="435">
        <f t="shared" si="53"/>
        <v>0</v>
      </c>
      <c r="BK59" s="475">
        <f>BA59*DP!$AO$44</f>
        <v>0</v>
      </c>
      <c r="BL59" s="475">
        <f>IF(BA59&gt;0,DP!$AP$44,0*1)</f>
        <v>0</v>
      </c>
      <c r="BM59" s="475">
        <f t="shared" si="54"/>
        <v>0</v>
      </c>
      <c r="BN59" s="102">
        <f>BA59*DP!$AO$45</f>
        <v>0</v>
      </c>
      <c r="BO59" s="102">
        <f>IF(BA59&gt;0,DP!$AP$45,0*1)</f>
        <v>0</v>
      </c>
      <c r="BP59" s="475">
        <f t="shared" si="55"/>
        <v>0</v>
      </c>
      <c r="BQ59" s="100"/>
      <c r="BR59" s="100"/>
      <c r="BS59" s="100"/>
      <c r="BT59" s="93">
        <f>IF(AW59=DP!$AN$15,AY59*(1+DP!$AO$15),IF(AW59=DP!$AN$16,AY59*(1+DP!$AO$16),IF(AW59=DP!$AN$17,AY59*(1+DP!$AO$17),IF(AW59=DP!$AN$18,AY59*(1+DP!$AO$18),0*1))))</f>
        <v>0</v>
      </c>
      <c r="BU59" s="102">
        <f>IF(AW59=DP!$AN$22,(DP!$AO$22),IF(AW59=DP!$AN$23,(DP!$AO$23),IF(AW59=DP!$AN$24,(DP!$AO$24),IF(AW59=DP!$AN$25,(DP!$AO$25),((0*1))))))</f>
        <v>0</v>
      </c>
      <c r="BV59" s="93">
        <f t="shared" si="56"/>
        <v>0</v>
      </c>
      <c r="BW59" s="93">
        <f>IF(AW59=DP!$AN$15,AY59*(1+DP!$AO$15),IF(AW59=DP!$AN$16,AY59*(1+DP!$AO$16),IF(AW59=DP!$AN$17,AY59*(1+DP!$AO$17),IF(AW59=DP!$AN$18,AY59*(1+DP!$AO$18),0*1))))</f>
        <v>0</v>
      </c>
      <c r="BX59" s="102">
        <f>IF(AW59=DP!$AN$22,(DP!$AP$22),IF(AW59=DP!$AN$23,(DP!$AP$23),IF(AW59=DP!$AN$24,(DP!$AP$24),IF(AW59=DP!$AN$25,(DP!$AP$25),((0*1))))))</f>
        <v>0</v>
      </c>
      <c r="BY59" s="93">
        <f t="shared" si="61"/>
        <v>0</v>
      </c>
      <c r="BZ59" s="93">
        <f>IF(AW59=DP!$AN$15,(AY59/DP!$AM$15)*(1+DP!$AO$15),IF(AW59=DP!$AN$16,(AY59/DP!$AM$16)*(1+DP!$AO$16),IF(AW59=DP!$AN$17,(AY59/DP!$AM$17)*(1+DP!$AO$17),IF(AW59=DP!$AN$18,(AY59/DP!$AM$18)*(1+DP!$AO$18),0*1))))</f>
        <v>0</v>
      </c>
      <c r="CA59" s="102">
        <f>IF(AW59=DP!$AN$22,(DP!$AQ$22),IF(AW59=DP!$AN$23,(DP!$AQ$23),IF(AW59=DP!$AN$24,(DP!$AQ$24),IF(AW59=DP!$AN$25,(DP!$AQ$25),((0*1))))))</f>
        <v>0</v>
      </c>
      <c r="CB59" s="93">
        <f t="shared" si="58"/>
        <v>0</v>
      </c>
      <c r="CC59" s="93">
        <f>IF(AW59=DP!$AN$15,AY59*(1+DP!$AO$15),IF(AW59=DP!$AN$16,AY59*(1+DP!$AO$16),IF(AW59=DP!$AN$17,AY59*(1+DP!$AO$17),IF(AW59=DP!$AN$18,AY59*(1+DP!$AO$18),0*1))))</f>
        <v>0</v>
      </c>
      <c r="CD59" s="102">
        <f>IF(AW59=DP!$AN$22,(DP!$AR$22),IF(AW59=DP!$AN$23,(DP!$AR$23),IF(AW59=DP!$AN$24,(DP!$AR$24),IF(AW59=DP!$AN$25,(DP!$AR$25),((0*1))))))</f>
        <v>0</v>
      </c>
      <c r="CE59" s="93">
        <f t="shared" si="59"/>
        <v>0</v>
      </c>
      <c r="CF59" s="100"/>
      <c r="CG59" s="148">
        <f t="shared" si="39"/>
        <v>0</v>
      </c>
      <c r="CH59" s="149">
        <f>DP!$N$35*BA59</f>
        <v>0</v>
      </c>
      <c r="CI59" s="149">
        <f>DP!$O$35*BA59</f>
        <v>0</v>
      </c>
      <c r="CJ59" s="149">
        <f>DP!$P$35*BA59</f>
        <v>0</v>
      </c>
    </row>
    <row r="60" spans="2:88" x14ac:dyDescent="0.35">
      <c r="B60" s="481">
        <f>DP!S33</f>
        <v>0</v>
      </c>
      <c r="C60" s="481">
        <f>DP!T33</f>
        <v>0</v>
      </c>
      <c r="D60" s="481">
        <f>DP!U33</f>
        <v>0</v>
      </c>
      <c r="E60" s="481">
        <f>DP!V33</f>
        <v>0</v>
      </c>
      <c r="F60" s="412">
        <f t="shared" si="40"/>
        <v>0</v>
      </c>
      <c r="G60" s="470">
        <f>DP!X33</f>
        <v>0</v>
      </c>
      <c r="H60" s="98">
        <f t="shared" si="41"/>
        <v>0</v>
      </c>
      <c r="I60" s="97"/>
      <c r="J60" s="102">
        <f t="shared" si="30"/>
        <v>0</v>
      </c>
      <c r="K60" s="98">
        <f t="shared" si="31"/>
        <v>0</v>
      </c>
      <c r="L60" s="93">
        <f t="shared" si="32"/>
        <v>0</v>
      </c>
      <c r="M60" s="99">
        <f t="shared" si="33"/>
        <v>0</v>
      </c>
      <c r="N60" s="100"/>
      <c r="O60" s="146">
        <f>($E60/DP!$M$29)*F60</f>
        <v>0</v>
      </c>
      <c r="P60" s="102">
        <f>IF(O60&gt;0,(DP!$M$31),0*1)</f>
        <v>0</v>
      </c>
      <c r="Q60" s="102">
        <f t="shared" si="60"/>
        <v>0</v>
      </c>
      <c r="R60" s="102">
        <f t="shared" si="43"/>
        <v>0</v>
      </c>
      <c r="S60" s="418">
        <f t="shared" si="44"/>
        <v>0</v>
      </c>
      <c r="T60" s="475">
        <f>H60*DP!$M$44</f>
        <v>0</v>
      </c>
      <c r="U60" s="475">
        <f>IF(H60&gt;0,DP!$N$44,0*1)</f>
        <v>0</v>
      </c>
      <c r="V60" s="475">
        <f t="shared" si="45"/>
        <v>0</v>
      </c>
      <c r="W60" s="475">
        <f>H60*DP!$M$45</f>
        <v>0</v>
      </c>
      <c r="X60" s="475">
        <f>IF(H60&gt;0,DP!$N$45,0*1)</f>
        <v>0</v>
      </c>
      <c r="Y60" s="475">
        <f t="shared" si="46"/>
        <v>0</v>
      </c>
      <c r="Z60" s="100"/>
      <c r="AA60" s="93">
        <f>IF(D60=DP!$L$15,F60*(1+DP!$M$15),IF(D60=DP!$L$16,F60*(1+DP!$M$16),IF(D60=DP!$L$17,F60*(1+DP!$M$17),IF(D60=DP!$L$18,F60*(1+DP!$M$18),0*1))))</f>
        <v>0</v>
      </c>
      <c r="AB60" s="102">
        <f>IF(D60=DP!$L$22,(DP!$M$22),IF(D60=DP!$L$23,(DP!$M$23),IF(D60=DP!$L$24,(DP!$M$24),IF(D60=DP!$L$25,(DP!$M$25),((0*1))))))</f>
        <v>0</v>
      </c>
      <c r="AC60" s="93">
        <f t="shared" si="47"/>
        <v>0</v>
      </c>
      <c r="AD60" s="93">
        <f>IF(D60=DP!$L$15,F60*(1+DP!$M$15),IF(D60=DP!$L$16,F60*(1+DP!$M$16),IF(D60=DP!$L$17,F60*(1+DP!$M$17),IF(D60=DP!$L$18,F60*(1+DP!$M$18),0*1))))</f>
        <v>0</v>
      </c>
      <c r="AE60" s="102">
        <f>IF(D60=DP!$L$22,(DP!$N$22),IF(D60=DP!$L$23,(DP!$N$23),IF(D60=DP!$L$24,(DP!$N$24),IF(D60=DP!$L$25,(DP!$N$25),((0*1))))))</f>
        <v>0</v>
      </c>
      <c r="AF60" s="93">
        <f t="shared" si="48"/>
        <v>0</v>
      </c>
      <c r="AG60" s="93">
        <f>IF(D60=DP!$L$15,(F60/DP!$K$15)*(1+DP!$M$15),IF(D60=DP!$L$16,(F60/DP!$K$16)*(1+DP!$M$16),IF(D60=DP!$L$17,(F60/DP!$K$17)*(1+DP!$M$17),IF(D60=DP!$L$18,(F60/DP!$K$18)*(1+DP!$M$18),0*1))))</f>
        <v>0</v>
      </c>
      <c r="AH60" s="102">
        <f>IF(D60=DP!$L$22,(DP!$O$22),IF(D60=DP!$L$23,(DP!$O$23),IF(D60=DP!$L$24,(DP!$O$24),IF(D60=DP!$L$25,(DP!$O$25),((0*1))))))</f>
        <v>0</v>
      </c>
      <c r="AI60" s="93">
        <f t="shared" si="49"/>
        <v>0</v>
      </c>
      <c r="AJ60" s="93">
        <f>IF(D60=DP!$L$15,F60*(1+DP!$M$15),IF(D60=DP!$L$16,F60*(1+DP!$M$16),IF(D60=DP!$L$17,F60*(1+DP!$M$17),IF(D60=DP!$L$18,F60*(1+DP!$M$18),0*1))))</f>
        <v>0</v>
      </c>
      <c r="AK60" s="102">
        <f>IF(D60=DP!$L$22,(DP!$P$22),IF(D60=DP!$L$23,(DP!$P$23),IF(D60=DP!$L$24,(DP!$P$24),IF(D60=DP!$L$25,(DP!$P$25),((0*1))))))</f>
        <v>0</v>
      </c>
      <c r="AL60" s="93">
        <f t="shared" si="50"/>
        <v>0</v>
      </c>
      <c r="AM60" s="100"/>
      <c r="AN60" s="149">
        <f t="shared" si="34"/>
        <v>0</v>
      </c>
      <c r="AO60" s="149">
        <f>DP!$N$35*H60</f>
        <v>0</v>
      </c>
      <c r="AP60" s="149">
        <f>DP!$O$35*H60</f>
        <v>0</v>
      </c>
      <c r="AQ60" s="149">
        <f>DP!$P$35*H60</f>
        <v>0</v>
      </c>
      <c r="AV60" s="412">
        <f>DP!AV33</f>
        <v>0</v>
      </c>
      <c r="AW60" s="412">
        <f>DP!AW33</f>
        <v>0</v>
      </c>
      <c r="AX60" s="412">
        <f>DP!AX33</f>
        <v>0</v>
      </c>
      <c r="AY60" s="412">
        <f t="shared" si="51"/>
        <v>0</v>
      </c>
      <c r="AZ60" s="470">
        <f>DP!AZ33</f>
        <v>0</v>
      </c>
      <c r="BA60" s="98">
        <f t="shared" si="52"/>
        <v>0</v>
      </c>
      <c r="BB60" s="97"/>
      <c r="BC60" s="102">
        <f t="shared" si="35"/>
        <v>0</v>
      </c>
      <c r="BD60" s="98">
        <f t="shared" si="36"/>
        <v>0</v>
      </c>
      <c r="BE60" s="93">
        <f t="shared" si="37"/>
        <v>0</v>
      </c>
      <c r="BF60" s="99">
        <f t="shared" si="38"/>
        <v>0</v>
      </c>
      <c r="BG60" s="100"/>
      <c r="BH60" s="102">
        <f>IFERROR((BA60*100%)/DP!$AO$29,(0*1))</f>
        <v>0</v>
      </c>
      <c r="BI60" s="102">
        <f>IF(BH60&gt;0,(DP!$AO$31),0*1)</f>
        <v>0</v>
      </c>
      <c r="BJ60" s="435">
        <f t="shared" si="53"/>
        <v>0</v>
      </c>
      <c r="BK60" s="475">
        <f>BA60*DP!$AO$44</f>
        <v>0</v>
      </c>
      <c r="BL60" s="475">
        <f>IF(BA60&gt;0,DP!$AP$44,0*1)</f>
        <v>0</v>
      </c>
      <c r="BM60" s="475">
        <f t="shared" si="54"/>
        <v>0</v>
      </c>
      <c r="BN60" s="102">
        <f>BA60*DP!$AO$45</f>
        <v>0</v>
      </c>
      <c r="BO60" s="102">
        <f>IF(BA60&gt;0,DP!$AP$45,0*1)</f>
        <v>0</v>
      </c>
      <c r="BP60" s="475">
        <f t="shared" si="55"/>
        <v>0</v>
      </c>
      <c r="BQ60" s="100"/>
      <c r="BR60" s="100"/>
      <c r="BS60" s="100"/>
      <c r="BT60" s="93">
        <f>IF(AW60=DP!$AN$15,AY60*(1+DP!$AO$15),IF(AW60=DP!$AN$16,AY60*(1+DP!$AO$16),IF(AW60=DP!$AN$17,AY60*(1+DP!$AO$17),IF(AW60=DP!$AN$18,AY60*(1+DP!$AO$18),0*1))))</f>
        <v>0</v>
      </c>
      <c r="BU60" s="102">
        <f>IF(AW60=DP!$AN$22,(DP!$AO$22),IF(AW60=DP!$AN$23,(DP!$AO$23),IF(AW60=DP!$AN$24,(DP!$AO$24),IF(AW60=DP!$AN$25,(DP!$AO$25),((0*1))))))</f>
        <v>0</v>
      </c>
      <c r="BV60" s="93">
        <f t="shared" si="56"/>
        <v>0</v>
      </c>
      <c r="BW60" s="93">
        <f>IF(AW60=DP!$AN$15,AY60*(1+DP!$AO$15),IF(AW60=DP!$AN$16,AY60*(1+DP!$AO$16),IF(AW60=DP!$AN$17,AY60*(1+DP!$AO$17),IF(AW60=DP!$AN$18,AY60*(1+DP!$AO$18),0*1))))</f>
        <v>0</v>
      </c>
      <c r="BX60" s="102">
        <f>IF(AW60=DP!$AN$22,(DP!$AP$22),IF(AW60=DP!$AN$23,(DP!$AP$23),IF(AW60=DP!$AN$24,(DP!$AP$24),IF(AW60=DP!$AN$25,(DP!$AP$25),((0*1))))))</f>
        <v>0</v>
      </c>
      <c r="BY60" s="93">
        <f t="shared" si="61"/>
        <v>0</v>
      </c>
      <c r="BZ60" s="93">
        <f>IF(AW60=DP!$AN$15,(AY60/DP!$AM$15)*(1+DP!$AO$15),IF(AW60=DP!$AN$16,(AY60/DP!$AM$16)*(1+DP!$AO$16),IF(AW60=DP!$AN$17,(AY60/DP!$AM$17)*(1+DP!$AO$17),IF(AW60=DP!$AN$18,(AY60/DP!$AM$18)*(1+DP!$AO$18),0*1))))</f>
        <v>0</v>
      </c>
      <c r="CA60" s="102">
        <f>IF(AW60=DP!$AN$22,(DP!$AQ$22),IF(AW60=DP!$AN$23,(DP!$AQ$23),IF(AW60=DP!$AN$24,(DP!$AQ$24),IF(AW60=DP!$AN$25,(DP!$AQ$25),((0*1))))))</f>
        <v>0</v>
      </c>
      <c r="CB60" s="93">
        <f t="shared" si="58"/>
        <v>0</v>
      </c>
      <c r="CC60" s="93">
        <f>IF(AW60=DP!$AN$15,AY60*(1+DP!$AO$15),IF(AW60=DP!$AN$16,AY60*(1+DP!$AO$16),IF(AW60=DP!$AN$17,AY60*(1+DP!$AO$17),IF(AW60=DP!$AN$18,AY60*(1+DP!$AO$18),0*1))))</f>
        <v>0</v>
      </c>
      <c r="CD60" s="102">
        <f>IF(AW60=DP!$AN$22,(DP!$AR$22),IF(AW60=DP!$AN$23,(DP!$AR$23),IF(AW60=DP!$AN$24,(DP!$AR$24),IF(AW60=DP!$AN$25,(DP!$AR$25),((0*1))))))</f>
        <v>0</v>
      </c>
      <c r="CE60" s="93">
        <f t="shared" si="59"/>
        <v>0</v>
      </c>
      <c r="CF60" s="100"/>
      <c r="CG60" s="148">
        <f t="shared" si="39"/>
        <v>0</v>
      </c>
      <c r="CH60" s="149">
        <f>DP!$N$35*BA60</f>
        <v>0</v>
      </c>
      <c r="CI60" s="149">
        <f>DP!$O$35*BA60</f>
        <v>0</v>
      </c>
      <c r="CJ60" s="149">
        <f>DP!$P$35*BA60</f>
        <v>0</v>
      </c>
    </row>
    <row r="61" spans="2:88" x14ac:dyDescent="0.35">
      <c r="B61" s="481">
        <f>DP!S34</f>
        <v>0</v>
      </c>
      <c r="C61" s="481">
        <f>DP!T34</f>
        <v>0</v>
      </c>
      <c r="D61" s="481">
        <f>DP!U34</f>
        <v>0</v>
      </c>
      <c r="E61" s="481">
        <f>DP!V34</f>
        <v>0</v>
      </c>
      <c r="F61" s="412">
        <f t="shared" si="40"/>
        <v>0</v>
      </c>
      <c r="G61" s="470">
        <f>DP!X34</f>
        <v>0</v>
      </c>
      <c r="H61" s="98">
        <f t="shared" si="41"/>
        <v>0</v>
      </c>
      <c r="I61" s="97"/>
      <c r="J61" s="102">
        <f t="shared" si="30"/>
        <v>0</v>
      </c>
      <c r="K61" s="98">
        <f t="shared" si="31"/>
        <v>0</v>
      </c>
      <c r="L61" s="93">
        <f t="shared" si="32"/>
        <v>0</v>
      </c>
      <c r="M61" s="99">
        <f t="shared" si="33"/>
        <v>0</v>
      </c>
      <c r="N61" s="100"/>
      <c r="O61" s="146">
        <f>($E61/DP!$M$29)*F61</f>
        <v>0</v>
      </c>
      <c r="P61" s="102">
        <f>IF(O61&gt;0,(DP!$M$31),0*1)</f>
        <v>0</v>
      </c>
      <c r="Q61" s="102">
        <f t="shared" si="60"/>
        <v>0</v>
      </c>
      <c r="R61" s="102">
        <f t="shared" si="43"/>
        <v>0</v>
      </c>
      <c r="S61" s="418">
        <f t="shared" si="44"/>
        <v>0</v>
      </c>
      <c r="T61" s="475">
        <f>H61*DP!$M$44</f>
        <v>0</v>
      </c>
      <c r="U61" s="475">
        <f>IF(H61&gt;0,DP!$N$44,0*1)</f>
        <v>0</v>
      </c>
      <c r="V61" s="475">
        <f t="shared" si="45"/>
        <v>0</v>
      </c>
      <c r="W61" s="475">
        <f>H61*DP!$M$45</f>
        <v>0</v>
      </c>
      <c r="X61" s="475">
        <f>IF(H61&gt;0,DP!$N$45,0*1)</f>
        <v>0</v>
      </c>
      <c r="Y61" s="475">
        <f t="shared" si="46"/>
        <v>0</v>
      </c>
      <c r="Z61" s="100"/>
      <c r="AA61" s="93">
        <f>IF(D61=DP!$L$15,F61*(1+DP!$M$15),IF(D61=DP!$L$16,F61*(1+DP!$M$16),IF(D61=DP!$L$17,F61*(1+DP!$M$17),IF(D61=DP!$L$18,F61*(1+DP!$M$18),0*1))))</f>
        <v>0</v>
      </c>
      <c r="AB61" s="102">
        <f>IF(D61=DP!$L$22,(DP!$M$22),IF(D61=DP!$L$23,(DP!$M$23),IF(D61=DP!$L$24,(DP!$M$24),IF(D61=DP!$L$25,(DP!$M$25),((0*1))))))</f>
        <v>0</v>
      </c>
      <c r="AC61" s="93">
        <f t="shared" si="47"/>
        <v>0</v>
      </c>
      <c r="AD61" s="93">
        <f>IF(D61=DP!$L$15,F61*(1+DP!$M$15),IF(D61=DP!$L$16,F61*(1+DP!$M$16),IF(D61=DP!$L$17,F61*(1+DP!$M$17),IF(D61=DP!$L$18,F61*(1+DP!$M$18),0*1))))</f>
        <v>0</v>
      </c>
      <c r="AE61" s="102">
        <f>IF(D61=DP!$L$22,(DP!$N$22),IF(D61=DP!$L$23,(DP!$N$23),IF(D61=DP!$L$24,(DP!$N$24),IF(D61=DP!$L$25,(DP!$N$25),((0*1))))))</f>
        <v>0</v>
      </c>
      <c r="AF61" s="93">
        <f t="shared" si="48"/>
        <v>0</v>
      </c>
      <c r="AG61" s="93">
        <f>IF(D61=DP!$L$15,(F61/DP!$K$15)*(1+DP!$M$15),IF(D61=DP!$L$16,(F61/DP!$K$16)*(1+DP!$M$16),IF(D61=DP!$L$17,(F61/DP!$K$17)*(1+DP!$M$17),IF(D61=DP!$L$18,(F61/DP!$K$18)*(1+DP!$M$18),0*1))))</f>
        <v>0</v>
      </c>
      <c r="AH61" s="102">
        <f>IF(D61=DP!$L$22,(DP!$O$22),IF(D61=DP!$L$23,(DP!$O$23),IF(D61=DP!$L$24,(DP!$O$24),IF(D61=DP!$L$25,(DP!$O$25),((0*1))))))</f>
        <v>0</v>
      </c>
      <c r="AI61" s="93">
        <f t="shared" si="49"/>
        <v>0</v>
      </c>
      <c r="AJ61" s="93">
        <f>IF(D61=DP!$L$15,F61*(1+DP!$M$15),IF(D61=DP!$L$16,F61*(1+DP!$M$16),IF(D61=DP!$L$17,F61*(1+DP!$M$17),IF(D61=DP!$L$18,F61*(1+DP!$M$18),0*1))))</f>
        <v>0</v>
      </c>
      <c r="AK61" s="102">
        <f>IF(D61=DP!$L$22,(DP!$P$22),IF(D61=DP!$L$23,(DP!$P$23),IF(D61=DP!$L$24,(DP!$P$24),IF(D61=DP!$L$25,(DP!$P$25),((0*1))))))</f>
        <v>0</v>
      </c>
      <c r="AL61" s="93">
        <f t="shared" si="50"/>
        <v>0</v>
      </c>
      <c r="AM61" s="100"/>
      <c r="AN61" s="149">
        <f t="shared" si="34"/>
        <v>0</v>
      </c>
      <c r="AO61" s="149">
        <f>DP!$N$35*H61</f>
        <v>0</v>
      </c>
      <c r="AP61" s="149">
        <f>DP!$O$35*H61</f>
        <v>0</v>
      </c>
      <c r="AQ61" s="149">
        <f>DP!$P$35*H61</f>
        <v>0</v>
      </c>
      <c r="AV61" s="412">
        <f>DP!AV34</f>
        <v>0</v>
      </c>
      <c r="AW61" s="412">
        <f>DP!AW34</f>
        <v>0</v>
      </c>
      <c r="AX61" s="412">
        <f>DP!AX34</f>
        <v>0</v>
      </c>
      <c r="AY61" s="412">
        <f t="shared" si="51"/>
        <v>0</v>
      </c>
      <c r="AZ61" s="470">
        <f>DP!AZ34</f>
        <v>0</v>
      </c>
      <c r="BA61" s="98">
        <f t="shared" si="52"/>
        <v>0</v>
      </c>
      <c r="BB61" s="97"/>
      <c r="BC61" s="102">
        <f t="shared" si="35"/>
        <v>0</v>
      </c>
      <c r="BD61" s="98">
        <f t="shared" si="36"/>
        <v>0</v>
      </c>
      <c r="BE61" s="93">
        <f t="shared" si="37"/>
        <v>0</v>
      </c>
      <c r="BF61" s="99">
        <f t="shared" si="38"/>
        <v>0</v>
      </c>
      <c r="BG61" s="100"/>
      <c r="BH61" s="102">
        <f>IFERROR((BA61*100%)/DP!$AO$29,(0*1))</f>
        <v>0</v>
      </c>
      <c r="BI61" s="102">
        <f>IF(BH61&gt;0,(DP!$AO$31),0*1)</f>
        <v>0</v>
      </c>
      <c r="BJ61" s="435">
        <f t="shared" si="53"/>
        <v>0</v>
      </c>
      <c r="BK61" s="475">
        <f>BA61*DP!$AO$44</f>
        <v>0</v>
      </c>
      <c r="BL61" s="475">
        <f>IF(BA61&gt;0,DP!$AP$44,0*1)</f>
        <v>0</v>
      </c>
      <c r="BM61" s="475">
        <f t="shared" si="54"/>
        <v>0</v>
      </c>
      <c r="BN61" s="102">
        <f>BA61*DP!$AO$45</f>
        <v>0</v>
      </c>
      <c r="BO61" s="102">
        <f>IF(BA61&gt;0,DP!$AP$45,0*1)</f>
        <v>0</v>
      </c>
      <c r="BP61" s="475">
        <f t="shared" si="55"/>
        <v>0</v>
      </c>
      <c r="BQ61" s="100"/>
      <c r="BR61" s="100"/>
      <c r="BS61" s="100"/>
      <c r="BT61" s="93">
        <f>IF(AW61=DP!$AN$15,AY61*(1+DP!$AO$15),IF(AW61=DP!$AN$16,AY61*(1+DP!$AO$16),IF(AW61=DP!$AN$17,AY61*(1+DP!$AO$17),IF(AW61=DP!$AN$18,AY61*(1+DP!$AO$18),0*1))))</f>
        <v>0</v>
      </c>
      <c r="BU61" s="102">
        <f>IF(AW61=DP!$AN$22,(DP!$AO$22),IF(AW61=DP!$AN$23,(DP!$AO$23),IF(AW61=DP!$AN$24,(DP!$AO$24),IF(AW61=DP!$AN$25,(DP!$AO$25),((0*1))))))</f>
        <v>0</v>
      </c>
      <c r="BV61" s="93">
        <f t="shared" si="56"/>
        <v>0</v>
      </c>
      <c r="BW61" s="93">
        <f>IF(AW61=DP!$AN$15,AY61*(1+DP!$AO$15),IF(AW61=DP!$AN$16,AY61*(1+DP!$AO$16),IF(AW61=DP!$AN$17,AY61*(1+DP!$AO$17),IF(AW61=DP!$AN$18,AY61*(1+DP!$AO$18),0*1))))</f>
        <v>0</v>
      </c>
      <c r="BX61" s="102">
        <f>IF(AW61=DP!$AN$22,(DP!$AP$22),IF(AW61=DP!$AN$23,(DP!$AP$23),IF(AW61=DP!$AN$24,(DP!$AP$24),IF(AW61=DP!$AN$25,(DP!$AP$25),((0*1))))))</f>
        <v>0</v>
      </c>
      <c r="BY61" s="93">
        <f t="shared" si="61"/>
        <v>0</v>
      </c>
      <c r="BZ61" s="93">
        <f>IF(AW61=DP!$AN$15,(AY61/DP!$AM$15)*(1+DP!$AO$15),IF(AW61=DP!$AN$16,(AY61/DP!$AM$16)*(1+DP!$AO$16),IF(AW61=DP!$AN$17,(AY61/DP!$AM$17)*(1+DP!$AO$17),IF(AW61=DP!$AN$18,(AY61/DP!$AM$18)*(1+DP!$AO$18),0*1))))</f>
        <v>0</v>
      </c>
      <c r="CA61" s="102">
        <f>IF(AW61=DP!$AN$22,(DP!$AQ$22),IF(AW61=DP!$AN$23,(DP!$AQ$23),IF(AW61=DP!$AN$24,(DP!$AQ$24),IF(AW61=DP!$AN$25,(DP!$AQ$25),((0*1))))))</f>
        <v>0</v>
      </c>
      <c r="CB61" s="93">
        <f t="shared" si="58"/>
        <v>0</v>
      </c>
      <c r="CC61" s="93">
        <f>IF(AW61=DP!$AN$15,AY61*(1+DP!$AO$15),IF(AW61=DP!$AN$16,AY61*(1+DP!$AO$16),IF(AW61=DP!$AN$17,AY61*(1+DP!$AO$17),IF(AW61=DP!$AN$18,AY61*(1+DP!$AO$18),0*1))))</f>
        <v>0</v>
      </c>
      <c r="CD61" s="102">
        <f>IF(AW61=DP!$AN$22,(DP!$AR$22),IF(AW61=DP!$AN$23,(DP!$AR$23),IF(AW61=DP!$AN$24,(DP!$AR$24),IF(AW61=DP!$AN$25,(DP!$AR$25),((0*1))))))</f>
        <v>0</v>
      </c>
      <c r="CE61" s="93">
        <f t="shared" si="59"/>
        <v>0</v>
      </c>
      <c r="CF61" s="100"/>
      <c r="CG61" s="148">
        <f t="shared" si="39"/>
        <v>0</v>
      </c>
      <c r="CH61" s="149">
        <f>DP!$N$35*BA61</f>
        <v>0</v>
      </c>
      <c r="CI61" s="149">
        <f>DP!$O$35*BA61</f>
        <v>0</v>
      </c>
      <c r="CJ61" s="149">
        <f>DP!$P$35*BA61</f>
        <v>0</v>
      </c>
    </row>
    <row r="62" spans="2:88" x14ac:dyDescent="0.35">
      <c r="B62" s="481">
        <f>DP!S35</f>
        <v>0</v>
      </c>
      <c r="C62" s="481">
        <f>DP!T35</f>
        <v>0</v>
      </c>
      <c r="D62" s="481">
        <f>DP!U35</f>
        <v>0</v>
      </c>
      <c r="E62" s="481">
        <f>DP!V35</f>
        <v>0</v>
      </c>
      <c r="F62" s="412">
        <f t="shared" si="40"/>
        <v>0</v>
      </c>
      <c r="G62" s="470">
        <f>DP!X35</f>
        <v>0</v>
      </c>
      <c r="H62" s="98">
        <f t="shared" si="41"/>
        <v>0</v>
      </c>
      <c r="I62" s="97"/>
      <c r="J62" s="102">
        <f t="shared" si="30"/>
        <v>0</v>
      </c>
      <c r="K62" s="98">
        <f t="shared" si="31"/>
        <v>0</v>
      </c>
      <c r="L62" s="93">
        <f t="shared" si="32"/>
        <v>0</v>
      </c>
      <c r="M62" s="99">
        <f t="shared" si="33"/>
        <v>0</v>
      </c>
      <c r="N62" s="100"/>
      <c r="O62" s="146">
        <f>($E62/DP!$M$29)*F62</f>
        <v>0</v>
      </c>
      <c r="P62" s="102">
        <f>IF(O62&gt;0,(DP!$M$31),0*1)</f>
        <v>0</v>
      </c>
      <c r="Q62" s="102">
        <f t="shared" si="60"/>
        <v>0</v>
      </c>
      <c r="R62" s="102">
        <f t="shared" si="43"/>
        <v>0</v>
      </c>
      <c r="S62" s="418">
        <f t="shared" si="44"/>
        <v>0</v>
      </c>
      <c r="T62" s="475">
        <f>H62*DP!$M$44</f>
        <v>0</v>
      </c>
      <c r="U62" s="475">
        <f>IF(H62&gt;0,DP!$N$44,0*1)</f>
        <v>0</v>
      </c>
      <c r="V62" s="475">
        <f t="shared" si="45"/>
        <v>0</v>
      </c>
      <c r="W62" s="475">
        <f>H62*DP!$M$45</f>
        <v>0</v>
      </c>
      <c r="X62" s="475">
        <f>IF(H62&gt;0,DP!$N$45,0*1)</f>
        <v>0</v>
      </c>
      <c r="Y62" s="475">
        <f t="shared" si="46"/>
        <v>0</v>
      </c>
      <c r="Z62" s="100"/>
      <c r="AA62" s="93">
        <f>IF(D62=DP!$L$15,F62*(1+DP!$M$15),IF(D62=DP!$L$16,F62*(1+DP!$M$16),IF(D62=DP!$L$17,F62*(1+DP!$M$17),IF(D62=DP!$L$18,F62*(1+DP!$M$18),0*1))))</f>
        <v>0</v>
      </c>
      <c r="AB62" s="102">
        <f>IF(D62=DP!$L$22,(DP!$M$22),IF(D62=DP!$L$23,(DP!$M$23),IF(D62=DP!$L$24,(DP!$M$24),IF(D62=DP!$L$25,(DP!$M$25),((0*1))))))</f>
        <v>0</v>
      </c>
      <c r="AC62" s="93">
        <f t="shared" si="47"/>
        <v>0</v>
      </c>
      <c r="AD62" s="93">
        <f>IF(D62=DP!$L$15,F62*(1+DP!$M$15),IF(D62=DP!$L$16,F62*(1+DP!$M$16),IF(D62=DP!$L$17,F62*(1+DP!$M$17),IF(D62=DP!$L$18,F62*(1+DP!$M$18),0*1))))</f>
        <v>0</v>
      </c>
      <c r="AE62" s="102">
        <f>IF(D62=DP!$L$22,(DP!$N$22),IF(D62=DP!$L$23,(DP!$N$23),IF(D62=DP!$L$24,(DP!$N$24),IF(D62=DP!$L$25,(DP!$N$25),((0*1))))))</f>
        <v>0</v>
      </c>
      <c r="AF62" s="93">
        <f t="shared" si="48"/>
        <v>0</v>
      </c>
      <c r="AG62" s="93">
        <f>IF(D62=DP!$L$15,(F62/DP!$K$15)*(1+DP!$M$15),IF(D62=DP!$L$16,(F62/DP!$K$16)*(1+DP!$M$16),IF(D62=DP!$L$17,(F62/DP!$K$17)*(1+DP!$M$17),IF(D62=DP!$L$18,(F62/DP!$K$18)*(1+DP!$M$18),0*1))))</f>
        <v>0</v>
      </c>
      <c r="AH62" s="102">
        <f>IF(D62=DP!$L$22,(DP!$O$22),IF(D62=DP!$L$23,(DP!$O$23),IF(D62=DP!$L$24,(DP!$O$24),IF(D62=DP!$L$25,(DP!$O$25),((0*1))))))</f>
        <v>0</v>
      </c>
      <c r="AI62" s="93">
        <f t="shared" si="49"/>
        <v>0</v>
      </c>
      <c r="AJ62" s="93">
        <f>IF(D62=DP!$L$15,F62*(1+DP!$M$15),IF(D62=DP!$L$16,F62*(1+DP!$M$16),IF(D62=DP!$L$17,F62*(1+DP!$M$17),IF(D62=DP!$L$18,F62*(1+DP!$M$18),0*1))))</f>
        <v>0</v>
      </c>
      <c r="AK62" s="102">
        <f>IF(D62=DP!$L$22,(DP!$P$22),IF(D62=DP!$L$23,(DP!$P$23),IF(D62=DP!$L$24,(DP!$P$24),IF(D62=DP!$L$25,(DP!$P$25),((0*1))))))</f>
        <v>0</v>
      </c>
      <c r="AL62" s="93">
        <f t="shared" si="50"/>
        <v>0</v>
      </c>
      <c r="AM62" s="100"/>
      <c r="AN62" s="149">
        <f t="shared" si="34"/>
        <v>0</v>
      </c>
      <c r="AO62" s="149">
        <f>DP!$N$35*H62</f>
        <v>0</v>
      </c>
      <c r="AP62" s="149">
        <f>DP!$O$35*H62</f>
        <v>0</v>
      </c>
      <c r="AQ62" s="149">
        <f>DP!$P$35*H62</f>
        <v>0</v>
      </c>
      <c r="AV62" s="412">
        <f>DP!AV35</f>
        <v>0</v>
      </c>
      <c r="AW62" s="412">
        <f>DP!AW35</f>
        <v>0</v>
      </c>
      <c r="AX62" s="412">
        <f>DP!AX35</f>
        <v>0</v>
      </c>
      <c r="AY62" s="412">
        <f t="shared" si="51"/>
        <v>0</v>
      </c>
      <c r="AZ62" s="470">
        <f>DP!AZ35</f>
        <v>0</v>
      </c>
      <c r="BA62" s="98">
        <f t="shared" si="52"/>
        <v>0</v>
      </c>
      <c r="BB62" s="97"/>
      <c r="BC62" s="102">
        <f t="shared" si="35"/>
        <v>0</v>
      </c>
      <c r="BD62" s="98">
        <f t="shared" si="36"/>
        <v>0</v>
      </c>
      <c r="BE62" s="93">
        <f t="shared" si="37"/>
        <v>0</v>
      </c>
      <c r="BF62" s="99">
        <f t="shared" si="38"/>
        <v>0</v>
      </c>
      <c r="BG62" s="100"/>
      <c r="BH62" s="102">
        <f>IFERROR((BA62*100%)/DP!$AO$29,(0*1))</f>
        <v>0</v>
      </c>
      <c r="BI62" s="102">
        <f>IF(BH62&gt;0,(DP!$AO$31),0*1)</f>
        <v>0</v>
      </c>
      <c r="BJ62" s="435">
        <f t="shared" si="53"/>
        <v>0</v>
      </c>
      <c r="BK62" s="475">
        <f>BA62*DP!$AO$44</f>
        <v>0</v>
      </c>
      <c r="BL62" s="475">
        <f>IF(BA62&gt;0,DP!$AP$44,0*1)</f>
        <v>0</v>
      </c>
      <c r="BM62" s="475">
        <f t="shared" si="54"/>
        <v>0</v>
      </c>
      <c r="BN62" s="102">
        <f>BA62*DP!$AO$45</f>
        <v>0</v>
      </c>
      <c r="BO62" s="102">
        <f>IF(BA62&gt;0,DP!$AP$45,0*1)</f>
        <v>0</v>
      </c>
      <c r="BP62" s="475">
        <f t="shared" si="55"/>
        <v>0</v>
      </c>
      <c r="BQ62" s="100"/>
      <c r="BR62" s="100"/>
      <c r="BS62" s="100"/>
      <c r="BT62" s="93">
        <f>IF(AW62=DP!$AN$15,AY62*(1+DP!$AO$15),IF(AW62=DP!$AN$16,AY62*(1+DP!$AO$16),IF(AW62=DP!$AN$17,AY62*(1+DP!$AO$17),IF(AW62=DP!$AN$18,AY62*(1+DP!$AO$18),0*1))))</f>
        <v>0</v>
      </c>
      <c r="BU62" s="102">
        <f>IF(AW62=DP!$AN$22,(DP!$AO$22),IF(AW62=DP!$AN$23,(DP!$AO$23),IF(AW62=DP!$AN$24,(DP!$AO$24),IF(AW62=DP!$AN$25,(DP!$AO$25),((0*1))))))</f>
        <v>0</v>
      </c>
      <c r="BV62" s="93">
        <f t="shared" si="56"/>
        <v>0</v>
      </c>
      <c r="BW62" s="93">
        <f>IF(AW62=DP!$AN$15,AY62*(1+DP!$AO$15),IF(AW62=DP!$AN$16,AY62*(1+DP!$AO$16),IF(AW62=DP!$AN$17,AY62*(1+DP!$AO$17),IF(AW62=DP!$AN$18,AY62*(1+DP!$AO$18),0*1))))</f>
        <v>0</v>
      </c>
      <c r="BX62" s="102">
        <f>IF(AW62=DP!$AN$22,(DP!$AP$22),IF(AW62=DP!$AN$23,(DP!$AP$23),IF(AW62=DP!$AN$24,(DP!$AP$24),IF(AW62=DP!$AN$25,(DP!$AP$25),((0*1))))))</f>
        <v>0</v>
      </c>
      <c r="BY62" s="93">
        <f t="shared" si="61"/>
        <v>0</v>
      </c>
      <c r="BZ62" s="93">
        <f>IF(AW62=DP!$AN$15,(AY62/DP!$AM$15)*(1+DP!$AO$15),IF(AW62=DP!$AN$16,(AY62/DP!$AM$16)*(1+DP!$AO$16),IF(AW62=DP!$AN$17,(AY62/DP!$AM$17)*(1+DP!$AO$17),IF(AW62=DP!$AN$18,(AY62/DP!$AM$18)*(1+DP!$AO$18),0*1))))</f>
        <v>0</v>
      </c>
      <c r="CA62" s="102">
        <f>IF(AW62=DP!$AN$22,(DP!$AQ$22),IF(AW62=DP!$AN$23,(DP!$AQ$23),IF(AW62=DP!$AN$24,(DP!$AQ$24),IF(AW62=DP!$AN$25,(DP!$AQ$25),((0*1))))))</f>
        <v>0</v>
      </c>
      <c r="CB62" s="93">
        <f t="shared" si="58"/>
        <v>0</v>
      </c>
      <c r="CC62" s="93">
        <f>IF(AW62=DP!$AN$15,AY62*(1+DP!$AO$15),IF(AW62=DP!$AN$16,AY62*(1+DP!$AO$16),IF(AW62=DP!$AN$17,AY62*(1+DP!$AO$17),IF(AW62=DP!$AN$18,AY62*(1+DP!$AO$18),0*1))))</f>
        <v>0</v>
      </c>
      <c r="CD62" s="102">
        <f>IF(AW62=DP!$AN$22,(DP!$AR$22),IF(AW62=DP!$AN$23,(DP!$AR$23),IF(AW62=DP!$AN$24,(DP!$AR$24),IF(AW62=DP!$AN$25,(DP!$AR$25),((0*1))))))</f>
        <v>0</v>
      </c>
      <c r="CE62" s="93">
        <f t="shared" si="59"/>
        <v>0</v>
      </c>
      <c r="CF62" s="100"/>
      <c r="CG62" s="148">
        <f t="shared" si="39"/>
        <v>0</v>
      </c>
      <c r="CH62" s="149">
        <f>DP!$N$35*BA62</f>
        <v>0</v>
      </c>
      <c r="CI62" s="149">
        <f>DP!$O$35*BA62</f>
        <v>0</v>
      </c>
      <c r="CJ62" s="149">
        <f>DP!$P$35*BA62</f>
        <v>0</v>
      </c>
    </row>
    <row r="63" spans="2:88" ht="16" thickBot="1" x14ac:dyDescent="0.4">
      <c r="B63" s="481">
        <f>DP!S36</f>
        <v>0</v>
      </c>
      <c r="C63" s="481">
        <f>DP!T36</f>
        <v>0</v>
      </c>
      <c r="D63" s="481">
        <f>DP!U36</f>
        <v>0</v>
      </c>
      <c r="E63" s="481">
        <f>DP!V36</f>
        <v>0</v>
      </c>
      <c r="F63" s="412">
        <f t="shared" si="40"/>
        <v>0</v>
      </c>
      <c r="G63" s="470">
        <f>DP!X36</f>
        <v>0</v>
      </c>
      <c r="H63" s="98">
        <f t="shared" si="41"/>
        <v>0</v>
      </c>
      <c r="I63" s="97"/>
      <c r="J63" s="102">
        <f t="shared" si="30"/>
        <v>0</v>
      </c>
      <c r="K63" s="98">
        <f t="shared" si="31"/>
        <v>0</v>
      </c>
      <c r="L63" s="93">
        <f t="shared" si="32"/>
        <v>0</v>
      </c>
      <c r="M63" s="99">
        <f t="shared" si="33"/>
        <v>0</v>
      </c>
      <c r="N63" s="100"/>
      <c r="O63" s="146">
        <f>($E63/DP!$M$29)*F63</f>
        <v>0</v>
      </c>
      <c r="P63" s="102">
        <f>IF(O63&gt;0,(DP!$M$31),0*1)</f>
        <v>0</v>
      </c>
      <c r="Q63" s="102">
        <f t="shared" si="60"/>
        <v>0</v>
      </c>
      <c r="R63" s="102">
        <f t="shared" si="43"/>
        <v>0</v>
      </c>
      <c r="S63" s="418">
        <f t="shared" si="44"/>
        <v>0</v>
      </c>
      <c r="T63" s="475">
        <f>H63*DP!$M$44</f>
        <v>0</v>
      </c>
      <c r="U63" s="475">
        <f>IF(H63&gt;0,DP!$N$44,0*1)</f>
        <v>0</v>
      </c>
      <c r="V63" s="475">
        <f t="shared" si="45"/>
        <v>0</v>
      </c>
      <c r="W63" s="475">
        <f>H63*DP!$M$45</f>
        <v>0</v>
      </c>
      <c r="X63" s="475">
        <f>IF(H63&gt;0,DP!$N$45,0*1)</f>
        <v>0</v>
      </c>
      <c r="Y63" s="475">
        <f t="shared" si="46"/>
        <v>0</v>
      </c>
      <c r="Z63" s="100"/>
      <c r="AA63" s="93">
        <f>IF(D63=DP!$L$15,F63*(1+DP!$M$15),IF(D63=DP!$L$16,F63*(1+DP!$M$16),IF(D63=DP!$L$17,F63*(1+DP!$M$17),IF(D63=DP!$L$18,F63*(1+DP!$M$18),0*1))))</f>
        <v>0</v>
      </c>
      <c r="AB63" s="102">
        <f>IF(D63=DP!$L$22,(DP!$M$22),IF(D63=DP!$L$23,(DP!$M$23),IF(D63=DP!$L$24,(DP!$M$24),IF(D63=DP!$L$25,(DP!$M$25),((0*1))))))</f>
        <v>0</v>
      </c>
      <c r="AC63" s="93">
        <f t="shared" si="47"/>
        <v>0</v>
      </c>
      <c r="AD63" s="93">
        <f>IF(D63=DP!$L$15,F63*(1+DP!$M$15),IF(D63=DP!$L$16,F63*(1+DP!$M$16),IF(D63=DP!$L$17,F63*(1+DP!$M$17),IF(D63=DP!$L$18,F63*(1+DP!$M$18),0*1))))</f>
        <v>0</v>
      </c>
      <c r="AE63" s="102">
        <f>IF(D63=DP!$L$22,(DP!$N$22),IF(D63=DP!$L$23,(DP!$N$23),IF(D63=DP!$L$24,(DP!$N$24),IF(D63=DP!$L$25,(DP!$N$25),((0*1))))))</f>
        <v>0</v>
      </c>
      <c r="AF63" s="93">
        <f t="shared" si="48"/>
        <v>0</v>
      </c>
      <c r="AG63" s="93">
        <f>IF(D63=DP!$L$15,(F63/DP!$K$15)*(1+DP!$M$15),IF(D63=DP!$L$16,(F63/DP!$K$16)*(1+DP!$M$16),IF(D63=DP!$L$17,(F63/DP!$K$17)*(1+DP!$M$17),IF(D63=DP!$L$18,(F63/DP!$K$18)*(1+DP!$M$18),0*1))))</f>
        <v>0</v>
      </c>
      <c r="AH63" s="102">
        <f>IF(D63=DP!$L$22,(DP!$O$22),IF(D63=DP!$L$23,(DP!$O$23),IF(D63=DP!$L$24,(DP!$O$24),IF(D63=DP!$L$25,(DP!$O$25),((0*1))))))</f>
        <v>0</v>
      </c>
      <c r="AI63" s="93">
        <f t="shared" si="49"/>
        <v>0</v>
      </c>
      <c r="AJ63" s="93">
        <f>IF(D63=DP!$L$15,F63*(1+DP!$M$15),IF(D63=DP!$L$16,F63*(1+DP!$M$16),IF(D63=DP!$L$17,F63*(1+DP!$M$17),IF(D63=DP!$L$18,F63*(1+DP!$M$18),0*1))))</f>
        <v>0</v>
      </c>
      <c r="AK63" s="102">
        <f>IF(D63=DP!$L$22,(DP!$P$22),IF(D63=DP!$L$23,(DP!$P$23),IF(D63=DP!$L$24,(DP!$P$24),IF(D63=DP!$L$25,(DP!$P$25),((0*1))))))</f>
        <v>0</v>
      </c>
      <c r="AL63" s="93">
        <f t="shared" si="50"/>
        <v>0</v>
      </c>
      <c r="AM63" s="100"/>
      <c r="AN63" s="149">
        <f t="shared" si="34"/>
        <v>0</v>
      </c>
      <c r="AO63" s="149">
        <f>DP!$N$35*H63</f>
        <v>0</v>
      </c>
      <c r="AP63" s="149">
        <f>DP!$O$35*H63</f>
        <v>0</v>
      </c>
      <c r="AQ63" s="149">
        <f>DP!$P$35*H63</f>
        <v>0</v>
      </c>
      <c r="AV63" s="412">
        <f>DP!AV36</f>
        <v>0</v>
      </c>
      <c r="AW63" s="412">
        <f>DP!AW36</f>
        <v>0</v>
      </c>
      <c r="AX63" s="412">
        <f>DP!AX36</f>
        <v>0</v>
      </c>
      <c r="AY63" s="412">
        <f t="shared" si="51"/>
        <v>0</v>
      </c>
      <c r="AZ63" s="470">
        <f>DP!AZ36</f>
        <v>0</v>
      </c>
      <c r="BA63" s="98">
        <f t="shared" si="52"/>
        <v>0</v>
      </c>
      <c r="BB63" s="97"/>
      <c r="BC63" s="102">
        <f t="shared" si="35"/>
        <v>0</v>
      </c>
      <c r="BD63" s="98">
        <f t="shared" si="36"/>
        <v>0</v>
      </c>
      <c r="BE63" s="93">
        <f t="shared" si="37"/>
        <v>0</v>
      </c>
      <c r="BF63" s="99">
        <f t="shared" si="38"/>
        <v>0</v>
      </c>
      <c r="BG63" s="100"/>
      <c r="BH63" s="102">
        <f>IFERROR((BA63*100%)/DP!$AO$29,(0*1))</f>
        <v>0</v>
      </c>
      <c r="BI63" s="102">
        <f>IF(BH63&gt;0,(DP!$AO$31),0*1)</f>
        <v>0</v>
      </c>
      <c r="BJ63" s="435">
        <f t="shared" si="53"/>
        <v>0</v>
      </c>
      <c r="BK63" s="475">
        <f>BA63*DP!$AO$44</f>
        <v>0</v>
      </c>
      <c r="BL63" s="475">
        <f>IF(BA63&gt;0,DP!$AP$44,0*1)</f>
        <v>0</v>
      </c>
      <c r="BM63" s="475">
        <f t="shared" si="54"/>
        <v>0</v>
      </c>
      <c r="BN63" s="102">
        <f>BA63*DP!$AO$45</f>
        <v>0</v>
      </c>
      <c r="BO63" s="102">
        <f>IF(BA63&gt;0,DP!$AP$45,0*1)</f>
        <v>0</v>
      </c>
      <c r="BP63" s="475">
        <f t="shared" si="55"/>
        <v>0</v>
      </c>
      <c r="BQ63" s="100"/>
      <c r="BR63" s="100"/>
      <c r="BS63" s="100"/>
      <c r="BT63" s="93">
        <f>IF(AW63=DP!$AN$15,AY63*(1+DP!$AO$15),IF(AW63=DP!$AN$16,AY63*(1+DP!$AO$16),IF(AW63=DP!$AN$17,AY63*(1+DP!$AO$17),IF(AW63=DP!$AN$18,AY63*(1+DP!$AO$18),0*1))))</f>
        <v>0</v>
      </c>
      <c r="BU63" s="102">
        <f>IF(AW63=DP!$AN$22,(DP!$AO$22),IF(AW63=DP!$AN$23,(DP!$AO$23),IF(AW63=DP!$AN$24,(DP!$AO$24),IF(AW63=DP!$AN$25,(DP!$AO$25),((0*1))))))</f>
        <v>0</v>
      </c>
      <c r="BV63" s="93">
        <f t="shared" si="56"/>
        <v>0</v>
      </c>
      <c r="BW63" s="93">
        <f>IF(AW63=DP!$AN$15,AY63*(1+DP!$AO$15),IF(AW63=DP!$AN$16,AY63*(1+DP!$AO$16),IF(AW63=DP!$AN$17,AY63*(1+DP!$AO$17),IF(AW63=DP!$AN$18,AY63*(1+DP!$AO$18),0*1))))</f>
        <v>0</v>
      </c>
      <c r="BX63" s="102">
        <f>IF(AW63=DP!$AN$22,(DP!$AP$22),IF(AW63=DP!$AN$23,(DP!$AP$23),IF(AW63=DP!$AN$24,(DP!$AP$24),IF(AW63=DP!$AN$25,(DP!$AP$25),((0*1))))))</f>
        <v>0</v>
      </c>
      <c r="BY63" s="93">
        <f t="shared" si="61"/>
        <v>0</v>
      </c>
      <c r="BZ63" s="93">
        <f>IF(AW63=DP!$AN$15,(AY63/DP!$AM$15)*(1+DP!$AO$15),IF(AW63=DP!$AN$16,(AY63/DP!$AM$16)*(1+DP!$AO$16),IF(AW63=DP!$AN$17,(AY63/DP!$AM$17)*(1+DP!$AO$17),IF(AW63=DP!$AN$18,(AY63/DP!$AM$18)*(1+DP!$AO$18),0*1))))</f>
        <v>0</v>
      </c>
      <c r="CA63" s="102">
        <f>IF(AW63=DP!$AN$22,(DP!$AQ$22),IF(AW63=DP!$AN$23,(DP!$AQ$23),IF(AW63=DP!$AN$24,(DP!$AQ$24),IF(AW63=DP!$AN$25,(DP!$AQ$25),((0*1))))))</f>
        <v>0</v>
      </c>
      <c r="CB63" s="93">
        <f t="shared" si="58"/>
        <v>0</v>
      </c>
      <c r="CC63" s="93">
        <f>IF(AW63=DP!$AN$15,AY63*(1+DP!$AO$15),IF(AW63=DP!$AN$16,AY63*(1+DP!$AO$16),IF(AW63=DP!$AN$17,AY63*(1+DP!$AO$17),IF(AW63=DP!$AN$18,AY63*(1+DP!$AO$18),0*1))))</f>
        <v>0</v>
      </c>
      <c r="CD63" s="102">
        <f>IF(AW63=DP!$AN$22,(DP!$AR$22),IF(AW63=DP!$AN$23,(DP!$AR$23),IF(AW63=DP!$AN$24,(DP!$AR$24),IF(AW63=DP!$AN$25,(DP!$AR$25),((0*1))))))</f>
        <v>0</v>
      </c>
      <c r="CE63" s="93">
        <f t="shared" si="59"/>
        <v>0</v>
      </c>
      <c r="CF63" s="100"/>
      <c r="CG63" s="148">
        <f t="shared" si="39"/>
        <v>0</v>
      </c>
      <c r="CH63" s="149">
        <f>DP!$N$35*BA63</f>
        <v>0</v>
      </c>
      <c r="CI63" s="149">
        <f>DP!$O$35*BA63</f>
        <v>0</v>
      </c>
      <c r="CJ63" s="149">
        <f>DP!$P$35*BA63</f>
        <v>0</v>
      </c>
    </row>
    <row r="64" spans="2:88" ht="16" thickBot="1" x14ac:dyDescent="0.4">
      <c r="C64" s="103" t="s">
        <v>222</v>
      </c>
      <c r="D64" s="104"/>
      <c r="E64" s="104"/>
      <c r="F64" s="120">
        <f>SUM(F45:F63)</f>
        <v>0</v>
      </c>
      <c r="G64" s="411">
        <f>SUM(G45:G63)</f>
        <v>0</v>
      </c>
      <c r="H64" s="121">
        <f>SUM(H45:H63)</f>
        <v>0</v>
      </c>
      <c r="I64" s="87"/>
      <c r="J64" s="151"/>
      <c r="K64" s="106"/>
      <c r="L64" s="107">
        <f t="shared" ref="L64" si="62">SUM(L45:L63)</f>
        <v>0</v>
      </c>
      <c r="M64" s="105">
        <f>SUM(M45:M63)</f>
        <v>0</v>
      </c>
      <c r="N64" s="87"/>
      <c r="O64" s="152">
        <f>SUM(O45:O63)</f>
        <v>0</v>
      </c>
      <c r="P64" s="416"/>
      <c r="Q64" s="152">
        <f>SUM(Q45:Q63)</f>
        <v>0</v>
      </c>
      <c r="R64" s="126"/>
      <c r="S64" s="419">
        <f>SUM(S45:S63)</f>
        <v>0</v>
      </c>
      <c r="T64" s="476">
        <f>SUM(T45:T63)</f>
        <v>0</v>
      </c>
      <c r="U64" s="477"/>
      <c r="V64" s="478">
        <f>SUM(V45:V63)</f>
        <v>0</v>
      </c>
      <c r="W64" s="478">
        <f>SUM(W45:W63)</f>
        <v>0</v>
      </c>
      <c r="X64" s="477"/>
      <c r="Y64" s="479">
        <f>SUM(Y45:Y63)</f>
        <v>0</v>
      </c>
      <c r="Z64" s="87"/>
      <c r="AA64" s="152">
        <f>SUM(AA45:AA63)</f>
        <v>0</v>
      </c>
      <c r="AB64" s="77"/>
      <c r="AC64" s="153">
        <f>SUM(AC45:AC63)</f>
        <v>0</v>
      </c>
      <c r="AD64" s="153">
        <f>SUM(AD45:AD63)</f>
        <v>0</v>
      </c>
      <c r="AE64" s="77"/>
      <c r="AF64" s="153">
        <f>SUM(AF45:AF63)</f>
        <v>0</v>
      </c>
      <c r="AG64" s="153">
        <f>SUM(AG45:AG63)</f>
        <v>0</v>
      </c>
      <c r="AH64" s="77"/>
      <c r="AI64" s="153">
        <f>SUM(AI45:AI63)</f>
        <v>0</v>
      </c>
      <c r="AJ64" s="153">
        <f>SUM(AJ45:AJ63)</f>
        <v>0</v>
      </c>
      <c r="AK64" s="77"/>
      <c r="AL64" s="154">
        <f>SUM(AL45:AL63)</f>
        <v>0</v>
      </c>
      <c r="AM64" s="87"/>
      <c r="AN64" s="152">
        <f>SUM(AN45:AN63)</f>
        <v>0</v>
      </c>
      <c r="AO64" s="153">
        <f t="shared" ref="AO64:AQ64" si="63">SUM(AO45:AO63)</f>
        <v>0</v>
      </c>
      <c r="AP64" s="153">
        <f t="shared" si="63"/>
        <v>0</v>
      </c>
      <c r="AQ64" s="153">
        <f t="shared" si="63"/>
        <v>0</v>
      </c>
      <c r="AV64" s="103" t="s">
        <v>222</v>
      </c>
      <c r="AW64" s="104"/>
      <c r="AX64" s="104"/>
      <c r="AY64" s="120">
        <f>SUM(AY45:AY63)</f>
        <v>488160</v>
      </c>
      <c r="AZ64" s="411">
        <f>SUM(AZ45:AZ63)</f>
        <v>0.99999999999999989</v>
      </c>
      <c r="BA64" s="121">
        <f>SUM(BA45:BA63)</f>
        <v>183600</v>
      </c>
      <c r="BB64" s="87"/>
      <c r="BC64" s="151"/>
      <c r="BD64" s="106"/>
      <c r="BE64" s="107">
        <f>SUM(BE45:BE63)</f>
        <v>506070.51072395616</v>
      </c>
      <c r="BF64" s="105">
        <f>SUM(BF45:BF63)</f>
        <v>438138.5107239561</v>
      </c>
      <c r="BG64" s="87"/>
      <c r="BH64" s="152">
        <f>SUM(BH45:BH63)</f>
        <v>408000</v>
      </c>
      <c r="BI64" s="126"/>
      <c r="BJ64" s="419">
        <f>SUM(BJ45:BJ63)</f>
        <v>183600</v>
      </c>
      <c r="BK64" s="492">
        <f>SUM(BK45:BK63)</f>
        <v>459</v>
      </c>
      <c r="BL64" s="491"/>
      <c r="BM64" s="492">
        <f>SUM(BM45:BM63)</f>
        <v>436.04999999999995</v>
      </c>
      <c r="BN64" s="492">
        <f>SUM(BN45:BN63)</f>
        <v>30477.599999999999</v>
      </c>
      <c r="BO64" s="491"/>
      <c r="BP64" s="492">
        <f>SUM(BP45:BP63)</f>
        <v>23443.369920000001</v>
      </c>
      <c r="BQ64" s="87"/>
      <c r="BR64" s="87"/>
      <c r="BS64" s="87"/>
      <c r="BT64" s="152">
        <f>SUM(BT45:BT63)</f>
        <v>490600.8</v>
      </c>
      <c r="BU64" s="77"/>
      <c r="BV64" s="153">
        <f>SUM(BV45:BV63)</f>
        <v>113945.292</v>
      </c>
      <c r="BW64" s="153">
        <f>SUM(BW45:BW63)</f>
        <v>490600.8</v>
      </c>
      <c r="BX64" s="77"/>
      <c r="BY64" s="153">
        <f>SUM(BY45:BY63)</f>
        <v>28643.705999999998</v>
      </c>
      <c r="BZ64" s="153">
        <f>SUM(BZ45:BZ63)</f>
        <v>25054.649999999994</v>
      </c>
      <c r="CA64" s="77"/>
      <c r="CB64" s="153">
        <f>SUM(CB45:CB63)</f>
        <v>12827.98079999999</v>
      </c>
      <c r="CC64" s="153">
        <f>SUM(CC45:CC63)</f>
        <v>490600.8</v>
      </c>
      <c r="CD64" s="77"/>
      <c r="CE64" s="154">
        <f>SUM(CE45:CE63)</f>
        <v>16212.38275862069</v>
      </c>
      <c r="CF64" s="87"/>
      <c r="CG64" s="152">
        <f>SUM(CG45:CG63)</f>
        <v>59029.729245335482</v>
      </c>
      <c r="CH64" s="153">
        <f t="shared" ref="CH64:CJ64" si="64">SUM(CH45:CH63)</f>
        <v>2637.9310344827586</v>
      </c>
      <c r="CI64" s="153">
        <f t="shared" si="64"/>
        <v>10024.137931034486</v>
      </c>
      <c r="CJ64" s="153">
        <f t="shared" si="64"/>
        <v>67932</v>
      </c>
    </row>
    <row r="65" spans="2:88" x14ac:dyDescent="0.35">
      <c r="C65" s="108"/>
      <c r="D65" s="108"/>
      <c r="E65" s="108"/>
      <c r="F65" s="87"/>
      <c r="G65" s="87"/>
      <c r="H65" s="87"/>
      <c r="I65" s="109"/>
      <c r="J65" s="87"/>
      <c r="K65" s="87"/>
      <c r="L65" s="87"/>
      <c r="M65" s="87"/>
      <c r="N65" s="87"/>
      <c r="O65" s="220"/>
      <c r="P65" s="220"/>
      <c r="Q65" s="220"/>
      <c r="R65" s="220"/>
      <c r="S65" s="417">
        <f>Q64</f>
        <v>0</v>
      </c>
      <c r="T65"/>
      <c r="U65"/>
      <c r="V65"/>
      <c r="W65"/>
      <c r="X65"/>
      <c r="Y65"/>
      <c r="Z65" s="87"/>
      <c r="AA65" s="87"/>
      <c r="AB65" s="87"/>
      <c r="AC65" s="87"/>
      <c r="AD65" s="87"/>
      <c r="AM65" s="87"/>
      <c r="AN65" s="420">
        <f>IFERROR(IF(DP!$C$16=PS!$B$3,PS!$K$23*D40/(D40+AW40),IF(DP!$C$16=PS!$N$3,PS!$AC$23*D40/(D40+AW40),IF(DP!$C$16=PS!$AF$3,PS!$AP$23*D40/(D40+AW40)))),0*1)</f>
        <v>0</v>
      </c>
      <c r="AO65" s="220"/>
      <c r="AP65" s="220"/>
      <c r="AQ65" s="433"/>
      <c r="AV65" s="108"/>
      <c r="AW65" s="108"/>
      <c r="AX65" s="108"/>
      <c r="AY65" s="87"/>
      <c r="AZ65" s="87"/>
      <c r="BA65" s="87"/>
      <c r="BB65" s="109"/>
      <c r="BC65" s="87"/>
      <c r="BD65" s="87"/>
      <c r="BE65" s="87"/>
      <c r="BF65" s="87"/>
      <c r="BG65" s="87"/>
      <c r="BH65" s="87"/>
      <c r="BI65" s="87"/>
      <c r="BJ65" s="87"/>
      <c r="BK65"/>
      <c r="BL65"/>
      <c r="BM65"/>
      <c r="BN65"/>
      <c r="BO65"/>
      <c r="BP65"/>
      <c r="BQ65" s="87"/>
      <c r="BR65" s="87"/>
      <c r="BS65" s="87"/>
      <c r="BT65" s="87"/>
      <c r="BU65" s="87"/>
      <c r="BV65" s="87"/>
      <c r="BW65" s="87"/>
      <c r="CF65" s="87"/>
      <c r="CG65" s="420">
        <f>IFERROR(IF(DP!$C$16=PS!$B$3,PS!$K$23*AW40/(AW40+D40),IF(DP!$C$16=PS!$N$3,PS!$AC$23*AW40/(AW40+D40),IF(DP!$C$16=PS!$AF$3,PS!$AP$23*AW40/(AW40+D40)))),0*1)</f>
        <v>59029.729245335482</v>
      </c>
      <c r="CH65" s="220"/>
      <c r="CI65" s="220"/>
      <c r="CJ65" s="433"/>
    </row>
    <row r="66" spans="2:88" x14ac:dyDescent="0.35">
      <c r="C66" s="108"/>
      <c r="D66" s="108"/>
      <c r="E66" s="108"/>
      <c r="F66" s="87"/>
      <c r="G66" s="87"/>
      <c r="H66" s="87"/>
      <c r="I66" s="109"/>
      <c r="J66" s="87"/>
      <c r="K66" s="87"/>
      <c r="L66" s="87"/>
      <c r="M66" s="87"/>
      <c r="N66" s="87"/>
      <c r="O66" s="87"/>
      <c r="P66" s="87"/>
      <c r="Q66" s="87"/>
      <c r="T66" s="87"/>
      <c r="U66" s="87"/>
      <c r="V66" s="87"/>
      <c r="W66" s="87"/>
      <c r="X66" s="87"/>
      <c r="Y66" s="87"/>
      <c r="Z66" s="87"/>
      <c r="AM66" s="87"/>
      <c r="AV66" s="108"/>
      <c r="AW66" s="108"/>
      <c r="AX66" s="108"/>
      <c r="AY66" s="87"/>
      <c r="AZ66" s="87"/>
      <c r="BA66" s="87"/>
      <c r="BB66" s="109"/>
      <c r="BC66" s="87"/>
      <c r="BD66" s="87"/>
      <c r="BE66" s="87"/>
      <c r="BF66" s="87"/>
      <c r="BG66" s="87"/>
      <c r="BH66" s="87"/>
      <c r="BK66" s="87"/>
      <c r="BL66" s="87"/>
      <c r="BM66" s="87"/>
      <c r="BN66" s="87"/>
      <c r="BO66" s="87"/>
      <c r="BP66" s="87"/>
      <c r="BQ66" s="87"/>
      <c r="BR66" s="87"/>
      <c r="BS66" s="87"/>
      <c r="BT66"/>
      <c r="BU66"/>
      <c r="BV66"/>
      <c r="BW66"/>
      <c r="BX66"/>
      <c r="BY66"/>
      <c r="BZ66"/>
      <c r="CA66"/>
      <c r="CB66"/>
      <c r="CC66"/>
      <c r="CF66" s="87"/>
    </row>
    <row r="67" spans="2:88" x14ac:dyDescent="0.35">
      <c r="C67" s="108"/>
      <c r="D67" s="108"/>
      <c r="E67" s="108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116" t="s">
        <v>228</v>
      </c>
      <c r="S67" s="94">
        <f>IFERROR((SUMIF(B45:B63,1,H45:H63))/H64*S65,0*1)</f>
        <v>0</v>
      </c>
      <c r="T67" s="109"/>
      <c r="U67" s="87"/>
      <c r="V67" s="87"/>
      <c r="W67" s="87"/>
      <c r="X67" s="87"/>
      <c r="Y67" s="87"/>
      <c r="Z67" s="87"/>
      <c r="AM67" s="87"/>
      <c r="AV67" s="108"/>
      <c r="AW67" s="108"/>
      <c r="AX67" s="108"/>
      <c r="AY67" s="87"/>
      <c r="AZ67" s="87"/>
      <c r="BA67" s="87"/>
      <c r="BB67" s="87"/>
      <c r="BC67" s="87"/>
      <c r="BD67" s="87"/>
      <c r="BE67" s="87"/>
      <c r="BF67" s="87"/>
      <c r="BG67" s="87"/>
      <c r="BK67" s="109"/>
      <c r="BL67" s="87"/>
      <c r="BM67" s="87"/>
      <c r="BN67" s="87"/>
      <c r="BO67" s="87"/>
      <c r="BP67" s="87"/>
      <c r="BQ67" s="87"/>
      <c r="BR67" s="87"/>
      <c r="BS67" s="87"/>
      <c r="BT67"/>
      <c r="BU67"/>
      <c r="BV67"/>
      <c r="BW67"/>
      <c r="BX67"/>
      <c r="BY67"/>
      <c r="BZ67"/>
      <c r="CA67"/>
      <c r="CB67"/>
      <c r="CC67"/>
      <c r="CF67" s="87"/>
    </row>
    <row r="68" spans="2:88" x14ac:dyDescent="0.35">
      <c r="C68" s="108"/>
      <c r="D68" s="108"/>
      <c r="E68" s="108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116" t="s">
        <v>229</v>
      </c>
      <c r="S68" s="94">
        <f>S65-S67</f>
        <v>0</v>
      </c>
      <c r="T68" s="109"/>
      <c r="U68" s="87"/>
      <c r="V68" s="87"/>
      <c r="W68" s="87"/>
      <c r="X68" s="87"/>
      <c r="Y68" s="87"/>
      <c r="Z68" s="87"/>
      <c r="AM68" s="87"/>
      <c r="AV68" s="108"/>
      <c r="AW68" s="108"/>
      <c r="AX68" s="108"/>
      <c r="AY68" s="87"/>
      <c r="AZ68" s="87"/>
      <c r="BA68" s="87"/>
      <c r="BB68" s="87"/>
      <c r="BC68" s="87"/>
      <c r="BD68" s="87"/>
      <c r="BE68" s="87"/>
      <c r="BF68" s="87"/>
      <c r="BG68" s="87"/>
      <c r="BK68" s="109"/>
      <c r="BL68" s="87"/>
      <c r="BM68" s="87"/>
      <c r="BN68" s="87"/>
      <c r="BO68" s="87"/>
      <c r="BP68" s="87"/>
      <c r="BQ68" s="87"/>
      <c r="BR68" s="87"/>
      <c r="BS68" s="87"/>
      <c r="BT68"/>
      <c r="BU68"/>
      <c r="BV68"/>
      <c r="BW68"/>
      <c r="BX68"/>
      <c r="BY68"/>
      <c r="BZ68"/>
      <c r="CA68"/>
      <c r="CB68"/>
      <c r="CC68"/>
      <c r="CF68" s="87"/>
    </row>
    <row r="69" spans="2:88" x14ac:dyDescent="0.35">
      <c r="C69" s="108"/>
      <c r="D69" s="108"/>
      <c r="E69" s="108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T69" s="87"/>
      <c r="U69" s="87"/>
      <c r="V69" s="87"/>
      <c r="W69" s="87"/>
      <c r="X69" s="87"/>
      <c r="Y69" s="87"/>
      <c r="Z69" s="87"/>
      <c r="AM69" s="87"/>
      <c r="AV69" s="108"/>
      <c r="AW69" s="108"/>
      <c r="AX69" s="108"/>
      <c r="AY69" s="87"/>
      <c r="AZ69" s="87"/>
      <c r="BA69" s="87"/>
      <c r="BB69" s="87"/>
      <c r="BC69" s="87"/>
      <c r="BD69" s="87"/>
      <c r="BE69" s="87"/>
      <c r="BF69" s="87"/>
      <c r="BG69" s="87"/>
      <c r="BK69" s="87"/>
      <c r="BL69" s="87"/>
      <c r="BM69" s="87"/>
      <c r="BN69" s="87"/>
      <c r="BO69" s="87"/>
      <c r="BP69" s="87"/>
      <c r="BQ69" s="87"/>
      <c r="BR69" s="87"/>
      <c r="BS69" s="87"/>
      <c r="BT69"/>
      <c r="BU69"/>
      <c r="BV69"/>
      <c r="BW69"/>
      <c r="BX69"/>
      <c r="BY69"/>
      <c r="BZ69"/>
      <c r="CA69"/>
      <c r="CB69"/>
      <c r="CC69"/>
      <c r="CF69" s="87"/>
    </row>
    <row r="70" spans="2:88" x14ac:dyDescent="0.35">
      <c r="C70" s="108"/>
      <c r="D70" s="108"/>
      <c r="E70" s="108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T70" s="87"/>
      <c r="U70" s="87"/>
      <c r="V70" s="87"/>
      <c r="W70" s="87"/>
      <c r="X70" s="87"/>
      <c r="Y70" s="87"/>
      <c r="Z70" s="87"/>
      <c r="AM70" s="87"/>
      <c r="AV70" s="108"/>
      <c r="AW70" s="108"/>
      <c r="AX70" s="108"/>
      <c r="AY70" s="87"/>
      <c r="AZ70" s="87"/>
      <c r="BA70" s="87"/>
      <c r="BB70" s="87"/>
      <c r="BC70" s="87"/>
      <c r="BD70" s="87"/>
      <c r="BE70" s="87"/>
      <c r="BF70" s="87"/>
      <c r="BG70" s="87"/>
      <c r="BH70" s="87"/>
      <c r="BK70" s="87"/>
      <c r="BL70" s="87"/>
      <c r="BM70" s="87"/>
      <c r="BN70" s="87"/>
      <c r="BO70" s="87"/>
      <c r="BP70" s="87"/>
      <c r="BQ70" s="87"/>
      <c r="BR70" s="87"/>
      <c r="BS70" s="87"/>
      <c r="BT70"/>
      <c r="BU70"/>
      <c r="BV70"/>
      <c r="BW70"/>
      <c r="BX70"/>
      <c r="BY70"/>
      <c r="BZ70"/>
      <c r="CA70"/>
      <c r="CB70"/>
      <c r="CC70"/>
      <c r="CF70" s="87"/>
    </row>
    <row r="71" spans="2:88" x14ac:dyDescent="0.35">
      <c r="C71" s="108"/>
      <c r="D71" s="108"/>
      <c r="E71" s="108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T71" s="87"/>
      <c r="U71" s="87"/>
      <c r="V71" s="87"/>
      <c r="W71" s="87"/>
      <c r="X71" s="87"/>
      <c r="Y71" s="87"/>
      <c r="Z71" s="87"/>
      <c r="AM71" s="87"/>
      <c r="AV71" s="108"/>
      <c r="AW71" s="108"/>
      <c r="AX71" s="108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K71" s="87"/>
      <c r="BL71" s="87"/>
      <c r="BM71" s="87"/>
      <c r="BN71" s="87"/>
      <c r="BO71" s="87"/>
      <c r="BP71" s="87"/>
      <c r="BQ71" s="87"/>
      <c r="BR71" s="87"/>
      <c r="BS71" s="87"/>
      <c r="BT71"/>
      <c r="BU71"/>
      <c r="BV71"/>
      <c r="BW71"/>
      <c r="BX71"/>
      <c r="BY71"/>
      <c r="BZ71"/>
      <c r="CA71"/>
      <c r="CB71"/>
      <c r="CC71"/>
      <c r="CF71" s="87"/>
    </row>
    <row r="73" spans="2:88" ht="16" thickBot="1" x14ac:dyDescent="0.4">
      <c r="C73" s="421" t="s">
        <v>338</v>
      </c>
      <c r="D73" s="482">
        <f>DP!Y14</f>
        <v>0</v>
      </c>
      <c r="AV73" s="421" t="s">
        <v>338</v>
      </c>
      <c r="AW73" s="482">
        <f>DP!BA14</f>
        <v>183600</v>
      </c>
    </row>
    <row r="74" spans="2:88" ht="15.5" customHeight="1" x14ac:dyDescent="0.35">
      <c r="C74" s="1026" t="s">
        <v>78</v>
      </c>
      <c r="D74" s="1009" t="s">
        <v>169</v>
      </c>
      <c r="E74" s="1010"/>
      <c r="F74" s="1010"/>
      <c r="G74" s="1010"/>
      <c r="H74" s="1011"/>
      <c r="I74" s="130"/>
      <c r="J74" s="1015" t="s">
        <v>170</v>
      </c>
      <c r="K74" s="1015" t="s">
        <v>215</v>
      </c>
      <c r="L74" s="1015" t="s">
        <v>216</v>
      </c>
      <c r="M74" s="1017" t="s">
        <v>217</v>
      </c>
      <c r="N74" s="130"/>
      <c r="O74" s="1019" t="s">
        <v>213</v>
      </c>
      <c r="P74" s="1007"/>
      <c r="Q74" s="1007"/>
      <c r="R74" s="1007"/>
      <c r="S74" s="1007"/>
      <c r="T74" s="1007"/>
      <c r="U74" s="1007"/>
      <c r="V74" s="1007"/>
      <c r="W74" s="1007"/>
      <c r="X74" s="1007"/>
      <c r="Y74" s="1007"/>
      <c r="Z74" s="130"/>
      <c r="AA74" s="1019" t="s">
        <v>180</v>
      </c>
      <c r="AB74" s="1007"/>
      <c r="AC74" s="1007"/>
      <c r="AD74" s="1007"/>
      <c r="AE74" s="1007"/>
      <c r="AF74" s="1007"/>
      <c r="AG74" s="1007"/>
      <c r="AH74" s="1007"/>
      <c r="AI74" s="1007"/>
      <c r="AJ74" s="1007"/>
      <c r="AK74" s="1007"/>
      <c r="AL74" s="1020"/>
      <c r="AM74" s="130"/>
      <c r="AN74" s="131" t="s">
        <v>214</v>
      </c>
      <c r="AO74" s="1006" t="s">
        <v>361</v>
      </c>
      <c r="AP74" s="1007"/>
      <c r="AQ74" s="1008"/>
      <c r="AV74" s="1026" t="s">
        <v>78</v>
      </c>
      <c r="AW74" s="1009" t="s">
        <v>169</v>
      </c>
      <c r="AX74" s="1010"/>
      <c r="AY74" s="1010"/>
      <c r="AZ74" s="1010"/>
      <c r="BA74" s="1011"/>
      <c r="BB74" s="130"/>
      <c r="BC74" s="1015" t="s">
        <v>170</v>
      </c>
      <c r="BD74" s="1015" t="s">
        <v>215</v>
      </c>
      <c r="BE74" s="1015" t="s">
        <v>216</v>
      </c>
      <c r="BF74" s="1017" t="s">
        <v>217</v>
      </c>
      <c r="BG74" s="130"/>
      <c r="BH74" s="1019" t="s">
        <v>213</v>
      </c>
      <c r="BI74" s="1007"/>
      <c r="BJ74" s="1007"/>
      <c r="BK74" s="1029"/>
      <c r="BL74" s="1029"/>
      <c r="BM74" s="1029"/>
      <c r="BN74" s="1029"/>
      <c r="BO74" s="1029"/>
      <c r="BP74" s="1029"/>
      <c r="BQ74" s="130"/>
      <c r="BR74" s="130"/>
      <c r="BS74" s="130"/>
      <c r="BT74" s="1019" t="s">
        <v>180</v>
      </c>
      <c r="BU74" s="1007"/>
      <c r="BV74" s="1007"/>
      <c r="BW74" s="1007"/>
      <c r="BX74" s="1007"/>
      <c r="BY74" s="1007"/>
      <c r="BZ74" s="1007"/>
      <c r="CA74" s="1007"/>
      <c r="CB74" s="1007"/>
      <c r="CC74" s="1007"/>
      <c r="CD74" s="1007"/>
      <c r="CE74" s="1020"/>
      <c r="CF74" s="130"/>
      <c r="CG74" s="131" t="s">
        <v>214</v>
      </c>
      <c r="CH74" s="1006" t="s">
        <v>361</v>
      </c>
      <c r="CI74" s="1007"/>
      <c r="CJ74" s="1008"/>
    </row>
    <row r="75" spans="2:88" ht="30.5" thickBot="1" x14ac:dyDescent="0.4">
      <c r="C75" s="1027"/>
      <c r="D75" s="1012"/>
      <c r="E75" s="1013"/>
      <c r="F75" s="1013"/>
      <c r="G75" s="1013"/>
      <c r="H75" s="1014"/>
      <c r="I75" s="130"/>
      <c r="J75" s="1016"/>
      <c r="K75" s="1016"/>
      <c r="L75" s="1016"/>
      <c r="M75" s="1018"/>
      <c r="N75" s="130"/>
      <c r="O75" s="134" t="s">
        <v>218</v>
      </c>
      <c r="P75" s="415"/>
      <c r="Q75" s="415"/>
      <c r="R75" s="135"/>
      <c r="S75" s="135"/>
      <c r="T75" s="69" t="s">
        <v>171</v>
      </c>
      <c r="U75" s="69"/>
      <c r="V75" s="69"/>
      <c r="W75" s="69" t="s">
        <v>172</v>
      </c>
      <c r="X75" s="69"/>
      <c r="Y75" s="69"/>
      <c r="Z75" s="130"/>
      <c r="AA75" s="1021" t="s">
        <v>173</v>
      </c>
      <c r="AB75" s="1022"/>
      <c r="AC75" s="1023"/>
      <c r="AD75" s="1024" t="s">
        <v>174</v>
      </c>
      <c r="AE75" s="1022"/>
      <c r="AF75" s="1023"/>
      <c r="AG75" s="1024" t="s">
        <v>175</v>
      </c>
      <c r="AH75" s="1022"/>
      <c r="AI75" s="1023"/>
      <c r="AJ75" s="1024" t="s">
        <v>176</v>
      </c>
      <c r="AK75" s="1022"/>
      <c r="AL75" s="1025"/>
      <c r="AM75" s="130"/>
      <c r="AN75" s="115" t="s">
        <v>177</v>
      </c>
      <c r="AO75" s="458" t="s">
        <v>362</v>
      </c>
      <c r="AP75" s="458" t="s">
        <v>363</v>
      </c>
      <c r="AQ75" s="494" t="s">
        <v>364</v>
      </c>
      <c r="AV75" s="1027"/>
      <c r="AW75" s="1012"/>
      <c r="AX75" s="1013"/>
      <c r="AY75" s="1013"/>
      <c r="AZ75" s="1013"/>
      <c r="BA75" s="1014"/>
      <c r="BB75" s="130"/>
      <c r="BC75" s="1016"/>
      <c r="BD75" s="1016"/>
      <c r="BE75" s="1016"/>
      <c r="BF75" s="1018"/>
      <c r="BG75" s="130"/>
      <c r="BH75" s="1031" t="s">
        <v>234</v>
      </c>
      <c r="BI75" s="1032"/>
      <c r="BJ75" s="1032"/>
      <c r="BK75" s="1030" t="s">
        <v>171</v>
      </c>
      <c r="BL75" s="1030"/>
      <c r="BM75" s="1030"/>
      <c r="BN75" s="1030" t="s">
        <v>231</v>
      </c>
      <c r="BO75" s="1030"/>
      <c r="BP75" s="1030"/>
      <c r="BQ75" s="130"/>
      <c r="BR75" s="130"/>
      <c r="BS75" s="130"/>
      <c r="BT75" s="1021" t="s">
        <v>173</v>
      </c>
      <c r="BU75" s="1022"/>
      <c r="BV75" s="1023"/>
      <c r="BW75" s="1024" t="s">
        <v>174</v>
      </c>
      <c r="BX75" s="1022"/>
      <c r="BY75" s="1023"/>
      <c r="BZ75" s="1024" t="s">
        <v>175</v>
      </c>
      <c r="CA75" s="1022"/>
      <c r="CB75" s="1023"/>
      <c r="CC75" s="1024" t="s">
        <v>176</v>
      </c>
      <c r="CD75" s="1022"/>
      <c r="CE75" s="1025"/>
      <c r="CF75" s="130"/>
      <c r="CG75" s="432" t="s">
        <v>177</v>
      </c>
      <c r="CH75" s="458" t="s">
        <v>362</v>
      </c>
      <c r="CI75" s="458" t="s">
        <v>363</v>
      </c>
      <c r="CJ75" s="494" t="s">
        <v>364</v>
      </c>
    </row>
    <row r="76" spans="2:88" ht="16" thickBot="1" x14ac:dyDescent="0.4">
      <c r="C76" s="1028"/>
      <c r="D76" s="111" t="s">
        <v>225</v>
      </c>
      <c r="E76" s="111"/>
      <c r="F76" s="112" t="s">
        <v>178</v>
      </c>
      <c r="G76" s="113" t="s">
        <v>226</v>
      </c>
      <c r="H76" s="114" t="s">
        <v>227</v>
      </c>
      <c r="I76" s="136"/>
      <c r="J76" s="119" t="s">
        <v>179</v>
      </c>
      <c r="K76" s="137" t="s">
        <v>224</v>
      </c>
      <c r="L76" s="137" t="s">
        <v>224</v>
      </c>
      <c r="M76" s="138" t="s">
        <v>224</v>
      </c>
      <c r="N76" s="136"/>
      <c r="O76" s="118" t="s">
        <v>223</v>
      </c>
      <c r="P76" s="119" t="s">
        <v>179</v>
      </c>
      <c r="Q76" s="137" t="s">
        <v>224</v>
      </c>
      <c r="R76" s="119" t="s">
        <v>179</v>
      </c>
      <c r="S76" s="137" t="s">
        <v>224</v>
      </c>
      <c r="T76" s="119" t="s">
        <v>219</v>
      </c>
      <c r="U76" s="119" t="s">
        <v>179</v>
      </c>
      <c r="V76" s="137" t="s">
        <v>224</v>
      </c>
      <c r="W76" s="119" t="s">
        <v>219</v>
      </c>
      <c r="X76" s="119" t="s">
        <v>179</v>
      </c>
      <c r="Y76" s="137" t="s">
        <v>224</v>
      </c>
      <c r="Z76" s="136"/>
      <c r="AA76" s="118" t="s">
        <v>220</v>
      </c>
      <c r="AB76" s="119" t="s">
        <v>179</v>
      </c>
      <c r="AC76" s="137" t="s">
        <v>224</v>
      </c>
      <c r="AD76" s="119" t="s">
        <v>220</v>
      </c>
      <c r="AE76" s="119" t="s">
        <v>179</v>
      </c>
      <c r="AF76" s="137" t="s">
        <v>224</v>
      </c>
      <c r="AG76" s="119" t="s">
        <v>220</v>
      </c>
      <c r="AH76" s="119" t="s">
        <v>179</v>
      </c>
      <c r="AI76" s="137" t="s">
        <v>224</v>
      </c>
      <c r="AJ76" s="119" t="s">
        <v>221</v>
      </c>
      <c r="AK76" s="119" t="s">
        <v>179</v>
      </c>
      <c r="AL76" s="138" t="s">
        <v>224</v>
      </c>
      <c r="AM76" s="136"/>
      <c r="AN76" s="139" t="s">
        <v>224</v>
      </c>
      <c r="AO76" s="137" t="s">
        <v>224</v>
      </c>
      <c r="AP76" s="137" t="s">
        <v>224</v>
      </c>
      <c r="AQ76" s="137" t="s">
        <v>224</v>
      </c>
      <c r="AV76" s="1028"/>
      <c r="AW76" s="111" t="s">
        <v>225</v>
      </c>
      <c r="AX76" s="111" t="s">
        <v>329</v>
      </c>
      <c r="AY76" s="112" t="s">
        <v>178</v>
      </c>
      <c r="AZ76" s="113" t="s">
        <v>226</v>
      </c>
      <c r="BA76" s="114" t="s">
        <v>227</v>
      </c>
      <c r="BB76" s="136"/>
      <c r="BC76" s="119" t="s">
        <v>179</v>
      </c>
      <c r="BD76" s="137" t="s">
        <v>224</v>
      </c>
      <c r="BE76" s="137" t="s">
        <v>224</v>
      </c>
      <c r="BF76" s="138" t="s">
        <v>224</v>
      </c>
      <c r="BG76" s="136"/>
      <c r="BH76" s="118" t="s">
        <v>219</v>
      </c>
      <c r="BI76" s="119" t="s">
        <v>179</v>
      </c>
      <c r="BJ76" s="434" t="s">
        <v>224</v>
      </c>
      <c r="BK76" s="3" t="s">
        <v>219</v>
      </c>
      <c r="BL76" s="3" t="s">
        <v>179</v>
      </c>
      <c r="BM76" s="490" t="s">
        <v>224</v>
      </c>
      <c r="BN76" s="3" t="s">
        <v>219</v>
      </c>
      <c r="BO76" s="3" t="s">
        <v>179</v>
      </c>
      <c r="BP76" s="490" t="s">
        <v>224</v>
      </c>
      <c r="BQ76" s="136"/>
      <c r="BR76" s="136"/>
      <c r="BS76" s="136"/>
      <c r="BT76" s="118" t="s">
        <v>220</v>
      </c>
      <c r="BU76" s="119" t="s">
        <v>179</v>
      </c>
      <c r="BV76" s="137" t="s">
        <v>224</v>
      </c>
      <c r="BW76" s="119" t="s">
        <v>220</v>
      </c>
      <c r="BX76" s="119" t="s">
        <v>179</v>
      </c>
      <c r="BY76" s="137" t="s">
        <v>224</v>
      </c>
      <c r="BZ76" s="119" t="s">
        <v>220</v>
      </c>
      <c r="CA76" s="119" t="s">
        <v>179</v>
      </c>
      <c r="CB76" s="137" t="s">
        <v>224</v>
      </c>
      <c r="CC76" s="119" t="s">
        <v>221</v>
      </c>
      <c r="CD76" s="119" t="s">
        <v>179</v>
      </c>
      <c r="CE76" s="138" t="s">
        <v>224</v>
      </c>
      <c r="CF76" s="136"/>
      <c r="CG76" s="139" t="s">
        <v>224</v>
      </c>
      <c r="CH76" s="137" t="s">
        <v>224</v>
      </c>
      <c r="CI76" s="137" t="s">
        <v>224</v>
      </c>
      <c r="CJ76" s="137" t="s">
        <v>224</v>
      </c>
    </row>
    <row r="77" spans="2:88" ht="16" thickBot="1" x14ac:dyDescent="0.4">
      <c r="C77" s="117" t="s">
        <v>194</v>
      </c>
      <c r="D77" s="117"/>
      <c r="E77" s="11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7"/>
      <c r="AM77" s="87"/>
      <c r="AN77" s="87"/>
      <c r="AO77" s="87"/>
      <c r="AP77" s="87"/>
      <c r="AQ77" s="87"/>
      <c r="AV77" s="117" t="s">
        <v>350</v>
      </c>
      <c r="AW77" s="117"/>
      <c r="AX77" s="117"/>
      <c r="AY77" s="87"/>
      <c r="AZ77" s="87"/>
      <c r="BA77" s="87"/>
      <c r="BB77" s="87"/>
      <c r="BC77" s="87"/>
      <c r="BD77" s="87"/>
      <c r="BE77" s="87"/>
      <c r="BF77" s="87"/>
      <c r="BG77" s="87"/>
      <c r="BH77" s="87"/>
      <c r="BI77" s="87"/>
      <c r="BJ77" s="87"/>
      <c r="BK77" s="491"/>
      <c r="BL77" s="491"/>
      <c r="BM77" s="491"/>
      <c r="BN77" s="491"/>
      <c r="BO77" s="491"/>
      <c r="BP77" s="491"/>
      <c r="BQ77" s="87"/>
      <c r="BR77" s="87"/>
      <c r="BS77" s="87"/>
      <c r="BT77" s="87"/>
      <c r="BU77" s="87"/>
      <c r="BV77" s="87"/>
      <c r="BW77" s="87"/>
      <c r="BX77" s="87"/>
      <c r="BY77" s="87"/>
      <c r="BZ77" s="87"/>
      <c r="CA77" s="87"/>
      <c r="CB77" s="87"/>
      <c r="CC77" s="87"/>
      <c r="CD77" s="87"/>
      <c r="CE77" s="87"/>
      <c r="CF77" s="87"/>
      <c r="CG77" s="87"/>
      <c r="CH77" s="87"/>
      <c r="CI77" s="87"/>
      <c r="CJ77" s="87"/>
    </row>
    <row r="78" spans="2:88" x14ac:dyDescent="0.35">
      <c r="B78" s="480">
        <f>DP!S18</f>
        <v>1</v>
      </c>
      <c r="C78" s="480" t="str">
        <f>DP!T18</f>
        <v xml:space="preserve">PALMITO ENTERO 800 </v>
      </c>
      <c r="D78" s="480">
        <f>DP!U18</f>
        <v>800</v>
      </c>
      <c r="E78" s="480">
        <f>DP!V18</f>
        <v>500</v>
      </c>
      <c r="F78" s="412">
        <f>IFERROR((H78*1000)/E78,0*1)</f>
        <v>0</v>
      </c>
      <c r="G78" s="470">
        <f>DP!Y18</f>
        <v>0</v>
      </c>
      <c r="H78" s="98">
        <f>$D$73*G78</f>
        <v>0</v>
      </c>
      <c r="I78" s="97"/>
      <c r="J78" s="101">
        <f t="shared" ref="J78:J96" si="65">IF(F78&gt;0,L78/F78,0*1)</f>
        <v>0</v>
      </c>
      <c r="K78" s="122">
        <f t="shared" ref="K78:K96" si="66">IF(F78&gt;0,M78/F78,0*1)</f>
        <v>0</v>
      </c>
      <c r="L78" s="140">
        <f t="shared" ref="L78:L96" si="67">IF(F78&gt;0,M78+AQ78,0*1)</f>
        <v>0</v>
      </c>
      <c r="M78" s="123">
        <f t="shared" ref="M78:M96" si="68">IF(F78&gt;0,(S78+V78+Y78+AC78+AF78+AI78+AL78+AN78),0*1)</f>
        <v>0</v>
      </c>
      <c r="N78" s="100"/>
      <c r="O78" s="141">
        <f>($E78/DP!$M$29)*F78</f>
        <v>0</v>
      </c>
      <c r="P78" s="102">
        <f>IF(O78&gt;0,(DP!$M$31),0*1)</f>
        <v>0</v>
      </c>
      <c r="Q78" s="102">
        <f>O78*P78</f>
        <v>0</v>
      </c>
      <c r="R78" s="101">
        <f>IF(O78&gt;0,S78/O78,0*1)</f>
        <v>0</v>
      </c>
      <c r="S78" s="418">
        <f>IFERROR(IF(B78=1,(S$100+70%*S$101)/(SUMIF($B$78:$B$96,1,$H$78:$H$96))*H78,(30%*S$101)/(SUMIF($B$78:$B$96,0,$H$78:$H$96))*H78),0*1)</f>
        <v>0</v>
      </c>
      <c r="T78" s="475">
        <f>H78*DP!$O$44</f>
        <v>0</v>
      </c>
      <c r="U78" s="475">
        <f>IF(H78&gt;0,DP!$P$44,0*1)</f>
        <v>0</v>
      </c>
      <c r="V78" s="475">
        <f>T78*U78</f>
        <v>0</v>
      </c>
      <c r="W78" s="475">
        <f>H78*DP!$O$45</f>
        <v>0</v>
      </c>
      <c r="X78" s="475">
        <f>IF(H78&gt;0,DP!$P$45,0*1)</f>
        <v>0</v>
      </c>
      <c r="Y78" s="475">
        <f>W78*X78</f>
        <v>0</v>
      </c>
      <c r="Z78" s="100"/>
      <c r="AA78" s="93">
        <f>IF(D78=DP!$L$15,F78*(1+DP!$M$15),IF(D78=DP!$L$16,F78*(1+DP!$M$16),IF(D78=DP!$L$17,F78*(1+DP!$M$17),IF(D78=DP!$L$18,F78*(1+DP!$M$18),0*1))))</f>
        <v>0</v>
      </c>
      <c r="AB78" s="102">
        <f>IF(D78=DP!$L$22,(DP!$M$22),IF(D78=DP!$L$23,(DP!$M$23),IF(D78=DP!$L$24,(DP!$M$24),IF(D78=DP!$L$25,(DP!$M$25),((0*1))))))</f>
        <v>0</v>
      </c>
      <c r="AC78" s="93">
        <f>AA78*AB78</f>
        <v>0</v>
      </c>
      <c r="AD78" s="93">
        <f>IF(D78=DP!$L$15,F78*(1+DP!$M$15),IF(D78=DP!$L$16,F78*(1+DP!$M$16),IF(D78=DP!$L$17,F78*(1+DP!$M$17),IF(D78=DP!$L$18,F78*(1+DP!$M$18),0*1))))</f>
        <v>0</v>
      </c>
      <c r="AE78" s="102">
        <f>IF(D78=DP!$L$22,(DP!$N$22),IF(D78=DP!$L$23,(DP!$N$23),IF(D78=DP!$L$24,(DP!$N$24),IF(D78=DP!$L$25,(DP!$N$25),((0*1))))))</f>
        <v>0</v>
      </c>
      <c r="AF78" s="93">
        <f>AD78*AE78</f>
        <v>0</v>
      </c>
      <c r="AG78" s="93">
        <f>IF(D78=DP!$L$15,(F78/DP!$K$15)*(1+DP!$M$15),IF(D78=DP!$L$16,(F78/DP!$K$16)*(1+DP!$M$16),IF(D78=DP!$L$17,(F78/DP!$K$17)*(1+DP!$M$17),IF(D78=DP!$L$18,(F78/DP!$K$18)*(1+DP!$M$18),0*1))))</f>
        <v>0</v>
      </c>
      <c r="AH78" s="102">
        <f>IF(D78=DP!$L$22,(DP!$O$22),IF(D78=DP!$L$23,(DP!$O$23),IF(D78=DP!$L$24,(DP!$O$24),IF(D78=DP!$L$25,(DP!$O$25),((0*1))))))</f>
        <v>0</v>
      </c>
      <c r="AI78" s="93">
        <f>AG78*AH78</f>
        <v>0</v>
      </c>
      <c r="AJ78" s="93">
        <f>IF(D78=DP!$L$15,F78*(1+DP!$M$15),IF(D78=DP!$L$16,F78*(1+DP!$M$16),IF(D78=DP!$L$17,F78*(1+DP!$M$17),IF(D78=DP!$L$18,F78*(1+DP!$M$18),0*1))))</f>
        <v>0</v>
      </c>
      <c r="AK78" s="102">
        <f>IF(D78=DP!$L$22,(DP!$P$22),IF(D78=DP!$L$23,(DP!$P$23),IF(D78=DP!$L$24,(DP!$P$24),IF(D78=DP!$L$25,(DP!$P$25),((0*1))))))</f>
        <v>0</v>
      </c>
      <c r="AL78" s="93">
        <f>AJ78*AK78</f>
        <v>0</v>
      </c>
      <c r="AM78" s="100"/>
      <c r="AN78" s="149">
        <f t="shared" ref="AN78:AN96" si="69">IF(F78&gt;0,AN$98/H$97*H78,0*1)</f>
        <v>0</v>
      </c>
      <c r="AO78" s="149">
        <f>DP!$N$35*H78</f>
        <v>0</v>
      </c>
      <c r="AP78" s="149">
        <f>DP!$O$35*H78</f>
        <v>0</v>
      </c>
      <c r="AQ78" s="149">
        <f>DP!$P$35*H78</f>
        <v>0</v>
      </c>
      <c r="AV78" s="489" t="str">
        <f>DP!AV18</f>
        <v>PIÑA RODAJA 850</v>
      </c>
      <c r="AW78" s="489">
        <f>DP!AW18</f>
        <v>850</v>
      </c>
      <c r="AX78" s="489">
        <f>DP!AX18</f>
        <v>425</v>
      </c>
      <c r="AY78" s="412">
        <f>IFERROR((BA78*1000)/AX78,0*1)</f>
        <v>0</v>
      </c>
      <c r="AZ78" s="470">
        <f>DP!BA18</f>
        <v>0</v>
      </c>
      <c r="BA78" s="98">
        <f>$AW$73*AZ78</f>
        <v>0</v>
      </c>
      <c r="BB78" s="97"/>
      <c r="BC78" s="101">
        <f t="shared" ref="BC78:BC96" si="70">IF(AY78&gt;0,BE78/AY78,0*1)</f>
        <v>0</v>
      </c>
      <c r="BD78" s="122">
        <f t="shared" ref="BD78:BD96" si="71">IF(AY78&gt;0,BF78/AY78,0*1)</f>
        <v>0</v>
      </c>
      <c r="BE78" s="140">
        <f t="shared" ref="BE78:BE96" si="72">IF(AY78&gt;0,BF78+CJ78,0*1)</f>
        <v>0</v>
      </c>
      <c r="BF78" s="123">
        <f t="shared" ref="BF78:BF96" si="73">IF(AY78&gt;0,(BJ78+BM78+BP78+BV78+BY78+CB78+CE78+CG78),0*1)</f>
        <v>0</v>
      </c>
      <c r="BG78" s="100"/>
      <c r="BH78" s="102">
        <f>IFERROR((BA78*100%)/DP!$AO$29,(0*1))</f>
        <v>0</v>
      </c>
      <c r="BI78" s="102">
        <f>IF(BH78&gt;0,(DP!$AO$31),0*1)</f>
        <v>0</v>
      </c>
      <c r="BJ78" s="435">
        <f>BH78*BI78</f>
        <v>0</v>
      </c>
      <c r="BK78" s="475">
        <f>BA78*DP!$AQ$44</f>
        <v>0</v>
      </c>
      <c r="BL78" s="475">
        <f>IF(BA78&gt;0,DP!$AR$44,0*1)</f>
        <v>0</v>
      </c>
      <c r="BM78" s="475">
        <f>BK78*BL78</f>
        <v>0</v>
      </c>
      <c r="BN78" s="102">
        <f>BA78*DP!$AQ$45</f>
        <v>0</v>
      </c>
      <c r="BO78" s="102">
        <f>IF(BA78&gt;0,DP!$AR$45,0*1)</f>
        <v>0</v>
      </c>
      <c r="BP78" s="475">
        <f>BN78*BO78</f>
        <v>0</v>
      </c>
      <c r="BQ78" s="100"/>
      <c r="BR78" s="100"/>
      <c r="BS78" s="100"/>
      <c r="BT78" s="93">
        <f>IF(AW78=DP!$AN$15,AY78*(1+DP!$AO$15),IF(AW78=DP!$AN$16,AY78*(1+DP!$AO$16),IF(AW78=DP!$AN$17,AY78*(1+DP!$AO$17),IF(AW78=DP!$AN$18,AY78*(1+DP!$AO$18),0*1))))</f>
        <v>0</v>
      </c>
      <c r="BU78" s="102">
        <f>IF(AW78=DP!$AN$22,(DP!$AO$22),IF(AW78=DP!$AN$23,(DP!$AO$23),IF(AW78=DP!$AN$24,(DP!$AO$24),IF(AW78=DP!$AN$25,(DP!$AO$25),((0*1))))))</f>
        <v>0</v>
      </c>
      <c r="BV78" s="93">
        <f>BT78*BU78</f>
        <v>0</v>
      </c>
      <c r="BW78" s="93">
        <f>IF(AW78=DP!$AN$15,AY78*(1+DP!$AO$15),IF(AW78=DP!$AN$16,AY78*(1+DP!$AO$16),IF(AW78=DP!$AN$17,AY78*(1+DP!$AO$17),IF(AW78=DP!$AN$18,AY78*(1+DP!$AO$18),0*1))))</f>
        <v>0</v>
      </c>
      <c r="BX78" s="102">
        <f>IF(AW78=DP!$AN$22,(DP!$AP$22),IF(AW78=DP!$AN$23,(DP!$AP$23),IF(AW78=DP!$AN$24,(DP!$AP$24),IF(AW78=DP!$AN$25,(DP!$AP$25),((0*1))))))</f>
        <v>0</v>
      </c>
      <c r="BY78" s="93">
        <f>BW78*BX78</f>
        <v>0</v>
      </c>
      <c r="BZ78" s="93">
        <f>IF(AW78=DP!$AN$15,(AY78/DP!$AM$15)*(1+DP!$AO$15),IF(AW78=DP!$AN$16,(AY78/DP!$AM$16)*(1+DP!$AO$16),IF(AW78=DP!$AN$17,(AY78/DP!$AM$17)*(1+DP!$AO$17),IF(AW78=DP!$AN$18,(AY78/DP!$AM$18)*(1+DP!$AO$18),0*1))))</f>
        <v>0</v>
      </c>
      <c r="CA78" s="102">
        <f>IF(AW78=DP!$AN$22,(DP!$AQ$22),IF(AW78=DP!$AN$23,(DP!$AQ$23),IF(AW78=DP!$AN$24,(DP!$AQ$24),IF(AW78=DP!$AN$25,(DP!$AQ$25),((0*1))))))</f>
        <v>0</v>
      </c>
      <c r="CB78" s="93">
        <f t="shared" ref="CB78:CB96" si="74">BZ78*CA78</f>
        <v>0</v>
      </c>
      <c r="CC78" s="93">
        <f>IF(AW78=DP!$AN$15,AY78*(1+DP!$AO$15),IF(AW78=DP!$AN$16,AY78*(1+DP!$AO$16),IF(AW78=DP!$AN$17,AY78*(1+DP!$AO$17),IF(AW78=DP!$AN$18,AY78*(1+DP!$AO$18),0*1))))</f>
        <v>0</v>
      </c>
      <c r="CD78" s="102">
        <f>IF(AW78=DP!$AN$22,(DP!$AR$22),IF(AW78=DP!$AN$23,(DP!$AR$23),IF(AW78=DP!$AN$24,(DP!$AR$24),IF(AW78=DP!$AN$25,(DP!$AR$25),((0*1))))))</f>
        <v>0</v>
      </c>
      <c r="CE78" s="93">
        <f>CC78*CD78</f>
        <v>0</v>
      </c>
      <c r="CF78" s="100"/>
      <c r="CG78" s="149">
        <f t="shared" ref="CG78:CG96" si="75">IF(AY78&gt;0,CG$98/BA$97*BA78,0*1)</f>
        <v>0</v>
      </c>
      <c r="CH78" s="149">
        <f>DP!$N$35*BA78</f>
        <v>0</v>
      </c>
      <c r="CI78" s="149">
        <f>DP!$O$35*BA78</f>
        <v>0</v>
      </c>
      <c r="CJ78" s="149">
        <f>DP!$P$35*BA78</f>
        <v>0</v>
      </c>
    </row>
    <row r="79" spans="2:88" x14ac:dyDescent="0.35">
      <c r="B79" s="480">
        <f>DP!S19</f>
        <v>0</v>
      </c>
      <c r="C79" s="480" t="str">
        <f>DP!T19</f>
        <v>PALMITO RODAJA 800</v>
      </c>
      <c r="D79" s="480">
        <f>DP!U19</f>
        <v>800</v>
      </c>
      <c r="E79" s="480">
        <f>DP!V19</f>
        <v>500</v>
      </c>
      <c r="F79" s="412">
        <f t="shared" ref="F79:F96" si="76">IFERROR((H79*1000)/E79,0*1)</f>
        <v>0</v>
      </c>
      <c r="G79" s="470">
        <f>DP!Y19</f>
        <v>0</v>
      </c>
      <c r="H79" s="98">
        <f>$D$73*G79</f>
        <v>0</v>
      </c>
      <c r="I79" s="97"/>
      <c r="J79" s="102">
        <f t="shared" si="65"/>
        <v>0</v>
      </c>
      <c r="K79" s="98">
        <f t="shared" si="66"/>
        <v>0</v>
      </c>
      <c r="L79" s="93">
        <f t="shared" si="67"/>
        <v>0</v>
      </c>
      <c r="M79" s="99">
        <f t="shared" si="68"/>
        <v>0</v>
      </c>
      <c r="N79" s="100"/>
      <c r="O79" s="146">
        <f>($E79/DP!$M$29)*F79</f>
        <v>0</v>
      </c>
      <c r="P79" s="102">
        <f>IF(O79&gt;0,(DP!$M$31),0*1)</f>
        <v>0</v>
      </c>
      <c r="Q79" s="102">
        <f>O79*P79</f>
        <v>0</v>
      </c>
      <c r="R79" s="102">
        <f t="shared" ref="R79:R96" si="77">IF(O79&gt;0,S79/O79,0*1)</f>
        <v>0</v>
      </c>
      <c r="S79" s="418">
        <f t="shared" ref="S79:S96" si="78">IFERROR(IF(B79=1,(S$100+70%*S$101)/(SUMIF($B$78:$B$96,1,$H$78:$H$96))*H79,(30%*S$101)/(SUMIF($B$78:$B$96,0,$H$78:$H$96))*H79),0*1)</f>
        <v>0</v>
      </c>
      <c r="T79" s="475">
        <f>H79*DP!$O$44</f>
        <v>0</v>
      </c>
      <c r="U79" s="475">
        <f>IF(H79&gt;0,DP!$P$44,0*1)</f>
        <v>0</v>
      </c>
      <c r="V79" s="475">
        <f t="shared" ref="V79:V96" si="79">T79*U79</f>
        <v>0</v>
      </c>
      <c r="W79" s="475">
        <f>H79*DP!$O$45</f>
        <v>0</v>
      </c>
      <c r="X79" s="475">
        <f>IF(H79&gt;0,DP!$P$45,0*1)</f>
        <v>0</v>
      </c>
      <c r="Y79" s="475">
        <f t="shared" ref="Y79:Y96" si="80">W79*X79</f>
        <v>0</v>
      </c>
      <c r="Z79" s="100"/>
      <c r="AA79" s="93">
        <f>IF(D79=DP!$L$15,F79*(1+DP!$M$15),IF(D79=DP!$L$16,F79*(1+DP!$M$16),IF(D79=DP!$L$17,F79*(1+DP!$M$17),IF(D79=DP!$L$18,F79*(1+DP!$M$18),0*1))))</f>
        <v>0</v>
      </c>
      <c r="AB79" s="102">
        <f>IF(D79=DP!$L$22,(DP!$M$22),IF(D79=DP!$L$23,(DP!$M$23),IF(D79=DP!$L$24,(DP!$M$24),IF(D79=DP!$L$25,(DP!$M$25),((0*1))))))</f>
        <v>0</v>
      </c>
      <c r="AC79" s="93">
        <f t="shared" ref="AC79:AC96" si="81">AA79*AB79</f>
        <v>0</v>
      </c>
      <c r="AD79" s="93">
        <f>IF(D79=DP!$L$15,F79*(1+DP!$M$15),IF(D79=DP!$L$16,F79*(1+DP!$M$16),IF(D79=DP!$L$17,F79*(1+DP!$M$17),IF(D79=DP!$L$18,F79*(1+DP!$M$18),0*1))))</f>
        <v>0</v>
      </c>
      <c r="AE79" s="102">
        <f>IF(D79=DP!$L$22,(DP!$N$22),IF(D79=DP!$L$23,(DP!$N$23),IF(D79=DP!$L$24,(DP!$N$24),IF(D79=DP!$L$25,(DP!$N$25),((0*1))))))</f>
        <v>0</v>
      </c>
      <c r="AF79" s="93">
        <f t="shared" ref="AF79:AF96" si="82">AD79*AE79</f>
        <v>0</v>
      </c>
      <c r="AG79" s="93">
        <f>IF(D79=DP!$L$15,(F79/DP!$K$15)*(1+DP!$M$15),IF(D79=DP!$L$16,(F79/DP!$K$16)*(1+DP!$M$16),IF(D79=DP!$L$17,(F79/DP!$K$17)*(1+DP!$M$17),IF(D79=DP!$L$18,(F79/DP!$K$18)*(1+DP!$M$18),0*1))))</f>
        <v>0</v>
      </c>
      <c r="AH79" s="102">
        <f>IF(D79=DP!$L$22,(DP!$O$22),IF(D79=DP!$L$23,(DP!$O$23),IF(D79=DP!$L$24,(DP!$O$24),IF(D79=DP!$L$25,(DP!$O$25),((0*1))))))</f>
        <v>0</v>
      </c>
      <c r="AI79" s="93">
        <f t="shared" ref="AI79:AI96" si="83">AG79*AH79</f>
        <v>0</v>
      </c>
      <c r="AJ79" s="93">
        <f>IF(D79=DP!$L$15,F79*(1+DP!$M$15),IF(D79=DP!$L$16,F79*(1+DP!$M$16),IF(D79=DP!$L$17,F79*(1+DP!$M$17),IF(D79=DP!$L$18,F79*(1+DP!$M$18),0*1))))</f>
        <v>0</v>
      </c>
      <c r="AK79" s="102">
        <f>IF(D79=DP!$L$22,(DP!$P$22),IF(D79=DP!$L$23,(DP!$P$23),IF(D79=DP!$L$24,(DP!$P$24),IF(D79=DP!$L$25,(DP!$P$25),((0*1))))))</f>
        <v>0</v>
      </c>
      <c r="AL79" s="93">
        <f t="shared" ref="AL79:AL96" si="84">AJ79*AK79</f>
        <v>0</v>
      </c>
      <c r="AM79" s="100"/>
      <c r="AN79" s="149">
        <f t="shared" si="69"/>
        <v>0</v>
      </c>
      <c r="AO79" s="149">
        <f>DP!$N$35*H79</f>
        <v>0</v>
      </c>
      <c r="AP79" s="149">
        <f>DP!$O$35*H79</f>
        <v>0</v>
      </c>
      <c r="AQ79" s="149">
        <f>DP!$P$35*H79</f>
        <v>0</v>
      </c>
      <c r="AV79" s="489" t="str">
        <f>DP!AV19</f>
        <v>PIÑA TROZO 850</v>
      </c>
      <c r="AW79" s="489">
        <f>DP!AW19</f>
        <v>850</v>
      </c>
      <c r="AX79" s="489">
        <f>DP!AX19</f>
        <v>440</v>
      </c>
      <c r="AY79" s="412">
        <f t="shared" ref="AY79:AY96" si="85">IFERROR((BA79*1000)/AX79,0*1)</f>
        <v>0</v>
      </c>
      <c r="AZ79" s="470">
        <f>DP!BA19</f>
        <v>0</v>
      </c>
      <c r="BA79" s="98">
        <f t="shared" ref="BA79:BA96" si="86">$AW$73*AZ79</f>
        <v>0</v>
      </c>
      <c r="BB79" s="97"/>
      <c r="BC79" s="102">
        <f t="shared" si="70"/>
        <v>0</v>
      </c>
      <c r="BD79" s="98">
        <f t="shared" si="71"/>
        <v>0</v>
      </c>
      <c r="BE79" s="93">
        <f t="shared" si="72"/>
        <v>0</v>
      </c>
      <c r="BF79" s="99">
        <f t="shared" si="73"/>
        <v>0</v>
      </c>
      <c r="BG79" s="100"/>
      <c r="BH79" s="102">
        <f>IFERROR((BA79*100%)/DP!$AO$29,(0*1))</f>
        <v>0</v>
      </c>
      <c r="BI79" s="102">
        <f>IF(BH79&gt;0,(DP!$AO$31),0*1)</f>
        <v>0</v>
      </c>
      <c r="BJ79" s="435">
        <f t="shared" ref="BJ79:BJ96" si="87">BH79*BI79</f>
        <v>0</v>
      </c>
      <c r="BK79" s="475">
        <f>BA79*DP!$AQ$44</f>
        <v>0</v>
      </c>
      <c r="BL79" s="475">
        <f>IF(BA79&gt;0,DP!$AR$44,0*1)</f>
        <v>0</v>
      </c>
      <c r="BM79" s="475">
        <f t="shared" ref="BM79:BM96" si="88">BK79*BL79</f>
        <v>0</v>
      </c>
      <c r="BN79" s="102">
        <f>BA79*DP!$AQ$45</f>
        <v>0</v>
      </c>
      <c r="BO79" s="102">
        <f>IF(BA79&gt;0,DP!$AR$45,0*1)</f>
        <v>0</v>
      </c>
      <c r="BP79" s="475">
        <f t="shared" ref="BP79:BP96" si="89">BN79*BO79</f>
        <v>0</v>
      </c>
      <c r="BQ79" s="100"/>
      <c r="BR79" s="100"/>
      <c r="BS79" s="100"/>
      <c r="BT79" s="93">
        <f>IF(AW79=DP!$AN$15,AY79*(1+DP!$AO$15),IF(AW79=DP!$AN$16,AY79*(1+DP!$AO$16),IF(AW79=DP!$AN$17,AY79*(1+DP!$AO$17),IF(AW79=DP!$AN$18,AY79*(1+DP!$AO$18),0*1))))</f>
        <v>0</v>
      </c>
      <c r="BU79" s="102">
        <f>IF(AW79=DP!$AN$22,(DP!$AO$22),IF(AW79=DP!$AN$23,(DP!$AO$23),IF(AW79=DP!$AN$24,(DP!$AO$24),IF(AW79=DP!$AN$25,(DP!$AO$25),((0*1))))))</f>
        <v>0</v>
      </c>
      <c r="BV79" s="93">
        <f t="shared" ref="BV79:BV96" si="90">BT79*BU79</f>
        <v>0</v>
      </c>
      <c r="BW79" s="93">
        <f>IF(AW79=DP!$AN$15,AY79*(1+DP!$AO$15),IF(AW79=DP!$AN$16,AY79*(1+DP!$AO$16),IF(AW79=DP!$AN$17,AY79*(1+DP!$AO$17),IF(AW79=DP!$AN$18,AY79*(1+DP!$AO$18),0*1))))</f>
        <v>0</v>
      </c>
      <c r="BX79" s="102">
        <f>IF(AW79=DP!$AN$22,(DP!$AP$22),IF(AW79=DP!$AN$23,(DP!$AP$23),IF(AW79=DP!$AN$24,(DP!$AP$24),IF(AW79=DP!$AN$25,(DP!$AP$25),((0*1))))))</f>
        <v>0</v>
      </c>
      <c r="BY79" s="93">
        <f t="shared" ref="BY79:BY89" si="91">BW79*BX79</f>
        <v>0</v>
      </c>
      <c r="BZ79" s="93">
        <f>IF(AW79=DP!$AN$15,(AY79/DP!$AM$15)*(1+DP!$AO$15),IF(AW79=DP!$AN$16,(AY79/DP!$AM$16)*(1+DP!$AO$16),IF(AW79=DP!$AN$17,(AY79/DP!$AM$17)*(1+DP!$AO$17),IF(AW79=DP!$AN$18,(AY79/DP!$AM$18)*(1+DP!$AO$18),0*1))))</f>
        <v>0</v>
      </c>
      <c r="CA79" s="102">
        <f>IF(AW79=DP!$AN$22,(DP!$AQ$22),IF(AW79=DP!$AN$23,(DP!$AQ$23),IF(AW79=DP!$AN$24,(DP!$AQ$24),IF(AW79=DP!$AN$25,(DP!$AQ$25),((0*1))))))</f>
        <v>0</v>
      </c>
      <c r="CB79" s="93">
        <f t="shared" si="74"/>
        <v>0</v>
      </c>
      <c r="CC79" s="93">
        <f>IF(AW79=DP!$AN$15,AY79*(1+DP!$AO$15),IF(AW79=DP!$AN$16,AY79*(1+DP!$AO$16),IF(AW79=DP!$AN$17,AY79*(1+DP!$AO$17),IF(AW79=DP!$AN$18,AY79*(1+DP!$AO$18),0*1))))</f>
        <v>0</v>
      </c>
      <c r="CD79" s="102">
        <f>IF(AW79=DP!$AN$22,(DP!$AR$22),IF(AW79=DP!$AN$23,(DP!$AR$23),IF(AW79=DP!$AN$24,(DP!$AR$24),IF(AW79=DP!$AN$25,(DP!$AR$25),((0*1))))))</f>
        <v>0</v>
      </c>
      <c r="CE79" s="93">
        <f t="shared" ref="CE79:CE96" si="92">CC79*CD79</f>
        <v>0</v>
      </c>
      <c r="CF79" s="100"/>
      <c r="CG79" s="149">
        <f t="shared" si="75"/>
        <v>0</v>
      </c>
      <c r="CH79" s="149">
        <f>DP!$N$35*BA79</f>
        <v>0</v>
      </c>
      <c r="CI79" s="149">
        <f>DP!$O$35*BA79</f>
        <v>0</v>
      </c>
      <c r="CJ79" s="149">
        <f>DP!$P$35*BA79</f>
        <v>0</v>
      </c>
    </row>
    <row r="80" spans="2:88" x14ac:dyDescent="0.35">
      <c r="B80" s="480">
        <f>DP!S20</f>
        <v>0</v>
      </c>
      <c r="C80" s="480" t="str">
        <f>DP!T20</f>
        <v>PALMITO TROZO 800</v>
      </c>
      <c r="D80" s="480">
        <f>DP!U20</f>
        <v>800</v>
      </c>
      <c r="E80" s="480">
        <f>DP!V20</f>
        <v>500</v>
      </c>
      <c r="F80" s="412">
        <f t="shared" si="76"/>
        <v>0</v>
      </c>
      <c r="G80" s="470">
        <f>DP!Y20</f>
        <v>0</v>
      </c>
      <c r="H80" s="98">
        <f t="shared" ref="H80:H96" si="93">$D$73*G80</f>
        <v>0</v>
      </c>
      <c r="I80" s="97"/>
      <c r="J80" s="102">
        <f t="shared" si="65"/>
        <v>0</v>
      </c>
      <c r="K80" s="98">
        <f t="shared" si="66"/>
        <v>0</v>
      </c>
      <c r="L80" s="93">
        <f t="shared" si="67"/>
        <v>0</v>
      </c>
      <c r="M80" s="99">
        <f t="shared" si="68"/>
        <v>0</v>
      </c>
      <c r="N80" s="100"/>
      <c r="O80" s="146">
        <f>($E80/DP!$M$29)*F80</f>
        <v>0</v>
      </c>
      <c r="P80" s="102">
        <f>IF(O80&gt;0,(DP!$M$31),0*1)</f>
        <v>0</v>
      </c>
      <c r="Q80" s="102">
        <f t="shared" ref="Q80:Q86" si="94">O80*P80</f>
        <v>0</v>
      </c>
      <c r="R80" s="102">
        <f>IF(O80&gt;0,S80/O80,0*1)</f>
        <v>0</v>
      </c>
      <c r="S80" s="418">
        <f t="shared" si="78"/>
        <v>0</v>
      </c>
      <c r="T80" s="475">
        <f>H80*DP!$O$44</f>
        <v>0</v>
      </c>
      <c r="U80" s="475">
        <f>IF(H80&gt;0,DP!$P$44,0*1)</f>
        <v>0</v>
      </c>
      <c r="V80" s="475">
        <f t="shared" si="79"/>
        <v>0</v>
      </c>
      <c r="W80" s="475">
        <f>H80*DP!$O$45</f>
        <v>0</v>
      </c>
      <c r="X80" s="475">
        <f>IF(H80&gt;0,DP!$P$45,0*1)</f>
        <v>0</v>
      </c>
      <c r="Y80" s="475">
        <f t="shared" si="80"/>
        <v>0</v>
      </c>
      <c r="Z80" s="100"/>
      <c r="AA80" s="93">
        <f>IF(D80=DP!$L$15,F80*(1+DP!$M$15),IF(D80=DP!$L$16,F80*(1+DP!$M$16),IF(D80=DP!$L$17,F80*(1+DP!$M$17),IF(D80=DP!$L$18,F80*(1+DP!$M$18),0*1))))</f>
        <v>0</v>
      </c>
      <c r="AB80" s="102">
        <f>IF(D80=DP!$L$22,(DP!$M$22),IF(D80=DP!$L$23,(DP!$M$23),IF(D80=DP!$L$24,(DP!$M$24),IF(D80=DP!$L$25,(DP!$M$25),((0*1))))))</f>
        <v>0</v>
      </c>
      <c r="AC80" s="93">
        <f t="shared" si="81"/>
        <v>0</v>
      </c>
      <c r="AD80" s="93">
        <f>IF(D80=DP!$L$15,F80*(1+DP!$M$15),IF(D80=DP!$L$16,F80*(1+DP!$M$16),IF(D80=DP!$L$17,F80*(1+DP!$M$17),IF(D80=DP!$L$18,F80*(1+DP!$M$18),0*1))))</f>
        <v>0</v>
      </c>
      <c r="AE80" s="102">
        <f>IF(D80=DP!$L$22,(DP!$N$22),IF(D80=DP!$L$23,(DP!$N$23),IF(D80=DP!$L$24,(DP!$N$24),IF(D80=DP!$L$25,(DP!$N$25),((0*1))))))</f>
        <v>0</v>
      </c>
      <c r="AF80" s="93">
        <f t="shared" si="82"/>
        <v>0</v>
      </c>
      <c r="AG80" s="93">
        <f>IF(D80=DP!$L$15,(F80/DP!$K$15)*(1+DP!$M$15),IF(D80=DP!$L$16,(F80/DP!$K$16)*(1+DP!$M$16),IF(D80=DP!$L$17,(F80/DP!$K$17)*(1+DP!$M$17),IF(D80=DP!$L$18,(F80/DP!$K$18)*(1+DP!$M$18),0*1))))</f>
        <v>0</v>
      </c>
      <c r="AH80" s="102">
        <f>IF(D80=DP!$L$22,(DP!$O$22),IF(D80=DP!$L$23,(DP!$O$23),IF(D80=DP!$L$24,(DP!$O$24),IF(D80=DP!$L$25,(DP!$O$25),((0*1))))))</f>
        <v>0</v>
      </c>
      <c r="AI80" s="93">
        <f t="shared" si="83"/>
        <v>0</v>
      </c>
      <c r="AJ80" s="93">
        <f>IF(D80=DP!$L$15,F80*(1+DP!$M$15),IF(D80=DP!$L$16,F80*(1+DP!$M$16),IF(D80=DP!$L$17,F80*(1+DP!$M$17),IF(D80=DP!$L$18,F80*(1+DP!$M$18),0*1))))</f>
        <v>0</v>
      </c>
      <c r="AK80" s="102">
        <f>IF(D80=DP!$L$22,(DP!$P$22),IF(D80=DP!$L$23,(DP!$P$23),IF(D80=DP!$L$24,(DP!$P$24),IF(D80=DP!$L$25,(DP!$P$25),((0*1))))))</f>
        <v>0</v>
      </c>
      <c r="AL80" s="93">
        <f t="shared" si="84"/>
        <v>0</v>
      </c>
      <c r="AM80" s="100"/>
      <c r="AN80" s="149">
        <f t="shared" si="69"/>
        <v>0</v>
      </c>
      <c r="AO80" s="149">
        <f>DP!$N$35*H80</f>
        <v>0</v>
      </c>
      <c r="AP80" s="149">
        <f>DP!$O$35*H80</f>
        <v>0</v>
      </c>
      <c r="AQ80" s="149">
        <f>DP!$P$35*H80</f>
        <v>0</v>
      </c>
      <c r="AV80" s="489" t="str">
        <f>DP!AV20</f>
        <v>PIÑA TROZO A-10</v>
      </c>
      <c r="AW80" s="489">
        <f>DP!AW20</f>
        <v>2920</v>
      </c>
      <c r="AX80" s="489">
        <f>DP!AX20</f>
        <v>1825</v>
      </c>
      <c r="AY80" s="412">
        <f t="shared" si="85"/>
        <v>0</v>
      </c>
      <c r="AZ80" s="470">
        <f>DP!BA20</f>
        <v>0</v>
      </c>
      <c r="BA80" s="98">
        <f t="shared" si="86"/>
        <v>0</v>
      </c>
      <c r="BB80" s="97"/>
      <c r="BC80" s="102">
        <f t="shared" si="70"/>
        <v>0</v>
      </c>
      <c r="BD80" s="98">
        <f t="shared" si="71"/>
        <v>0</v>
      </c>
      <c r="BE80" s="93">
        <f t="shared" si="72"/>
        <v>0</v>
      </c>
      <c r="BF80" s="99">
        <f t="shared" si="73"/>
        <v>0</v>
      </c>
      <c r="BG80" s="100"/>
      <c r="BH80" s="102">
        <f>IFERROR((BA80*100%)/DP!$AO$29,(0*1))</f>
        <v>0</v>
      </c>
      <c r="BI80" s="102">
        <f>IF(BH80&gt;0,(DP!$AO$31),0*1)</f>
        <v>0</v>
      </c>
      <c r="BJ80" s="435">
        <f t="shared" si="87"/>
        <v>0</v>
      </c>
      <c r="BK80" s="475">
        <f>BA80*DP!$AQ$44</f>
        <v>0</v>
      </c>
      <c r="BL80" s="475">
        <f>IF(BA80&gt;0,DP!$AR$44,0*1)</f>
        <v>0</v>
      </c>
      <c r="BM80" s="475">
        <f t="shared" si="88"/>
        <v>0</v>
      </c>
      <c r="BN80" s="102">
        <f>BA80*DP!$AQ$45</f>
        <v>0</v>
      </c>
      <c r="BO80" s="102">
        <f>IF(BA80&gt;0,DP!$AR$45,0*1)</f>
        <v>0</v>
      </c>
      <c r="BP80" s="475">
        <f t="shared" si="89"/>
        <v>0</v>
      </c>
      <c r="BQ80" s="100"/>
      <c r="BR80" s="100"/>
      <c r="BS80" s="100"/>
      <c r="BT80" s="93">
        <f>IF(AW80=DP!$AN$15,AY80*(1+DP!$AO$15),IF(AW80=DP!$AN$16,AY80*(1+DP!$AO$16),IF(AW80=DP!$AN$17,AY80*(1+DP!$AO$17),IF(AW80=DP!$AN$18,AY80*(1+DP!$AO$18),0*1))))</f>
        <v>0</v>
      </c>
      <c r="BU80" s="102">
        <f>IF(AW80=DP!$AN$22,(DP!$AO$22),IF(AW80=DP!$AN$23,(DP!$AO$23),IF(AW80=DP!$AN$24,(DP!$AO$24),IF(AW80=DP!$AN$25,(DP!$AO$25),((0*1))))))</f>
        <v>0</v>
      </c>
      <c r="BV80" s="93">
        <f t="shared" si="90"/>
        <v>0</v>
      </c>
      <c r="BW80" s="93">
        <f>IF(AW80=DP!$AN$15,AY80*(1+DP!$AO$15),IF(AW80=DP!$AN$16,AY80*(1+DP!$AO$16),IF(AW80=DP!$AN$17,AY80*(1+DP!$AO$17),IF(AW80=DP!$AN$18,AY80*(1+DP!$AO$18),0*1))))</f>
        <v>0</v>
      </c>
      <c r="BX80" s="102">
        <f>IF(AW80=DP!$AN$22,(DP!$AP$22),IF(AW80=DP!$AN$23,(DP!$AP$23),IF(AW80=DP!$AN$24,(DP!$AP$24),IF(AW80=DP!$AN$25,(DP!$AP$25),((0*1))))))</f>
        <v>0</v>
      </c>
      <c r="BY80" s="93">
        <f t="shared" si="91"/>
        <v>0</v>
      </c>
      <c r="BZ80" s="93">
        <f>IF(AW80=DP!$AN$15,(AY80/DP!$AM$15)*(1+DP!$AO$15),IF(AW80=DP!$AN$16,(AY80/DP!$AM$16)*(1+DP!$AO$16),IF(AW80=DP!$AN$17,(AY80/DP!$AM$17)*(1+DP!$AO$17),IF(AW80=DP!$AN$18,(AY80/DP!$AM$18)*(1+DP!$AO$18),0*1))))</f>
        <v>0</v>
      </c>
      <c r="CA80" s="102">
        <f>IF(AW80=DP!$AN$22,(DP!$AQ$22),IF(AW80=DP!$AN$23,(DP!$AQ$23),IF(AW80=DP!$AN$24,(DP!$AQ$24),IF(AW80=DP!$AN$25,(DP!$AQ$25),((0*1))))))</f>
        <v>0</v>
      </c>
      <c r="CB80" s="93">
        <f t="shared" si="74"/>
        <v>0</v>
      </c>
      <c r="CC80" s="93">
        <f>IF(AW80=DP!$AN$15,AY80*(1+DP!$AO$15),IF(AW80=DP!$AN$16,AY80*(1+DP!$AO$16),IF(AW80=DP!$AN$17,AY80*(1+DP!$AO$17),IF(AW80=DP!$AN$18,AY80*(1+DP!$AO$18),0*1))))</f>
        <v>0</v>
      </c>
      <c r="CD80" s="102">
        <f>IF(AW80=DP!$AN$22,(DP!$AR$22),IF(AW80=DP!$AN$23,(DP!$AR$23),IF(AW80=DP!$AN$24,(DP!$AR$24),IF(AW80=DP!$AN$25,(DP!$AR$25),((0*1))))))</f>
        <v>0</v>
      </c>
      <c r="CE80" s="93">
        <f t="shared" si="92"/>
        <v>0</v>
      </c>
      <c r="CF80" s="100"/>
      <c r="CG80" s="149">
        <f t="shared" si="75"/>
        <v>0</v>
      </c>
      <c r="CH80" s="149">
        <f>DP!$N$35*BA80</f>
        <v>0</v>
      </c>
      <c r="CI80" s="149">
        <f>DP!$O$35*BA80</f>
        <v>0</v>
      </c>
      <c r="CJ80" s="149">
        <f>DP!$P$35*BA80</f>
        <v>0</v>
      </c>
    </row>
    <row r="81" spans="2:88" x14ac:dyDescent="0.35">
      <c r="B81" s="480">
        <f>DP!S21</f>
        <v>1</v>
      </c>
      <c r="C81" s="480" t="str">
        <f>DP!T21</f>
        <v>PALMITO ENTERO 400</v>
      </c>
      <c r="D81" s="480">
        <f>DP!U21</f>
        <v>400</v>
      </c>
      <c r="E81" s="480">
        <f>DP!V21</f>
        <v>220</v>
      </c>
      <c r="F81" s="412">
        <f t="shared" si="76"/>
        <v>0</v>
      </c>
      <c r="G81" s="470">
        <f>DP!Y21</f>
        <v>0</v>
      </c>
      <c r="H81" s="98">
        <f t="shared" si="93"/>
        <v>0</v>
      </c>
      <c r="I81" s="97"/>
      <c r="J81" s="102">
        <f t="shared" si="65"/>
        <v>0</v>
      </c>
      <c r="K81" s="98">
        <f t="shared" si="66"/>
        <v>0</v>
      </c>
      <c r="L81" s="93">
        <f t="shared" si="67"/>
        <v>0</v>
      </c>
      <c r="M81" s="99">
        <f t="shared" si="68"/>
        <v>0</v>
      </c>
      <c r="N81" s="100"/>
      <c r="O81" s="146">
        <f>($E81/DP!$M$29)*F81</f>
        <v>0</v>
      </c>
      <c r="P81" s="102">
        <f>IF(O81&gt;0,(DP!$M$31),0*1)</f>
        <v>0</v>
      </c>
      <c r="Q81" s="102">
        <f t="shared" si="94"/>
        <v>0</v>
      </c>
      <c r="R81" s="102">
        <f t="shared" si="77"/>
        <v>0</v>
      </c>
      <c r="S81" s="418">
        <f>IFERROR(IF(B81=1,(S$100+70%*S$101)/(SUMIF($B$78:$B$96,1,$H$78:$H$96))*H81,(30%*S$101)/(SUMIF($B$78:$B$96,0,$H$78:$H$96))*H81),0*1)</f>
        <v>0</v>
      </c>
      <c r="T81" s="475">
        <f>H81*DP!$O$44</f>
        <v>0</v>
      </c>
      <c r="U81" s="475">
        <f>IF(H81&gt;0,DP!$P$44,0*1)</f>
        <v>0</v>
      </c>
      <c r="V81" s="475">
        <f t="shared" si="79"/>
        <v>0</v>
      </c>
      <c r="W81" s="475">
        <f>H81*DP!$O$45</f>
        <v>0</v>
      </c>
      <c r="X81" s="475">
        <f>IF(H81&gt;0,DP!$P$45,0*1)</f>
        <v>0</v>
      </c>
      <c r="Y81" s="475">
        <f t="shared" si="80"/>
        <v>0</v>
      </c>
      <c r="Z81" s="100"/>
      <c r="AA81" s="93">
        <f>IF(D81=DP!$L$15,F81*(1+DP!$M$15),IF(D81=DP!$L$16,F81*(1+DP!$M$16),IF(D81=DP!$L$17,F81*(1+DP!$M$17),IF(D81=DP!$L$18,F81*(1+DP!$M$18),0*1))))</f>
        <v>0</v>
      </c>
      <c r="AB81" s="102">
        <f>IF(D81=DP!$L$22,(DP!$M$22),IF(D81=DP!$L$23,(DP!$M$23),IF(D81=DP!$L$24,(DP!$M$24),IF(D81=DP!$L$25,(DP!$M$25),((0*1))))))</f>
        <v>0</v>
      </c>
      <c r="AC81" s="93">
        <f t="shared" si="81"/>
        <v>0</v>
      </c>
      <c r="AD81" s="93">
        <f>IF(D81=DP!$L$15,F81*(1+DP!$M$15),IF(D81=DP!$L$16,F81*(1+DP!$M$16),IF(D81=DP!$L$17,F81*(1+DP!$M$17),IF(D81=DP!$L$18,F81*(1+DP!$M$18),0*1))))</f>
        <v>0</v>
      </c>
      <c r="AE81" s="102">
        <f>IF(D81=DP!$L$22,(DP!$N$22),IF(D81=DP!$L$23,(DP!$N$23),IF(D81=DP!$L$24,(DP!$N$24),IF(D81=DP!$L$25,(DP!$N$25),((0*1))))))</f>
        <v>0</v>
      </c>
      <c r="AF81" s="93">
        <f t="shared" si="82"/>
        <v>0</v>
      </c>
      <c r="AG81" s="93">
        <f>IF(D81=DP!$L$15,(F81/DP!$K$15)*(1+DP!$M$15),IF(D81=DP!$L$16,(F81/DP!$K$16)*(1+DP!$M$16),IF(D81=DP!$L$17,(F81/DP!$K$17)*(1+DP!$M$17),IF(D81=DP!$L$18,(F81/DP!$K$18)*(1+DP!$M$18),0*1))))</f>
        <v>0</v>
      </c>
      <c r="AH81" s="102">
        <f>IF(D81=DP!$L$22,(DP!$O$22),IF(D81=DP!$L$23,(DP!$O$23),IF(D81=DP!$L$24,(DP!$O$24),IF(D81=DP!$L$25,(DP!$O$25),((0*1))))))</f>
        <v>0</v>
      </c>
      <c r="AI81" s="93">
        <f t="shared" si="83"/>
        <v>0</v>
      </c>
      <c r="AJ81" s="93">
        <f>IF(D81=DP!$L$15,F81*(1+DP!$M$15),IF(D81=DP!$L$16,F81*(1+DP!$M$16),IF(D81=DP!$L$17,F81*(1+DP!$M$17),IF(D81=DP!$L$18,F81*(1+DP!$M$18),0*1))))</f>
        <v>0</v>
      </c>
      <c r="AK81" s="102">
        <f>IF(D81=DP!$L$22,(DP!$P$22),IF(D81=DP!$L$23,(DP!$P$23),IF(D81=DP!$L$24,(DP!$P$24),IF(D81=DP!$L$25,(DP!$P$25),((0*1))))))</f>
        <v>0</v>
      </c>
      <c r="AL81" s="93">
        <f t="shared" si="84"/>
        <v>0</v>
      </c>
      <c r="AM81" s="100"/>
      <c r="AN81" s="149">
        <f t="shared" si="69"/>
        <v>0</v>
      </c>
      <c r="AO81" s="149">
        <f>DP!$N$35*H81</f>
        <v>0</v>
      </c>
      <c r="AP81" s="149">
        <f>DP!$O$35*H81</f>
        <v>0</v>
      </c>
      <c r="AQ81" s="149">
        <f>DP!$P$35*H81</f>
        <v>0</v>
      </c>
      <c r="AV81" s="489" t="str">
        <f>DP!AV21</f>
        <v>PIÑA RODAJA A-10</v>
      </c>
      <c r="AW81" s="489">
        <f>DP!AW21</f>
        <v>2920</v>
      </c>
      <c r="AX81" s="489">
        <f>DP!AX21</f>
        <v>1825</v>
      </c>
      <c r="AY81" s="412">
        <f t="shared" si="85"/>
        <v>0</v>
      </c>
      <c r="AZ81" s="470">
        <f>DP!BA21</f>
        <v>0</v>
      </c>
      <c r="BA81" s="98">
        <f t="shared" si="86"/>
        <v>0</v>
      </c>
      <c r="BB81" s="97"/>
      <c r="BC81" s="102">
        <f t="shared" si="70"/>
        <v>0</v>
      </c>
      <c r="BD81" s="98">
        <f t="shared" si="71"/>
        <v>0</v>
      </c>
      <c r="BE81" s="93">
        <f t="shared" si="72"/>
        <v>0</v>
      </c>
      <c r="BF81" s="99">
        <f t="shared" si="73"/>
        <v>0</v>
      </c>
      <c r="BG81" s="100"/>
      <c r="BH81" s="102">
        <f>IFERROR((BA81*100%)/DP!$AO$29,(0*1))</f>
        <v>0</v>
      </c>
      <c r="BI81" s="102">
        <f>IF(BH81&gt;0,(DP!$AO$31),0*1)</f>
        <v>0</v>
      </c>
      <c r="BJ81" s="435">
        <f t="shared" si="87"/>
        <v>0</v>
      </c>
      <c r="BK81" s="475">
        <f>BA81*DP!$AQ$44</f>
        <v>0</v>
      </c>
      <c r="BL81" s="475">
        <f>IF(BA81&gt;0,DP!$AR$44,0*1)</f>
        <v>0</v>
      </c>
      <c r="BM81" s="475">
        <f t="shared" si="88"/>
        <v>0</v>
      </c>
      <c r="BN81" s="102">
        <f>BA81*DP!$AQ$45</f>
        <v>0</v>
      </c>
      <c r="BO81" s="102">
        <f>IF(BA81&gt;0,DP!$AR$45,0*1)</f>
        <v>0</v>
      </c>
      <c r="BP81" s="475">
        <f t="shared" si="89"/>
        <v>0</v>
      </c>
      <c r="BQ81" s="100"/>
      <c r="BR81" s="100"/>
      <c r="BS81" s="100"/>
      <c r="BT81" s="93">
        <f>IF(AW81=DP!$AN$15,AY81*(1+DP!$AO$15),IF(AW81=DP!$AN$16,AY81*(1+DP!$AO$16),IF(AW81=DP!$AN$17,AY81*(1+DP!$AO$17),IF(AW81=DP!$AN$18,AY81*(1+DP!$AO$18),0*1))))</f>
        <v>0</v>
      </c>
      <c r="BU81" s="102">
        <f>IF(AW81=DP!$AN$22,(DP!$AO$22),IF(AW81=DP!$AN$23,(DP!$AO$23),IF(AW81=DP!$AN$24,(DP!$AO$24),IF(AW81=DP!$AN$25,(DP!$AO$25),((0*1))))))</f>
        <v>0</v>
      </c>
      <c r="BV81" s="93">
        <f t="shared" si="90"/>
        <v>0</v>
      </c>
      <c r="BW81" s="93">
        <f>IF(AW81=DP!$AN$15,AY81*(1+DP!$AO$15),IF(AW81=DP!$AN$16,AY81*(1+DP!$AO$16),IF(AW81=DP!$AN$17,AY81*(1+DP!$AO$17),IF(AW81=DP!$AN$18,AY81*(1+DP!$AO$18),0*1))))</f>
        <v>0</v>
      </c>
      <c r="BX81" s="102">
        <f>IF(AW81=DP!$AN$22,(DP!$AP$22),IF(AW81=DP!$AN$23,(DP!$AP$23),IF(AW81=DP!$AN$24,(DP!$AP$24),IF(AW81=DP!$AN$25,(DP!$AP$25),((0*1))))))</f>
        <v>0</v>
      </c>
      <c r="BY81" s="93">
        <f t="shared" si="91"/>
        <v>0</v>
      </c>
      <c r="BZ81" s="93">
        <f>IF(AW81=DP!$AN$15,(AY81/DP!$AM$15)*(1+DP!$AO$15),IF(AW81=DP!$AN$16,(AY81/DP!$AM$16)*(1+DP!$AO$16),IF(AW81=DP!$AN$17,(AY81/DP!$AM$17)*(1+DP!$AO$17),IF(AW81=DP!$AN$18,(AY81/DP!$AM$18)*(1+DP!$AO$18),0*1))))</f>
        <v>0</v>
      </c>
      <c r="CA81" s="102">
        <f>IF(AW81=DP!$AN$22,(DP!$AQ$22),IF(AW81=DP!$AN$23,(DP!$AQ$23),IF(AW81=DP!$AN$24,(DP!$AQ$24),IF(AW81=DP!$AN$25,(DP!$AQ$25),((0*1))))))</f>
        <v>0</v>
      </c>
      <c r="CB81" s="93">
        <f t="shared" si="74"/>
        <v>0</v>
      </c>
      <c r="CC81" s="93">
        <f>IF(AW81=DP!$AN$15,AY81*(1+DP!$AO$15),IF(AW81=DP!$AN$16,AY81*(1+DP!$AO$16),IF(AW81=DP!$AN$17,AY81*(1+DP!$AO$17),IF(AW81=DP!$AN$18,AY81*(1+DP!$AO$18),0*1))))</f>
        <v>0</v>
      </c>
      <c r="CD81" s="102">
        <f>IF(AW81=DP!$AN$22,(DP!$AR$22),IF(AW81=DP!$AN$23,(DP!$AR$23),IF(AW81=DP!$AN$24,(DP!$AR$24),IF(AW81=DP!$AN$25,(DP!$AR$25),((0*1))))))</f>
        <v>0</v>
      </c>
      <c r="CE81" s="93">
        <f t="shared" si="92"/>
        <v>0</v>
      </c>
      <c r="CF81" s="100"/>
      <c r="CG81" s="149">
        <f t="shared" si="75"/>
        <v>0</v>
      </c>
      <c r="CH81" s="149">
        <f>DP!$N$35*BA81</f>
        <v>0</v>
      </c>
      <c r="CI81" s="149">
        <f>DP!$O$35*BA81</f>
        <v>0</v>
      </c>
      <c r="CJ81" s="149">
        <f>DP!$P$35*BA81</f>
        <v>0</v>
      </c>
    </row>
    <row r="82" spans="2:88" x14ac:dyDescent="0.35">
      <c r="B82" s="480">
        <f>DP!S22</f>
        <v>0</v>
      </c>
      <c r="C82" s="480" t="str">
        <f>DP!T22</f>
        <v>PALMITO RODAJA 400</v>
      </c>
      <c r="D82" s="480">
        <f>DP!U22</f>
        <v>400</v>
      </c>
      <c r="E82" s="480">
        <f>DP!V22</f>
        <v>220</v>
      </c>
      <c r="F82" s="412">
        <f t="shared" si="76"/>
        <v>0</v>
      </c>
      <c r="G82" s="470">
        <f>DP!Y22</f>
        <v>0</v>
      </c>
      <c r="H82" s="98">
        <f t="shared" si="93"/>
        <v>0</v>
      </c>
      <c r="I82" s="97"/>
      <c r="J82" s="102">
        <f t="shared" si="65"/>
        <v>0</v>
      </c>
      <c r="K82" s="98">
        <f t="shared" si="66"/>
        <v>0</v>
      </c>
      <c r="L82" s="93">
        <f t="shared" si="67"/>
        <v>0</v>
      </c>
      <c r="M82" s="99">
        <f t="shared" si="68"/>
        <v>0</v>
      </c>
      <c r="N82" s="100"/>
      <c r="O82" s="146">
        <f>($E82/DP!$M$29)*F82</f>
        <v>0</v>
      </c>
      <c r="P82" s="102">
        <f>IF(O82&gt;0,(DP!$M$31),0*1)</f>
        <v>0</v>
      </c>
      <c r="Q82" s="102">
        <f t="shared" si="94"/>
        <v>0</v>
      </c>
      <c r="R82" s="102">
        <f t="shared" si="77"/>
        <v>0</v>
      </c>
      <c r="S82" s="418">
        <f t="shared" si="78"/>
        <v>0</v>
      </c>
      <c r="T82" s="475">
        <f>H82*DP!$O$44</f>
        <v>0</v>
      </c>
      <c r="U82" s="475">
        <f>IF(H82&gt;0,DP!$P$44,0*1)</f>
        <v>0</v>
      </c>
      <c r="V82" s="475">
        <f t="shared" si="79"/>
        <v>0</v>
      </c>
      <c r="W82" s="475">
        <f>H82*DP!$O$45</f>
        <v>0</v>
      </c>
      <c r="X82" s="475">
        <f>IF(H82&gt;0,DP!$P$45,0*1)</f>
        <v>0</v>
      </c>
      <c r="Y82" s="475">
        <f t="shared" si="80"/>
        <v>0</v>
      </c>
      <c r="Z82" s="100"/>
      <c r="AA82" s="93">
        <f>IF(D82=DP!$L$15,F82*(1+DP!$M$15),IF(D82=DP!$L$16,F82*(1+DP!$M$16),IF(D82=DP!$L$17,F82*(1+DP!$M$17),IF(D82=DP!$L$18,F82*(1+DP!$M$18),0*1))))</f>
        <v>0</v>
      </c>
      <c r="AB82" s="102">
        <f>IF(D82=DP!$L$22,(DP!$M$22),IF(D82=DP!$L$23,(DP!$M$23),IF(D82=DP!$L$24,(DP!$M$24),IF(D82=DP!$L$25,(DP!$M$25),((0*1))))))</f>
        <v>0</v>
      </c>
      <c r="AC82" s="93">
        <f t="shared" si="81"/>
        <v>0</v>
      </c>
      <c r="AD82" s="93">
        <f>IF(D82=DP!$L$15,F82*(1+DP!$M$15),IF(D82=DP!$L$16,F82*(1+DP!$M$16),IF(D82=DP!$L$17,F82*(1+DP!$M$17),IF(D82=DP!$L$18,F82*(1+DP!$M$18),0*1))))</f>
        <v>0</v>
      </c>
      <c r="AE82" s="102">
        <f>IF(D82=DP!$L$22,(DP!$N$22),IF(D82=DP!$L$23,(DP!$N$23),IF(D82=DP!$L$24,(DP!$N$24),IF(D82=DP!$L$25,(DP!$N$25),((0*1))))))</f>
        <v>0</v>
      </c>
      <c r="AF82" s="93">
        <f t="shared" si="82"/>
        <v>0</v>
      </c>
      <c r="AG82" s="93">
        <f>IF(D82=DP!$L$15,(F82/DP!$K$15)*(1+DP!$M$15),IF(D82=DP!$L$16,(F82/DP!$K$16)*(1+DP!$M$16),IF(D82=DP!$L$17,(F82/DP!$K$17)*(1+DP!$M$17),IF(D82=DP!$L$18,(F82/DP!$K$18)*(1+DP!$M$18),0*1))))</f>
        <v>0</v>
      </c>
      <c r="AH82" s="102">
        <f>IF(D82=DP!$L$22,(DP!$O$22),IF(D82=DP!$L$23,(DP!$O$23),IF(D82=DP!$L$24,(DP!$O$24),IF(D82=DP!$L$25,(DP!$O$25),((0*1))))))</f>
        <v>0</v>
      </c>
      <c r="AI82" s="93">
        <f t="shared" si="83"/>
        <v>0</v>
      </c>
      <c r="AJ82" s="93">
        <f>IF(D82=DP!$L$15,F82*(1+DP!$M$15),IF(D82=DP!$L$16,F82*(1+DP!$M$16),IF(D82=DP!$L$17,F82*(1+DP!$M$17),IF(D82=DP!$L$18,F82*(1+DP!$M$18),0*1))))</f>
        <v>0</v>
      </c>
      <c r="AK82" s="102">
        <f>IF(D82=DP!$L$22,(DP!$P$22),IF(D82=DP!$L$23,(DP!$P$23),IF(D82=DP!$L$24,(DP!$P$24),IF(D82=DP!$L$25,(DP!$P$25),((0*1))))))</f>
        <v>0</v>
      </c>
      <c r="AL82" s="93">
        <f t="shared" si="84"/>
        <v>0</v>
      </c>
      <c r="AM82" s="100"/>
      <c r="AN82" s="149">
        <f t="shared" si="69"/>
        <v>0</v>
      </c>
      <c r="AO82" s="149">
        <f>DP!$N$35*H82</f>
        <v>0</v>
      </c>
      <c r="AP82" s="149">
        <f>DP!$O$35*H82</f>
        <v>0</v>
      </c>
      <c r="AQ82" s="149">
        <f>DP!$P$35*H82</f>
        <v>0</v>
      </c>
      <c r="AV82" s="489" t="str">
        <f>DP!AV22</f>
        <v>PIÑA RODAJA 567</v>
      </c>
      <c r="AW82" s="489">
        <f>DP!AW22</f>
        <v>567</v>
      </c>
      <c r="AX82" s="489">
        <f>DP!AX22</f>
        <v>340</v>
      </c>
      <c r="AY82" s="412">
        <f t="shared" si="85"/>
        <v>270000</v>
      </c>
      <c r="AZ82" s="470">
        <f>DP!BA22</f>
        <v>0.5</v>
      </c>
      <c r="BA82" s="98">
        <f t="shared" si="86"/>
        <v>91800</v>
      </c>
      <c r="BB82" s="97"/>
      <c r="BC82" s="102">
        <f t="shared" si="70"/>
        <v>0.96041166831383962</v>
      </c>
      <c r="BD82" s="98">
        <f t="shared" si="71"/>
        <v>0.83461166831383959</v>
      </c>
      <c r="BE82" s="93">
        <f t="shared" si="72"/>
        <v>259311.1504447367</v>
      </c>
      <c r="BF82" s="99">
        <f t="shared" si="73"/>
        <v>225345.1504447367</v>
      </c>
      <c r="BG82" s="100"/>
      <c r="BH82" s="102">
        <f>IFERROR((BA82*100%)/DP!$AO$29,(0*1))</f>
        <v>204000</v>
      </c>
      <c r="BI82" s="102">
        <f>IF(BH82&gt;0,(DP!$AO$31),0*1)</f>
        <v>0.45</v>
      </c>
      <c r="BJ82" s="435">
        <f t="shared" si="87"/>
        <v>91800</v>
      </c>
      <c r="BK82" s="475">
        <f>BA82*DP!$AQ$44</f>
        <v>229.5</v>
      </c>
      <c r="BL82" s="475">
        <f>IF(BA82&gt;0,DP!$AR$44,0*1)</f>
        <v>0.95</v>
      </c>
      <c r="BM82" s="475">
        <f t="shared" si="88"/>
        <v>218.02499999999998</v>
      </c>
      <c r="BN82" s="102">
        <f>BA82*DP!$AQ$45</f>
        <v>15238.800000000001</v>
      </c>
      <c r="BO82" s="102">
        <f>IF(BA82&gt;0,DP!$AR$45,0*1)</f>
        <v>0.76919999999999999</v>
      </c>
      <c r="BP82" s="475">
        <f t="shared" si="89"/>
        <v>11721.684960000001</v>
      </c>
      <c r="BQ82" s="100"/>
      <c r="BR82" s="100"/>
      <c r="BS82" s="100"/>
      <c r="BT82" s="93">
        <f>IF(AW82=DP!$AN$15,AY82*(1+DP!$AO$15),IF(AW82=DP!$AN$16,AY82*(1+DP!$AO$16),IF(AW82=DP!$AN$17,AY82*(1+DP!$AO$17),IF(AW82=DP!$AN$18,AY82*(1+DP!$AO$18),0*1))))</f>
        <v>271350</v>
      </c>
      <c r="BU82" s="102">
        <f>IF(AW82=DP!$AN$22,(DP!$AO$22),IF(AW82=DP!$AN$23,(DP!$AO$23),IF(AW82=DP!$AN$24,(DP!$AO$24),IF(AW82=DP!$AN$25,(DP!$AO$25),((0*1))))))</f>
        <v>0.23</v>
      </c>
      <c r="BV82" s="93">
        <f t="shared" si="90"/>
        <v>62410.5</v>
      </c>
      <c r="BW82" s="93">
        <f>IF(AW82=DP!$AN$15,AY82*(1+DP!$AO$15),IF(AW82=DP!$AN$16,AY82*(1+DP!$AO$16),IF(AW82=DP!$AN$17,AY82*(1+DP!$AO$17),IF(AW82=DP!$AN$18,AY82*(1+DP!$AO$18),0*1))))</f>
        <v>271350</v>
      </c>
      <c r="BX82" s="102">
        <f>IF(AW82=DP!$AN$22,(DP!$AP$22),IF(AW82=DP!$AN$23,(DP!$AP$23),IF(AW82=DP!$AN$24,(DP!$AP$24),IF(AW82=DP!$AN$25,(DP!$AP$25),((0*1))))))</f>
        <v>5.5E-2</v>
      </c>
      <c r="BY82" s="93">
        <f t="shared" si="91"/>
        <v>14924.25</v>
      </c>
      <c r="BZ82" s="93">
        <f>IF(AW82=DP!$AN$15,(AY82/DP!$AM$15)*(1+DP!$AO$15),IF(AW82=DP!$AN$16,(AY82/DP!$AM$16)*(1+DP!$AO$16),IF(AW82=DP!$AN$17,(AY82/DP!$AM$17)*(1+DP!$AO$17),IF(AW82=DP!$AN$18,(AY82/DP!$AM$18)*(1+DP!$AO$18),0*1))))</f>
        <v>11306.249999999998</v>
      </c>
      <c r="CA82" s="102">
        <f>IF(AW82=DP!$AN$22,(DP!$AQ$22),IF(AW82=DP!$AN$23,(DP!$AQ$23),IF(AW82=DP!$AN$24,(DP!$AQ$24),IF(AW82=DP!$AN$25,(DP!$AQ$25),((0*1))))))</f>
        <v>0.51199999999999923</v>
      </c>
      <c r="CB82" s="93">
        <f t="shared" si="74"/>
        <v>5788.7999999999902</v>
      </c>
      <c r="CC82" s="93">
        <f>IF(AW82=DP!$AN$15,AY82*(1+DP!$AO$15),IF(AW82=DP!$AN$16,AY82*(1+DP!$AO$16),IF(AW82=DP!$AN$17,AY82*(1+DP!$AO$17),IF(AW82=DP!$AN$18,AY82*(1+DP!$AO$18),0*1))))</f>
        <v>271350</v>
      </c>
      <c r="CD82" s="102">
        <f>IF(AW82=DP!$AN$22,(DP!$AR$22),IF(AW82=DP!$AN$23,(DP!$AR$23),IF(AW82=DP!$AN$24,(DP!$AR$24),IF(AW82=DP!$AN$25,(DP!$AR$25),((0*1))))))</f>
        <v>3.3045977011494254E-2</v>
      </c>
      <c r="CE82" s="93">
        <f t="shared" si="92"/>
        <v>8967.0258620689656</v>
      </c>
      <c r="CF82" s="100"/>
      <c r="CG82" s="149">
        <f t="shared" si="75"/>
        <v>29514.864622667745</v>
      </c>
      <c r="CH82" s="149">
        <f>DP!$N$35*BA82</f>
        <v>1318.9655172413795</v>
      </c>
      <c r="CI82" s="149">
        <f>DP!$O$35*BA82</f>
        <v>5012.0689655172418</v>
      </c>
      <c r="CJ82" s="149">
        <f>DP!$P$35*BA82</f>
        <v>33966</v>
      </c>
    </row>
    <row r="83" spans="2:88" x14ac:dyDescent="0.35">
      <c r="B83" s="480">
        <f>DP!S23</f>
        <v>0</v>
      </c>
      <c r="C83" s="480" t="str">
        <f>DP!T23</f>
        <v>PALMITO TROZO 400</v>
      </c>
      <c r="D83" s="480">
        <f>DP!U23</f>
        <v>400</v>
      </c>
      <c r="E83" s="480">
        <f>DP!V23</f>
        <v>236</v>
      </c>
      <c r="F83" s="412">
        <f t="shared" si="76"/>
        <v>0</v>
      </c>
      <c r="G83" s="470">
        <f>DP!Y23</f>
        <v>0</v>
      </c>
      <c r="H83" s="98">
        <f t="shared" si="93"/>
        <v>0</v>
      </c>
      <c r="I83" s="97"/>
      <c r="J83" s="102">
        <f t="shared" si="65"/>
        <v>0</v>
      </c>
      <c r="K83" s="98">
        <f t="shared" si="66"/>
        <v>0</v>
      </c>
      <c r="L83" s="93">
        <f t="shared" si="67"/>
        <v>0</v>
      </c>
      <c r="M83" s="99">
        <f t="shared" si="68"/>
        <v>0</v>
      </c>
      <c r="N83" s="100"/>
      <c r="O83" s="146">
        <f>($E83/DP!$M$29)*F83</f>
        <v>0</v>
      </c>
      <c r="P83" s="102">
        <f>IF(O83&gt;0,(DP!$M$31),0*1)</f>
        <v>0</v>
      </c>
      <c r="Q83" s="102">
        <f t="shared" si="94"/>
        <v>0</v>
      </c>
      <c r="R83" s="102">
        <f t="shared" si="77"/>
        <v>0</v>
      </c>
      <c r="S83" s="418">
        <f t="shared" si="78"/>
        <v>0</v>
      </c>
      <c r="T83" s="475">
        <f>H83*DP!$O$44</f>
        <v>0</v>
      </c>
      <c r="U83" s="475">
        <f>IF(H83&gt;0,DP!$P$44,0*1)</f>
        <v>0</v>
      </c>
      <c r="V83" s="475">
        <f t="shared" si="79"/>
        <v>0</v>
      </c>
      <c r="W83" s="475">
        <f>H83*DP!$O$45</f>
        <v>0</v>
      </c>
      <c r="X83" s="475">
        <f>IF(H83&gt;0,DP!$P$45,0*1)</f>
        <v>0</v>
      </c>
      <c r="Y83" s="475">
        <f t="shared" si="80"/>
        <v>0</v>
      </c>
      <c r="Z83" s="100"/>
      <c r="AA83" s="93">
        <f>IF(D83=DP!$L$15,F83*(1+DP!$M$15),IF(D83=DP!$L$16,F83*(1+DP!$M$16),IF(D83=DP!$L$17,F83*(1+DP!$M$17),IF(D83=DP!$L$18,F83*(1+DP!$M$18),0*1))))</f>
        <v>0</v>
      </c>
      <c r="AB83" s="102">
        <f>IF(D83=DP!$L$22,(DP!$M$22),IF(D83=DP!$L$23,(DP!$M$23),IF(D83=DP!$L$24,(DP!$M$24),IF(D83=DP!$L$25,(DP!$M$25),((0*1))))))</f>
        <v>0</v>
      </c>
      <c r="AC83" s="93">
        <f t="shared" si="81"/>
        <v>0</v>
      </c>
      <c r="AD83" s="93">
        <f>IF(D83=DP!$L$15,F83*(1+DP!$M$15),IF(D83=DP!$L$16,F83*(1+DP!$M$16),IF(D83=DP!$L$17,F83*(1+DP!$M$17),IF(D83=DP!$L$18,F83*(1+DP!$M$18),0*1))))</f>
        <v>0</v>
      </c>
      <c r="AE83" s="102">
        <f>IF(D83=DP!$L$22,(DP!$N$22),IF(D83=DP!$L$23,(DP!$N$23),IF(D83=DP!$L$24,(DP!$N$24),IF(D83=DP!$L$25,(DP!$N$25),((0*1))))))</f>
        <v>0</v>
      </c>
      <c r="AF83" s="93">
        <f t="shared" si="82"/>
        <v>0</v>
      </c>
      <c r="AG83" s="93">
        <f>IF(D83=DP!$L$15,(F83/DP!$K$15)*(1+DP!$M$15),IF(D83=DP!$L$16,(F83/DP!$K$16)*(1+DP!$M$16),IF(D83=DP!$L$17,(F83/DP!$K$17)*(1+DP!$M$17),IF(D83=DP!$L$18,(F83/DP!$K$18)*(1+DP!$M$18),0*1))))</f>
        <v>0</v>
      </c>
      <c r="AH83" s="102">
        <f>IF(D83=DP!$L$22,(DP!$O$22),IF(D83=DP!$L$23,(DP!$O$23),IF(D83=DP!$L$24,(DP!$O$24),IF(D83=DP!$L$25,(DP!$O$25),((0*1))))))</f>
        <v>0</v>
      </c>
      <c r="AI83" s="93">
        <f t="shared" si="83"/>
        <v>0</v>
      </c>
      <c r="AJ83" s="93">
        <f>IF(D83=DP!$L$15,F83*(1+DP!$M$15),IF(D83=DP!$L$16,F83*(1+DP!$M$16),IF(D83=DP!$L$17,F83*(1+DP!$M$17),IF(D83=DP!$L$18,F83*(1+DP!$M$18),0*1))))</f>
        <v>0</v>
      </c>
      <c r="AK83" s="102">
        <f>IF(D83=DP!$L$22,(DP!$P$22),IF(D83=DP!$L$23,(DP!$P$23),IF(D83=DP!$L$24,(DP!$P$24),IF(D83=DP!$L$25,(DP!$P$25),((0*1))))))</f>
        <v>0</v>
      </c>
      <c r="AL83" s="93">
        <f t="shared" si="84"/>
        <v>0</v>
      </c>
      <c r="AM83" s="100"/>
      <c r="AN83" s="149">
        <f t="shared" si="69"/>
        <v>0</v>
      </c>
      <c r="AO83" s="149">
        <f>DP!$N$35*H83</f>
        <v>0</v>
      </c>
      <c r="AP83" s="149">
        <f>DP!$O$35*H83</f>
        <v>0</v>
      </c>
      <c r="AQ83" s="149">
        <f>DP!$P$35*H83</f>
        <v>0</v>
      </c>
      <c r="AV83" s="489" t="str">
        <f>DP!AV23</f>
        <v>PIÑA TROZO 567</v>
      </c>
      <c r="AW83" s="489">
        <f>DP!AW23</f>
        <v>567</v>
      </c>
      <c r="AX83" s="489">
        <f>DP!AX23</f>
        <v>340</v>
      </c>
      <c r="AY83" s="412">
        <f t="shared" si="85"/>
        <v>108000</v>
      </c>
      <c r="AZ83" s="470">
        <f>DP!BA23</f>
        <v>0.2</v>
      </c>
      <c r="BA83" s="98">
        <f t="shared" si="86"/>
        <v>36720</v>
      </c>
      <c r="BB83" s="97"/>
      <c r="BC83" s="102">
        <f t="shared" si="70"/>
        <v>0.9604116683138394</v>
      </c>
      <c r="BD83" s="98">
        <f t="shared" si="71"/>
        <v>0.83461166831383948</v>
      </c>
      <c r="BE83" s="93">
        <f t="shared" si="72"/>
        <v>103724.46017789465</v>
      </c>
      <c r="BF83" s="99">
        <f t="shared" si="73"/>
        <v>90138.060177894658</v>
      </c>
      <c r="BG83" s="100"/>
      <c r="BH83" s="102">
        <f>IFERROR((BA83*100%)/DP!$AO$29,(0*1))</f>
        <v>81600</v>
      </c>
      <c r="BI83" s="102">
        <f>IF(BH83&gt;0,(DP!$AO$31),0*1)</f>
        <v>0.45</v>
      </c>
      <c r="BJ83" s="435">
        <f t="shared" si="87"/>
        <v>36720</v>
      </c>
      <c r="BK83" s="475">
        <f>BA83*DP!$AQ$44</f>
        <v>91.8</v>
      </c>
      <c r="BL83" s="475">
        <f>IF(BA83&gt;0,DP!$AR$44,0*1)</f>
        <v>0.95</v>
      </c>
      <c r="BM83" s="475">
        <f t="shared" si="88"/>
        <v>87.21</v>
      </c>
      <c r="BN83" s="102">
        <f>BA83*DP!$AQ$45</f>
        <v>6095.52</v>
      </c>
      <c r="BO83" s="102">
        <f>IF(BA83&gt;0,DP!$AR$45,0*1)</f>
        <v>0.76919999999999999</v>
      </c>
      <c r="BP83" s="475">
        <f t="shared" si="89"/>
        <v>4688.673984</v>
      </c>
      <c r="BQ83" s="100"/>
      <c r="BR83" s="100"/>
      <c r="BS83" s="100"/>
      <c r="BT83" s="93">
        <f>IF(AW83=DP!$AN$15,AY83*(1+DP!$AO$15),IF(AW83=DP!$AN$16,AY83*(1+DP!$AO$16),IF(AW83=DP!$AN$17,AY83*(1+DP!$AO$17),IF(AW83=DP!$AN$18,AY83*(1+DP!$AO$18),0*1))))</f>
        <v>108539.99999999999</v>
      </c>
      <c r="BU83" s="102">
        <f>IF(AW83=DP!$AN$22,(DP!$AO$22),IF(AW83=DP!$AN$23,(DP!$AO$23),IF(AW83=DP!$AN$24,(DP!$AO$24),IF(AW83=DP!$AN$25,(DP!$AO$25),((0*1))))))</f>
        <v>0.23</v>
      </c>
      <c r="BV83" s="93">
        <f t="shared" si="90"/>
        <v>24964.199999999997</v>
      </c>
      <c r="BW83" s="93">
        <f>IF(AW83=DP!$AN$15,AY83*(1+DP!$AO$15),IF(AW83=DP!$AN$16,AY83*(1+DP!$AO$16),IF(AW83=DP!$AN$17,AY83*(1+DP!$AO$17),IF(AW83=DP!$AN$18,AY83*(1+DP!$AO$18),0*1))))</f>
        <v>108539.99999999999</v>
      </c>
      <c r="BX83" s="102">
        <f>IF(AW83=DP!$AN$22,(DP!$AP$22),IF(AW83=DP!$AN$23,(DP!$AP$23),IF(AW83=DP!$AN$24,(DP!$AP$24),IF(AW83=DP!$AN$25,(DP!$AP$25),((0*1))))))</f>
        <v>5.5E-2</v>
      </c>
      <c r="BY83" s="93">
        <f t="shared" si="91"/>
        <v>5969.6999999999989</v>
      </c>
      <c r="BZ83" s="93">
        <f>IF(AW83=DP!$AN$15,(AY83/DP!$AM$15)*(1+DP!$AO$15),IF(AW83=DP!$AN$16,(AY83/DP!$AM$16)*(1+DP!$AO$16),IF(AW83=DP!$AN$17,(AY83/DP!$AM$17)*(1+DP!$AO$17),IF(AW83=DP!$AN$18,(AY83/DP!$AM$18)*(1+DP!$AO$18),0*1))))</f>
        <v>4522.4999999999991</v>
      </c>
      <c r="CA83" s="102">
        <f>IF(AW83=DP!$AN$22,(DP!$AQ$22),IF(AW83=DP!$AN$23,(DP!$AQ$23),IF(AW83=DP!$AN$24,(DP!$AQ$24),IF(AW83=DP!$AN$25,(DP!$AQ$25),((0*1))))))</f>
        <v>0.51199999999999923</v>
      </c>
      <c r="CB83" s="93">
        <f t="shared" si="74"/>
        <v>2315.5199999999959</v>
      </c>
      <c r="CC83" s="93">
        <f>IF(AW83=DP!$AN$15,AY83*(1+DP!$AO$15),IF(AW83=DP!$AN$16,AY83*(1+DP!$AO$16),IF(AW83=DP!$AN$17,AY83*(1+DP!$AO$17),IF(AW83=DP!$AN$18,AY83*(1+DP!$AO$18),0*1))))</f>
        <v>108539.99999999999</v>
      </c>
      <c r="CD83" s="102">
        <f>IF(AW83=DP!$AN$22,(DP!$AR$22),IF(AW83=DP!$AN$23,(DP!$AR$23),IF(AW83=DP!$AN$24,(DP!$AR$24),IF(AW83=DP!$AN$25,(DP!$AR$25),((0*1))))))</f>
        <v>3.3045977011494254E-2</v>
      </c>
      <c r="CE83" s="93">
        <f t="shared" si="92"/>
        <v>3586.8103448275861</v>
      </c>
      <c r="CF83" s="100"/>
      <c r="CG83" s="149">
        <f t="shared" si="75"/>
        <v>11805.945849067097</v>
      </c>
      <c r="CH83" s="149">
        <f>DP!$N$35*BA83</f>
        <v>527.58620689655174</v>
      </c>
      <c r="CI83" s="149">
        <f>DP!$O$35*BA83</f>
        <v>2004.8275862068967</v>
      </c>
      <c r="CJ83" s="149">
        <f>DP!$P$35*BA83</f>
        <v>13586.4</v>
      </c>
    </row>
    <row r="84" spans="2:88" x14ac:dyDescent="0.35">
      <c r="B84" s="480">
        <f>DP!S24</f>
        <v>0</v>
      </c>
      <c r="C84" s="480" t="str">
        <f>DP!T24</f>
        <v>PALMITO TROZO  A-10</v>
      </c>
      <c r="D84" s="480">
        <f>DP!U24</f>
        <v>2920</v>
      </c>
      <c r="E84" s="480">
        <f>DP!V24</f>
        <v>1825</v>
      </c>
      <c r="F84" s="412">
        <f t="shared" si="76"/>
        <v>0</v>
      </c>
      <c r="G84" s="470">
        <f>DP!Y24</f>
        <v>0</v>
      </c>
      <c r="H84" s="98">
        <f t="shared" si="93"/>
        <v>0</v>
      </c>
      <c r="I84" s="97"/>
      <c r="J84" s="102">
        <f t="shared" si="65"/>
        <v>0</v>
      </c>
      <c r="K84" s="98">
        <f t="shared" si="66"/>
        <v>0</v>
      </c>
      <c r="L84" s="93">
        <f t="shared" si="67"/>
        <v>0</v>
      </c>
      <c r="M84" s="99">
        <f t="shared" si="68"/>
        <v>0</v>
      </c>
      <c r="N84" s="100"/>
      <c r="O84" s="146">
        <f>($E84/DP!$M$29)*F84</f>
        <v>0</v>
      </c>
      <c r="P84" s="102">
        <f>IF(O84&gt;0,(DP!$M$31),0*1)</f>
        <v>0</v>
      </c>
      <c r="Q84" s="102">
        <f t="shared" si="94"/>
        <v>0</v>
      </c>
      <c r="R84" s="102">
        <f t="shared" si="77"/>
        <v>0</v>
      </c>
      <c r="S84" s="418">
        <f t="shared" si="78"/>
        <v>0</v>
      </c>
      <c r="T84" s="475">
        <f>H84*DP!$O$44</f>
        <v>0</v>
      </c>
      <c r="U84" s="475">
        <f>IF(H84&gt;0,DP!$P$44,0*1)</f>
        <v>0</v>
      </c>
      <c r="V84" s="475">
        <f t="shared" si="79"/>
        <v>0</v>
      </c>
      <c r="W84" s="475">
        <f>H84*DP!$O$45</f>
        <v>0</v>
      </c>
      <c r="X84" s="475">
        <f>IF(H84&gt;0,DP!$P$45,0*1)</f>
        <v>0</v>
      </c>
      <c r="Y84" s="475">
        <f t="shared" si="80"/>
        <v>0</v>
      </c>
      <c r="Z84" s="100"/>
      <c r="AA84" s="93">
        <f>IF(D84=DP!$L$15,F84*(1+DP!$M$15),IF(D84=DP!$L$16,F84*(1+DP!$M$16),IF(D84=DP!$L$17,F84*(1+DP!$M$17),IF(D84=DP!$L$18,F84*(1+DP!$M$18),0*1))))</f>
        <v>0</v>
      </c>
      <c r="AB84" s="102">
        <f>IF(D84=DP!$L$22,(DP!$M$22),IF(D84=DP!$L$23,(DP!$M$23),IF(D84=DP!$L$24,(DP!$M$24),IF(D84=DP!$L$25,(DP!$M$25),((0*1))))))</f>
        <v>0</v>
      </c>
      <c r="AC84" s="93">
        <f t="shared" si="81"/>
        <v>0</v>
      </c>
      <c r="AD84" s="93">
        <f>IF(D84=DP!$L$15,F84*(1+DP!$M$15),IF(D84=DP!$L$16,F84*(1+DP!$M$16),IF(D84=DP!$L$17,F84*(1+DP!$M$17),IF(D84=DP!$L$18,F84*(1+DP!$M$18),0*1))))</f>
        <v>0</v>
      </c>
      <c r="AE84" s="102">
        <f>IF(D84=DP!$L$22,(DP!$N$22),IF(D84=DP!$L$23,(DP!$N$23),IF(D84=DP!$L$24,(DP!$N$24),IF(D84=DP!$L$25,(DP!$N$25),((0*1))))))</f>
        <v>0</v>
      </c>
      <c r="AF84" s="93">
        <f t="shared" si="82"/>
        <v>0</v>
      </c>
      <c r="AG84" s="93">
        <f>IF(D84=DP!$L$15,(F84/DP!$K$15)*(1+DP!$M$15),IF(D84=DP!$L$16,(F84/DP!$K$16)*(1+DP!$M$16),IF(D84=DP!$L$17,(F84/DP!$K$17)*(1+DP!$M$17),IF(D84=DP!$L$18,(F84/DP!$K$18)*(1+DP!$M$18),0*1))))</f>
        <v>0</v>
      </c>
      <c r="AH84" s="102">
        <f>IF(D84=DP!$L$22,(DP!$O$22),IF(D84=DP!$L$23,(DP!$O$23),IF(D84=DP!$L$24,(DP!$O$24),IF(D84=DP!$L$25,(DP!$O$25),((0*1))))))</f>
        <v>0</v>
      </c>
      <c r="AI84" s="93">
        <f t="shared" si="83"/>
        <v>0</v>
      </c>
      <c r="AJ84" s="93">
        <f>IF(D84=DP!$L$15,F84*(1+DP!$M$15),IF(D84=DP!$L$16,F84*(1+DP!$M$16),IF(D84=DP!$L$17,F84*(1+DP!$M$17),IF(D84=DP!$L$18,F84*(1+DP!$M$18),0*1))))</f>
        <v>0</v>
      </c>
      <c r="AK84" s="102">
        <f>IF(D84=DP!$L$22,(DP!$P$22),IF(D84=DP!$L$23,(DP!$P$23),IF(D84=DP!$L$24,(DP!$P$24),IF(D84=DP!$L$25,(DP!$P$25),((0*1))))))</f>
        <v>0</v>
      </c>
      <c r="AL84" s="93">
        <f t="shared" si="84"/>
        <v>0</v>
      </c>
      <c r="AM84" s="100"/>
      <c r="AN84" s="149">
        <f t="shared" si="69"/>
        <v>0</v>
      </c>
      <c r="AO84" s="149">
        <f>DP!$N$35*H84</f>
        <v>0</v>
      </c>
      <c r="AP84" s="149">
        <f>DP!$O$35*H84</f>
        <v>0</v>
      </c>
      <c r="AQ84" s="149">
        <f>DP!$P$35*H84</f>
        <v>0</v>
      </c>
      <c r="AV84" s="489" t="str">
        <f>DP!AV24</f>
        <v>PIÑA RODAJA 822</v>
      </c>
      <c r="AW84" s="489">
        <f>DP!AW24</f>
        <v>822</v>
      </c>
      <c r="AX84" s="489">
        <f>DP!AX24</f>
        <v>500</v>
      </c>
      <c r="AY84" s="412">
        <f t="shared" si="85"/>
        <v>73440</v>
      </c>
      <c r="AZ84" s="470">
        <f>DP!BA24</f>
        <v>0.2</v>
      </c>
      <c r="BA84" s="98">
        <f t="shared" si="86"/>
        <v>36720</v>
      </c>
      <c r="BB84" s="97"/>
      <c r="BC84" s="102">
        <f t="shared" si="70"/>
        <v>1.2984286501572693</v>
      </c>
      <c r="BD84" s="98">
        <f t="shared" si="71"/>
        <v>1.1134286501572692</v>
      </c>
      <c r="BE84" s="93">
        <f t="shared" si="72"/>
        <v>95356.600067549851</v>
      </c>
      <c r="BF84" s="99">
        <f t="shared" si="73"/>
        <v>81770.200067549857</v>
      </c>
      <c r="BG84" s="100"/>
      <c r="BH84" s="102">
        <f>IFERROR((BA84*100%)/DP!$AO$29,(0*1))</f>
        <v>81600</v>
      </c>
      <c r="BI84" s="102">
        <f>IF(BH84&gt;0,(DP!$AO$31),0*1)</f>
        <v>0.45</v>
      </c>
      <c r="BJ84" s="435">
        <f t="shared" si="87"/>
        <v>36720</v>
      </c>
      <c r="BK84" s="475">
        <f>BA84*DP!$AQ$44</f>
        <v>91.8</v>
      </c>
      <c r="BL84" s="475">
        <f>IF(BA84&gt;0,DP!$AR$44,0*1)</f>
        <v>0.95</v>
      </c>
      <c r="BM84" s="475">
        <f t="shared" si="88"/>
        <v>87.21</v>
      </c>
      <c r="BN84" s="102">
        <f>BA84*DP!$AQ$45</f>
        <v>6095.52</v>
      </c>
      <c r="BO84" s="102">
        <f>IF(BA84&gt;0,DP!$AR$45,0*1)</f>
        <v>0.76919999999999999</v>
      </c>
      <c r="BP84" s="475">
        <f t="shared" si="89"/>
        <v>4688.673984</v>
      </c>
      <c r="BQ84" s="100"/>
      <c r="BR84" s="100"/>
      <c r="BS84" s="100"/>
      <c r="BT84" s="93">
        <f>IF(AW84=DP!$AN$15,AY84*(1+DP!$AO$15),IF(AW84=DP!$AN$16,AY84*(1+DP!$AO$16),IF(AW84=DP!$AN$17,AY84*(1+DP!$AO$17),IF(AW84=DP!$AN$18,AY84*(1+DP!$AO$18),0*1))))</f>
        <v>73807.199999999997</v>
      </c>
      <c r="BU84" s="102">
        <f>IF(AW84=DP!$AN$22,(DP!$AO$22),IF(AW84=DP!$AN$23,(DP!$AO$23),IF(AW84=DP!$AN$24,(DP!$AO$24),IF(AW84=DP!$AN$25,(DP!$AO$25),((0*1))))))</f>
        <v>0.24</v>
      </c>
      <c r="BV84" s="93">
        <f t="shared" si="90"/>
        <v>17713.727999999999</v>
      </c>
      <c r="BW84" s="93">
        <f>IF(AW84=DP!$AN$15,AY84*(1+DP!$AO$15),IF(AW84=DP!$AN$16,AY84*(1+DP!$AO$16),IF(AW84=DP!$AN$17,AY84*(1+DP!$AO$17),IF(AW84=DP!$AN$18,AY84*(1+DP!$AO$18),0*1))))</f>
        <v>73807.199999999997</v>
      </c>
      <c r="BX84" s="102">
        <f>IF(AW84=DP!$AN$22,(DP!$AP$22),IF(AW84=DP!$AN$23,(DP!$AP$23),IF(AW84=DP!$AN$24,(DP!$AP$24),IF(AW84=DP!$AN$25,(DP!$AP$25),((0*1))))))</f>
        <v>7.0000000000000007E-2</v>
      </c>
      <c r="BY84" s="93">
        <f t="shared" si="91"/>
        <v>5166.5039999999999</v>
      </c>
      <c r="BZ84" s="93">
        <f>IF(AW84=DP!$AN$15,(AY84/DP!$AM$15)*(1+DP!$AO$15),IF(AW84=DP!$AN$16,(AY84/DP!$AM$16)*(1+DP!$AO$16),IF(AW84=DP!$AN$17,(AY84/DP!$AM$17)*(1+DP!$AO$17),IF(AW84=DP!$AN$18,(AY84/DP!$AM$18)*(1+DP!$AO$18),0*1))))</f>
        <v>6150.5999999999995</v>
      </c>
      <c r="CA84" s="102">
        <f>IF(AW84=DP!$AN$22,(DP!$AQ$22),IF(AW84=DP!$AN$23,(DP!$AQ$23),IF(AW84=DP!$AN$24,(DP!$AQ$24),IF(AW84=DP!$AN$25,(DP!$AQ$25),((0*1))))))</f>
        <v>0.51200000000000045</v>
      </c>
      <c r="CB84" s="93">
        <f t="shared" si="74"/>
        <v>3149.1072000000026</v>
      </c>
      <c r="CC84" s="93">
        <f>IF(AW84=DP!$AN$15,AY84*(1+DP!$AO$15),IF(AW84=DP!$AN$16,AY84*(1+DP!$AO$16),IF(AW84=DP!$AN$17,AY84*(1+DP!$AO$17),IF(AW84=DP!$AN$18,AY84*(1+DP!$AO$18),0*1))))</f>
        <v>73807.199999999997</v>
      </c>
      <c r="CD84" s="102">
        <f>IF(AW84=DP!$AN$22,(DP!$AR$22),IF(AW84=DP!$AN$23,(DP!$AR$23),IF(AW84=DP!$AN$24,(DP!$AR$24),IF(AW84=DP!$AN$25,(DP!$AR$25),((0*1))))))</f>
        <v>3.3045977011494254E-2</v>
      </c>
      <c r="CE84" s="93">
        <f t="shared" si="92"/>
        <v>2439.0310344827585</v>
      </c>
      <c r="CF84" s="100"/>
      <c r="CG84" s="149">
        <f t="shared" si="75"/>
        <v>11805.945849067097</v>
      </c>
      <c r="CH84" s="149">
        <f>DP!$N$35*BA84</f>
        <v>527.58620689655174</v>
      </c>
      <c r="CI84" s="149">
        <f>DP!$O$35*BA84</f>
        <v>2004.8275862068967</v>
      </c>
      <c r="CJ84" s="149">
        <f>DP!$P$35*BA84</f>
        <v>13586.4</v>
      </c>
    </row>
    <row r="85" spans="2:88" x14ac:dyDescent="0.35">
      <c r="B85" s="480">
        <f>DP!S25</f>
        <v>0</v>
      </c>
      <c r="C85" s="480" t="str">
        <f>DP!T25</f>
        <v>PALMITO RODAJA  A-10</v>
      </c>
      <c r="D85" s="480">
        <f>DP!U25</f>
        <v>2920</v>
      </c>
      <c r="E85" s="480">
        <f>DP!V25</f>
        <v>1825</v>
      </c>
      <c r="F85" s="412">
        <f t="shared" si="76"/>
        <v>0</v>
      </c>
      <c r="G85" s="470">
        <f>DP!Y25</f>
        <v>0</v>
      </c>
      <c r="H85" s="98">
        <f t="shared" si="93"/>
        <v>0</v>
      </c>
      <c r="I85" s="97"/>
      <c r="J85" s="102">
        <f t="shared" si="65"/>
        <v>0</v>
      </c>
      <c r="K85" s="98">
        <f t="shared" si="66"/>
        <v>0</v>
      </c>
      <c r="L85" s="93">
        <f t="shared" si="67"/>
        <v>0</v>
      </c>
      <c r="M85" s="99">
        <f t="shared" si="68"/>
        <v>0</v>
      </c>
      <c r="N85" s="100"/>
      <c r="O85" s="146">
        <f>($E85/DP!$M$29)*F85</f>
        <v>0</v>
      </c>
      <c r="P85" s="102">
        <f>IF(O85&gt;0,(DP!$M$31),0*1)</f>
        <v>0</v>
      </c>
      <c r="Q85" s="102">
        <f t="shared" si="94"/>
        <v>0</v>
      </c>
      <c r="R85" s="102">
        <f t="shared" si="77"/>
        <v>0</v>
      </c>
      <c r="S85" s="418">
        <f t="shared" si="78"/>
        <v>0</v>
      </c>
      <c r="T85" s="475">
        <f>H85*DP!$O$44</f>
        <v>0</v>
      </c>
      <c r="U85" s="475">
        <f>IF(H85&gt;0,DP!$P$44,0*1)</f>
        <v>0</v>
      </c>
      <c r="V85" s="475">
        <f t="shared" si="79"/>
        <v>0</v>
      </c>
      <c r="W85" s="475">
        <f>H85*DP!$O$45</f>
        <v>0</v>
      </c>
      <c r="X85" s="475">
        <f>IF(H85&gt;0,DP!$P$45,0*1)</f>
        <v>0</v>
      </c>
      <c r="Y85" s="475">
        <f t="shared" si="80"/>
        <v>0</v>
      </c>
      <c r="Z85" s="100"/>
      <c r="AA85" s="93">
        <f>IF(D85=DP!$L$15,F85*(1+DP!$M$15),IF(D85=DP!$L$16,F85*(1+DP!$M$16),IF(D85=DP!$L$17,F85*(1+DP!$M$17),IF(D85=DP!$L$18,F85*(1+DP!$M$18),0*1))))</f>
        <v>0</v>
      </c>
      <c r="AB85" s="102">
        <f>IF(D85=DP!$L$22,(DP!$M$22),IF(D85=DP!$L$23,(DP!$M$23),IF(D85=DP!$L$24,(DP!$M$24),IF(D85=DP!$L$25,(DP!$M$25),((0*1))))))</f>
        <v>0</v>
      </c>
      <c r="AC85" s="93">
        <f t="shared" si="81"/>
        <v>0</v>
      </c>
      <c r="AD85" s="93">
        <f>IF(D85=DP!$L$15,F85*(1+DP!$M$15),IF(D85=DP!$L$16,F85*(1+DP!$M$16),IF(D85=DP!$L$17,F85*(1+DP!$M$17),IF(D85=DP!$L$18,F85*(1+DP!$M$18),0*1))))</f>
        <v>0</v>
      </c>
      <c r="AE85" s="102">
        <f>IF(D85=DP!$L$22,(DP!$N$22),IF(D85=DP!$L$23,(DP!$N$23),IF(D85=DP!$L$24,(DP!$N$24),IF(D85=DP!$L$25,(DP!$N$25),((0*1))))))</f>
        <v>0</v>
      </c>
      <c r="AF85" s="93">
        <f t="shared" si="82"/>
        <v>0</v>
      </c>
      <c r="AG85" s="93">
        <f>IF(D85=DP!$L$15,(F85/DP!$K$15)*(1+DP!$M$15),IF(D85=DP!$L$16,(F85/DP!$K$16)*(1+DP!$M$16),IF(D85=DP!$L$17,(F85/DP!$K$17)*(1+DP!$M$17),IF(D85=DP!$L$18,(F85/DP!$K$18)*(1+DP!$M$18),0*1))))</f>
        <v>0</v>
      </c>
      <c r="AH85" s="102">
        <f>IF(D85=DP!$L$22,(DP!$O$22),IF(D85=DP!$L$23,(DP!$O$23),IF(D85=DP!$L$24,(DP!$O$24),IF(D85=DP!$L$25,(DP!$O$25),((0*1))))))</f>
        <v>0</v>
      </c>
      <c r="AI85" s="93">
        <f t="shared" si="83"/>
        <v>0</v>
      </c>
      <c r="AJ85" s="93">
        <f>IF(D85=DP!$L$15,F85*(1+DP!$M$15),IF(D85=DP!$L$16,F85*(1+DP!$M$16),IF(D85=DP!$L$17,F85*(1+DP!$M$17),IF(D85=DP!$L$18,F85*(1+DP!$M$18),0*1))))</f>
        <v>0</v>
      </c>
      <c r="AK85" s="102">
        <f>IF(D85=DP!$L$22,(DP!$P$22),IF(D85=DP!$L$23,(DP!$P$23),IF(D85=DP!$L$24,(DP!$P$24),IF(D85=DP!$L$25,(DP!$P$25),((0*1))))))</f>
        <v>0</v>
      </c>
      <c r="AL85" s="93">
        <f t="shared" si="84"/>
        <v>0</v>
      </c>
      <c r="AM85" s="100"/>
      <c r="AN85" s="149">
        <f t="shared" si="69"/>
        <v>0</v>
      </c>
      <c r="AO85" s="149">
        <f>DP!$N$35*H85</f>
        <v>0</v>
      </c>
      <c r="AP85" s="149">
        <f>DP!$O$35*H85</f>
        <v>0</v>
      </c>
      <c r="AQ85" s="149">
        <f>DP!$P$35*H85</f>
        <v>0</v>
      </c>
      <c r="AV85" s="489" t="str">
        <f>DP!AV25</f>
        <v>PIÑA TROZO 822</v>
      </c>
      <c r="AW85" s="489">
        <f>DP!AW25</f>
        <v>822</v>
      </c>
      <c r="AX85" s="489">
        <f>DP!AX25</f>
        <v>500</v>
      </c>
      <c r="AY85" s="412">
        <f t="shared" si="85"/>
        <v>36720</v>
      </c>
      <c r="AZ85" s="470">
        <f>DP!BA25</f>
        <v>0.1</v>
      </c>
      <c r="BA85" s="98">
        <f t="shared" si="86"/>
        <v>18360</v>
      </c>
      <c r="BB85" s="97"/>
      <c r="BC85" s="102">
        <f t="shared" si="70"/>
        <v>1.2984286501572693</v>
      </c>
      <c r="BD85" s="98">
        <f t="shared" si="71"/>
        <v>1.1134286501572692</v>
      </c>
      <c r="BE85" s="93">
        <f t="shared" si="72"/>
        <v>47678.300033774925</v>
      </c>
      <c r="BF85" s="99">
        <f t="shared" si="73"/>
        <v>40885.100033774928</v>
      </c>
      <c r="BG85" s="100"/>
      <c r="BH85" s="102">
        <f>IFERROR((BA85*100%)/DP!$AO$29,(0*1))</f>
        <v>40800</v>
      </c>
      <c r="BI85" s="102">
        <f>IF(BH85&gt;0,(DP!$AO$31),0*1)</f>
        <v>0.45</v>
      </c>
      <c r="BJ85" s="435">
        <f t="shared" si="87"/>
        <v>18360</v>
      </c>
      <c r="BK85" s="475">
        <f>BA85*DP!$AQ$44</f>
        <v>45.9</v>
      </c>
      <c r="BL85" s="475">
        <f>IF(BA85&gt;0,DP!$AR$44,0*1)</f>
        <v>0.95</v>
      </c>
      <c r="BM85" s="475">
        <f t="shared" si="88"/>
        <v>43.604999999999997</v>
      </c>
      <c r="BN85" s="102">
        <f>BA85*DP!$AQ$45</f>
        <v>3047.76</v>
      </c>
      <c r="BO85" s="102">
        <f>IF(BA85&gt;0,DP!$AR$45,0*1)</f>
        <v>0.76919999999999999</v>
      </c>
      <c r="BP85" s="475">
        <f t="shared" si="89"/>
        <v>2344.336992</v>
      </c>
      <c r="BQ85" s="100"/>
      <c r="BR85" s="100"/>
      <c r="BS85" s="100"/>
      <c r="BT85" s="93">
        <f>IF(AW85=DP!$AN$15,AY85*(1+DP!$AO$15),IF(AW85=DP!$AN$16,AY85*(1+DP!$AO$16),IF(AW85=DP!$AN$17,AY85*(1+DP!$AO$17),IF(AW85=DP!$AN$18,AY85*(1+DP!$AO$18),0*1))))</f>
        <v>36903.599999999999</v>
      </c>
      <c r="BU85" s="102">
        <f>IF(AW85=DP!$AN$22,(DP!$AO$22),IF(AW85=DP!$AN$23,(DP!$AO$23),IF(AW85=DP!$AN$24,(DP!$AO$24),IF(AW85=DP!$AN$25,(DP!$AO$25),((0*1))))))</f>
        <v>0.24</v>
      </c>
      <c r="BV85" s="93">
        <f t="shared" si="90"/>
        <v>8856.8639999999996</v>
      </c>
      <c r="BW85" s="93">
        <f>IF(AW85=DP!$AN$15,AY85*(1+DP!$AO$15),IF(AW85=DP!$AN$16,AY85*(1+DP!$AO$16),IF(AW85=DP!$AN$17,AY85*(1+DP!$AO$17),IF(AW85=DP!$AN$18,AY85*(1+DP!$AO$18),0*1))))</f>
        <v>36903.599999999999</v>
      </c>
      <c r="BX85" s="102">
        <f>IF(AW85=DP!$AN$22,(DP!$AP$22),IF(AW85=DP!$AN$23,(DP!$AP$23),IF(AW85=DP!$AN$24,(DP!$AP$24),IF(AW85=DP!$AN$25,(DP!$AP$25),((0*1))))))</f>
        <v>7.0000000000000007E-2</v>
      </c>
      <c r="BY85" s="93">
        <f t="shared" si="91"/>
        <v>2583.252</v>
      </c>
      <c r="BZ85" s="93">
        <f>IF(AW85=DP!$AN$15,(AY85/DP!$AM$15)*(1+DP!$AO$15),IF(AW85=DP!$AN$16,(AY85/DP!$AM$16)*(1+DP!$AO$16),IF(AW85=DP!$AN$17,(AY85/DP!$AM$17)*(1+DP!$AO$17),IF(AW85=DP!$AN$18,(AY85/DP!$AM$18)*(1+DP!$AO$18),0*1))))</f>
        <v>3075.2999999999997</v>
      </c>
      <c r="CA85" s="102">
        <f>IF(AW85=DP!$AN$22,(DP!$AQ$22),IF(AW85=DP!$AN$23,(DP!$AQ$23),IF(AW85=DP!$AN$24,(DP!$AQ$24),IF(AW85=DP!$AN$25,(DP!$AQ$25),((0*1))))))</f>
        <v>0.51200000000000045</v>
      </c>
      <c r="CB85" s="93">
        <f t="shared" si="74"/>
        <v>1574.5536000000013</v>
      </c>
      <c r="CC85" s="93">
        <f>IF(AW85=DP!$AN$15,AY85*(1+DP!$AO$15),IF(AW85=DP!$AN$16,AY85*(1+DP!$AO$16),IF(AW85=DP!$AN$17,AY85*(1+DP!$AO$17),IF(AW85=DP!$AN$18,AY85*(1+DP!$AO$18),0*1))))</f>
        <v>36903.599999999999</v>
      </c>
      <c r="CD85" s="102">
        <f>IF(AW85=DP!$AN$22,(DP!$AR$22),IF(AW85=DP!$AN$23,(DP!$AR$23),IF(AW85=DP!$AN$24,(DP!$AR$24),IF(AW85=DP!$AN$25,(DP!$AR$25),((0*1))))))</f>
        <v>3.3045977011494254E-2</v>
      </c>
      <c r="CE85" s="93">
        <f t="shared" si="92"/>
        <v>1219.5155172413793</v>
      </c>
      <c r="CF85" s="100"/>
      <c r="CG85" s="149">
        <f t="shared" si="75"/>
        <v>5902.9729245335484</v>
      </c>
      <c r="CH85" s="149">
        <f>DP!$N$35*BA85</f>
        <v>263.79310344827587</v>
      </c>
      <c r="CI85" s="149">
        <f>DP!$O$35*BA85</f>
        <v>1002.4137931034484</v>
      </c>
      <c r="CJ85" s="149">
        <f>DP!$P$35*BA85</f>
        <v>6793.2</v>
      </c>
    </row>
    <row r="86" spans="2:88" x14ac:dyDescent="0.35">
      <c r="B86" s="480">
        <f>DP!S26</f>
        <v>0</v>
      </c>
      <c r="C86" s="480">
        <f>DP!T26</f>
        <v>0</v>
      </c>
      <c r="D86" s="480">
        <f>DP!U26</f>
        <v>0</v>
      </c>
      <c r="E86" s="480">
        <f>DP!V26</f>
        <v>0</v>
      </c>
      <c r="F86" s="412">
        <f t="shared" si="76"/>
        <v>0</v>
      </c>
      <c r="G86" s="470">
        <f>DP!Y26</f>
        <v>0</v>
      </c>
      <c r="H86" s="98">
        <f t="shared" si="93"/>
        <v>0</v>
      </c>
      <c r="I86" s="97"/>
      <c r="J86" s="102">
        <f t="shared" si="65"/>
        <v>0</v>
      </c>
      <c r="K86" s="98">
        <f t="shared" si="66"/>
        <v>0</v>
      </c>
      <c r="L86" s="93">
        <f t="shared" si="67"/>
        <v>0</v>
      </c>
      <c r="M86" s="99">
        <f t="shared" si="68"/>
        <v>0</v>
      </c>
      <c r="N86" s="100"/>
      <c r="O86" s="146">
        <f>($E86/DP!$M$29)*F86</f>
        <v>0</v>
      </c>
      <c r="P86" s="102">
        <f>IF(O86&gt;0,(DP!$M$31),0*1)</f>
        <v>0</v>
      </c>
      <c r="Q86" s="102">
        <f t="shared" si="94"/>
        <v>0</v>
      </c>
      <c r="R86" s="102">
        <f t="shared" si="77"/>
        <v>0</v>
      </c>
      <c r="S86" s="418">
        <f t="shared" si="78"/>
        <v>0</v>
      </c>
      <c r="T86" s="475">
        <f>H86*DP!$O$44</f>
        <v>0</v>
      </c>
      <c r="U86" s="475">
        <f>IF(H86&gt;0,DP!$P$44,0*1)</f>
        <v>0</v>
      </c>
      <c r="V86" s="475">
        <f t="shared" si="79"/>
        <v>0</v>
      </c>
      <c r="W86" s="475">
        <f>H86*DP!$O$45</f>
        <v>0</v>
      </c>
      <c r="X86" s="475">
        <f>IF(H86&gt;0,DP!$P$45,0*1)</f>
        <v>0</v>
      </c>
      <c r="Y86" s="475">
        <f t="shared" si="80"/>
        <v>0</v>
      </c>
      <c r="Z86" s="100"/>
      <c r="AA86" s="93">
        <f>IF(D86=DP!$L$15,F86*(1+DP!$M$15),IF(D86=DP!$L$16,F86*(1+DP!$M$16),IF(D86=DP!$L$17,F86*(1+DP!$M$17),IF(D86=DP!$L$18,F86*(1+DP!$M$18),0*1))))</f>
        <v>0</v>
      </c>
      <c r="AB86" s="102">
        <f>IF(D86=DP!$L$22,(DP!$M$22),IF(D86=DP!$L$23,(DP!$M$23),IF(D86=DP!$L$24,(DP!$M$24),IF(D86=DP!$L$25,(DP!$M$25),((0*1))))))</f>
        <v>0</v>
      </c>
      <c r="AC86" s="93">
        <f t="shared" si="81"/>
        <v>0</v>
      </c>
      <c r="AD86" s="93">
        <f>IF(D86=DP!$L$15,F86*(1+DP!$M$15),IF(D86=DP!$L$16,F86*(1+DP!$M$16),IF(D86=DP!$L$17,F86*(1+DP!$M$17),IF(D86=DP!$L$18,F86*(1+DP!$M$18),0*1))))</f>
        <v>0</v>
      </c>
      <c r="AE86" s="102">
        <f>IF(D86=DP!$L$22,(DP!$N$22),IF(D86=DP!$L$23,(DP!$N$23),IF(D86=DP!$L$24,(DP!$N$24),IF(D86=DP!$L$25,(DP!$N$25),((0*1))))))</f>
        <v>0</v>
      </c>
      <c r="AF86" s="93">
        <f t="shared" si="82"/>
        <v>0</v>
      </c>
      <c r="AG86" s="93">
        <f>IF(D86=DP!$L$15,(F86/DP!$K$15)*(1+DP!$M$15),IF(D86=DP!$L$16,(F86/DP!$K$16)*(1+DP!$M$16),IF(D86=DP!$L$17,(F86/DP!$K$17)*(1+DP!$M$17),IF(D86=DP!$L$18,(F86/DP!$K$18)*(1+DP!$M$18),0*1))))</f>
        <v>0</v>
      </c>
      <c r="AH86" s="102">
        <f>IF(D86=DP!$L$22,(DP!$O$22),IF(D86=DP!$L$23,(DP!$O$23),IF(D86=DP!$L$24,(DP!$O$24),IF(D86=DP!$L$25,(DP!$O$25),((0*1))))))</f>
        <v>0</v>
      </c>
      <c r="AI86" s="93">
        <f t="shared" si="83"/>
        <v>0</v>
      </c>
      <c r="AJ86" s="93">
        <f>IF(D86=DP!$L$15,F86*(1+DP!$M$15),IF(D86=DP!$L$16,F86*(1+DP!$M$16),IF(D86=DP!$L$17,F86*(1+DP!$M$17),IF(D86=DP!$L$18,F86*(1+DP!$M$18),0*1))))</f>
        <v>0</v>
      </c>
      <c r="AK86" s="102">
        <f>IF(D86=DP!$L$22,(DP!$P$22),IF(D86=DP!$L$23,(DP!$P$23),IF(D86=DP!$L$24,(DP!$P$24),IF(D86=DP!$L$25,(DP!$P$25),((0*1))))))</f>
        <v>0</v>
      </c>
      <c r="AL86" s="93">
        <f t="shared" si="84"/>
        <v>0</v>
      </c>
      <c r="AM86" s="100"/>
      <c r="AN86" s="149">
        <f t="shared" si="69"/>
        <v>0</v>
      </c>
      <c r="AO86" s="149">
        <f>DP!$N$35*H86</f>
        <v>0</v>
      </c>
      <c r="AP86" s="149">
        <f>DP!$O$35*H86</f>
        <v>0</v>
      </c>
      <c r="AQ86" s="149">
        <f>DP!$P$35*H86</f>
        <v>0</v>
      </c>
      <c r="AV86" s="489">
        <f>DP!AV26</f>
        <v>0</v>
      </c>
      <c r="AW86" s="489">
        <f>DP!AW26</f>
        <v>0</v>
      </c>
      <c r="AX86" s="489">
        <f>DP!AX26</f>
        <v>0</v>
      </c>
      <c r="AY86" s="412">
        <f t="shared" si="85"/>
        <v>0</v>
      </c>
      <c r="AZ86" s="470">
        <f>DP!BA26</f>
        <v>0</v>
      </c>
      <c r="BA86" s="98">
        <f t="shared" si="86"/>
        <v>0</v>
      </c>
      <c r="BB86" s="97"/>
      <c r="BC86" s="102">
        <f t="shared" si="70"/>
        <v>0</v>
      </c>
      <c r="BD86" s="98">
        <f t="shared" si="71"/>
        <v>0</v>
      </c>
      <c r="BE86" s="93">
        <f t="shared" si="72"/>
        <v>0</v>
      </c>
      <c r="BF86" s="99">
        <f t="shared" si="73"/>
        <v>0</v>
      </c>
      <c r="BG86" s="100"/>
      <c r="BH86" s="102">
        <f>IFERROR((BA86*100%)/DP!$AO$29,(0*1))</f>
        <v>0</v>
      </c>
      <c r="BI86" s="102">
        <f>IF(BH86&gt;0,(DP!$AO$31),0*1)</f>
        <v>0</v>
      </c>
      <c r="BJ86" s="435">
        <f t="shared" si="87"/>
        <v>0</v>
      </c>
      <c r="BK86" s="475">
        <f>BA86*DP!$AQ$44</f>
        <v>0</v>
      </c>
      <c r="BL86" s="475">
        <f>IF(BA86&gt;0,DP!$AR$44,0*1)</f>
        <v>0</v>
      </c>
      <c r="BM86" s="475">
        <f t="shared" si="88"/>
        <v>0</v>
      </c>
      <c r="BN86" s="102">
        <f>BA86*DP!$AQ$45</f>
        <v>0</v>
      </c>
      <c r="BO86" s="102">
        <f>IF(BA86&gt;0,DP!$AR$45,0*1)</f>
        <v>0</v>
      </c>
      <c r="BP86" s="475">
        <f t="shared" si="89"/>
        <v>0</v>
      </c>
      <c r="BQ86" s="100"/>
      <c r="BR86" s="100"/>
      <c r="BS86" s="100"/>
      <c r="BT86" s="93">
        <f>IF(AW86=DP!$AN$15,AY86*(1+DP!$AO$15),IF(AW86=DP!$AN$16,AY86*(1+DP!$AO$16),IF(AW86=DP!$AN$17,AY86*(1+DP!$AO$17),IF(AW86=DP!$AN$18,AY86*(1+DP!$AO$18),0*1))))</f>
        <v>0</v>
      </c>
      <c r="BU86" s="102">
        <f>IF(AW86=DP!$AN$22,(DP!$AO$22),IF(AW86=DP!$AN$23,(DP!$AO$23),IF(AW86=DP!$AN$24,(DP!$AO$24),IF(AW86=DP!$AN$25,(DP!$AO$25),((0*1))))))</f>
        <v>0</v>
      </c>
      <c r="BV86" s="93">
        <f t="shared" si="90"/>
        <v>0</v>
      </c>
      <c r="BW86" s="93">
        <f>IF(AW86=DP!$AN$15,AY86*(1+DP!$AO$15),IF(AW86=DP!$AN$16,AY86*(1+DP!$AO$16),IF(AW86=DP!$AN$17,AY86*(1+DP!$AO$17),IF(AW86=DP!$AN$18,AY86*(1+DP!$AO$18),0*1))))</f>
        <v>0</v>
      </c>
      <c r="BX86" s="102">
        <f>IF(AW86=DP!$AN$22,(DP!$AP$22),IF(AW86=DP!$AN$23,(DP!$AP$23),IF(AW86=DP!$AN$24,(DP!$AP$24),IF(AW86=DP!$AN$25,(DP!$AP$25),((0*1))))))</f>
        <v>0</v>
      </c>
      <c r="BY86" s="93">
        <f t="shared" si="91"/>
        <v>0</v>
      </c>
      <c r="BZ86" s="93">
        <f>IF(AW86=DP!$AN$15,(AY86/DP!$AM$15)*(1+DP!$AO$15),IF(AW86=DP!$AN$16,(AY86/DP!$AM$16)*(1+DP!$AO$16),IF(AW86=DP!$AN$17,(AY86/DP!$AM$17)*(1+DP!$AO$17),IF(AW86=DP!$AN$18,(AY86/DP!$AM$18)*(1+DP!$AO$18),0*1))))</f>
        <v>0</v>
      </c>
      <c r="CA86" s="102">
        <f>IF(AW86=DP!$AN$22,(DP!$AQ$22),IF(AW86=DP!$AN$23,(DP!$AQ$23),IF(AW86=DP!$AN$24,(DP!$AQ$24),IF(AW86=DP!$AN$25,(DP!$AQ$25),((0*1))))))</f>
        <v>0</v>
      </c>
      <c r="CB86" s="93">
        <f t="shared" si="74"/>
        <v>0</v>
      </c>
      <c r="CC86" s="93">
        <f>IF(AW86=DP!$AN$15,AY86*(1+DP!$AO$15),IF(AW86=DP!$AN$16,AY86*(1+DP!$AO$16),IF(AW86=DP!$AN$17,AY86*(1+DP!$AO$17),IF(AW86=DP!$AN$18,AY86*(1+DP!$AO$18),0*1))))</f>
        <v>0</v>
      </c>
      <c r="CD86" s="102">
        <f>IF(AW86=DP!$AN$22,(DP!$AR$22),IF(AW86=DP!$AN$23,(DP!$AR$23),IF(AW86=DP!$AN$24,(DP!$AR$24),IF(AW86=DP!$AN$25,(DP!$AR$25),((0*1))))))</f>
        <v>0</v>
      </c>
      <c r="CE86" s="93">
        <f t="shared" si="92"/>
        <v>0</v>
      </c>
      <c r="CF86" s="100"/>
      <c r="CG86" s="149">
        <f t="shared" si="75"/>
        <v>0</v>
      </c>
      <c r="CH86" s="149">
        <f>DP!$N$35*BA86</f>
        <v>0</v>
      </c>
      <c r="CI86" s="149">
        <f>DP!$O$35*BA86</f>
        <v>0</v>
      </c>
      <c r="CJ86" s="149">
        <f>DP!$P$35*BA86</f>
        <v>0</v>
      </c>
    </row>
    <row r="87" spans="2:88" x14ac:dyDescent="0.35">
      <c r="B87" s="480">
        <f>DP!S27</f>
        <v>0</v>
      </c>
      <c r="C87" s="480">
        <f>DP!T27</f>
        <v>0</v>
      </c>
      <c r="D87" s="480">
        <f>DP!U27</f>
        <v>0</v>
      </c>
      <c r="E87" s="480">
        <f>DP!V27</f>
        <v>0</v>
      </c>
      <c r="F87" s="412">
        <f t="shared" si="76"/>
        <v>0</v>
      </c>
      <c r="G87" s="470">
        <f>DP!Y27</f>
        <v>0</v>
      </c>
      <c r="H87" s="98">
        <f t="shared" si="93"/>
        <v>0</v>
      </c>
      <c r="I87" s="97"/>
      <c r="J87" s="102">
        <f t="shared" si="65"/>
        <v>0</v>
      </c>
      <c r="K87" s="98">
        <f t="shared" si="66"/>
        <v>0</v>
      </c>
      <c r="L87" s="93">
        <f t="shared" si="67"/>
        <v>0</v>
      </c>
      <c r="M87" s="99">
        <f t="shared" si="68"/>
        <v>0</v>
      </c>
      <c r="N87" s="100"/>
      <c r="O87" s="146">
        <f>($E87/DP!$M$29)*F87</f>
        <v>0</v>
      </c>
      <c r="P87" s="102">
        <f>IF(O87&gt;0,(DP!$M$31),0*1)</f>
        <v>0</v>
      </c>
      <c r="Q87" s="102">
        <f>O87*P87</f>
        <v>0</v>
      </c>
      <c r="R87" s="102">
        <f t="shared" si="77"/>
        <v>0</v>
      </c>
      <c r="S87" s="418">
        <f t="shared" si="78"/>
        <v>0</v>
      </c>
      <c r="T87" s="475">
        <f>H87*DP!$O$44</f>
        <v>0</v>
      </c>
      <c r="U87" s="475">
        <f>IF(H87&gt;0,DP!$P$44,0*1)</f>
        <v>0</v>
      </c>
      <c r="V87" s="475">
        <f t="shared" si="79"/>
        <v>0</v>
      </c>
      <c r="W87" s="475">
        <f>H87*DP!$O$45</f>
        <v>0</v>
      </c>
      <c r="X87" s="475">
        <f>IF(H87&gt;0,DP!$P$45,0*1)</f>
        <v>0</v>
      </c>
      <c r="Y87" s="475">
        <f t="shared" si="80"/>
        <v>0</v>
      </c>
      <c r="Z87" s="100"/>
      <c r="AA87" s="93">
        <f>IF(D87=DP!$L$15,F87*(1+DP!$M$15),IF(D87=DP!$L$16,F87*(1+DP!$M$16),IF(D87=DP!$L$17,F87*(1+DP!$M$17),IF(D87=DP!$L$18,F87*(1+DP!$M$18),0*1))))</f>
        <v>0</v>
      </c>
      <c r="AB87" s="102">
        <f>IF(D87=DP!$L$22,(DP!$M$22),IF(D87=DP!$L$23,(DP!$M$23),IF(D87=DP!$L$24,(DP!$M$24),IF(D87=DP!$L$25,(DP!$M$25),((0*1))))))</f>
        <v>0</v>
      </c>
      <c r="AC87" s="93">
        <f t="shared" si="81"/>
        <v>0</v>
      </c>
      <c r="AD87" s="93">
        <f>IF(D87=DP!$L$15,F87*(1+DP!$M$15),IF(D87=DP!$L$16,F87*(1+DP!$M$16),IF(D87=DP!$L$17,F87*(1+DP!$M$17),IF(D87=DP!$L$18,F87*(1+DP!$M$18),0*1))))</f>
        <v>0</v>
      </c>
      <c r="AE87" s="102">
        <f>IF(D87=DP!$L$22,(DP!$N$22),IF(D87=DP!$L$23,(DP!$N$23),IF(D87=DP!$L$24,(DP!$N$24),IF(D87=DP!$L$25,(DP!$N$25),((0*1))))))</f>
        <v>0</v>
      </c>
      <c r="AF87" s="93">
        <f t="shared" si="82"/>
        <v>0</v>
      </c>
      <c r="AG87" s="93">
        <f>IF(D87=DP!$L$15,(F87/DP!$K$15)*(1+DP!$M$15),IF(D87=DP!$L$16,(F87/DP!$K$16)*(1+DP!$M$16),IF(D87=DP!$L$17,(F87/DP!$K$17)*(1+DP!$M$17),IF(D87=DP!$L$18,(F87/DP!$K$18)*(1+DP!$M$18),0*1))))</f>
        <v>0</v>
      </c>
      <c r="AH87" s="102">
        <f>IF(D87=DP!$L$22,(DP!$O$22),IF(D87=DP!$L$23,(DP!$O$23),IF(D87=DP!$L$24,(DP!$O$24),IF(D87=DP!$L$25,(DP!$O$25),((0*1))))))</f>
        <v>0</v>
      </c>
      <c r="AI87" s="93">
        <f t="shared" si="83"/>
        <v>0</v>
      </c>
      <c r="AJ87" s="93">
        <f>IF(D87=DP!$L$15,F87*(1+DP!$M$15),IF(D87=DP!$L$16,F87*(1+DP!$M$16),IF(D87=DP!$L$17,F87*(1+DP!$M$17),IF(D87=DP!$L$18,F87*(1+DP!$M$18),0*1))))</f>
        <v>0</v>
      </c>
      <c r="AK87" s="102">
        <f>IF(D87=DP!$L$22,(DP!$P$22),IF(D87=DP!$L$23,(DP!$P$23),IF(D87=DP!$L$24,(DP!$P$24),IF(D87=DP!$L$25,(DP!$P$25),((0*1))))))</f>
        <v>0</v>
      </c>
      <c r="AL87" s="93">
        <f t="shared" si="84"/>
        <v>0</v>
      </c>
      <c r="AM87" s="100"/>
      <c r="AN87" s="149">
        <f t="shared" si="69"/>
        <v>0</v>
      </c>
      <c r="AO87" s="149">
        <f>DP!$N$35*H87</f>
        <v>0</v>
      </c>
      <c r="AP87" s="149">
        <f>DP!$O$35*H87</f>
        <v>0</v>
      </c>
      <c r="AQ87" s="149">
        <f>DP!$P$35*H87</f>
        <v>0</v>
      </c>
      <c r="AV87" s="489">
        <f>DP!AV27</f>
        <v>0</v>
      </c>
      <c r="AW87" s="489">
        <f>DP!AW27</f>
        <v>0</v>
      </c>
      <c r="AX87" s="489">
        <f>DP!AX27</f>
        <v>0</v>
      </c>
      <c r="AY87" s="412">
        <f t="shared" si="85"/>
        <v>0</v>
      </c>
      <c r="AZ87" s="470">
        <f>DP!BA27</f>
        <v>0</v>
      </c>
      <c r="BA87" s="98">
        <f t="shared" si="86"/>
        <v>0</v>
      </c>
      <c r="BB87" s="97"/>
      <c r="BC87" s="102">
        <f t="shared" si="70"/>
        <v>0</v>
      </c>
      <c r="BD87" s="98">
        <f t="shared" si="71"/>
        <v>0</v>
      </c>
      <c r="BE87" s="93">
        <f t="shared" si="72"/>
        <v>0</v>
      </c>
      <c r="BF87" s="99">
        <f t="shared" si="73"/>
        <v>0</v>
      </c>
      <c r="BG87" s="100"/>
      <c r="BH87" s="102">
        <f>IFERROR((BA87*100%)/DP!$AO$29,(0*1))</f>
        <v>0</v>
      </c>
      <c r="BI87" s="102">
        <f>IF(BH87&gt;0,(DP!$AO$31),0*1)</f>
        <v>0</v>
      </c>
      <c r="BJ87" s="435">
        <f t="shared" si="87"/>
        <v>0</v>
      </c>
      <c r="BK87" s="475">
        <f>BA87*DP!$AQ$44</f>
        <v>0</v>
      </c>
      <c r="BL87" s="475">
        <f>IF(BA87&gt;0,DP!$AR$44,0*1)</f>
        <v>0</v>
      </c>
      <c r="BM87" s="475">
        <f t="shared" si="88"/>
        <v>0</v>
      </c>
      <c r="BN87" s="102">
        <f>BA87*DP!$AQ$45</f>
        <v>0</v>
      </c>
      <c r="BO87" s="102">
        <f>IF(BA87&gt;0,DP!$AR$45,0*1)</f>
        <v>0</v>
      </c>
      <c r="BP87" s="475">
        <f t="shared" si="89"/>
        <v>0</v>
      </c>
      <c r="BQ87" s="100"/>
      <c r="BR87" s="100"/>
      <c r="BS87" s="100"/>
      <c r="BT87" s="93">
        <f>IF(AW87=DP!$AN$15,AY87*(1+DP!$AO$15),IF(AW87=DP!$AN$16,AY87*(1+DP!$AO$16),IF(AW87=DP!$AN$17,AY87*(1+DP!$AO$17),IF(AW87=DP!$AN$18,AY87*(1+DP!$AO$18),0*1))))</f>
        <v>0</v>
      </c>
      <c r="BU87" s="102">
        <f>IF(AW87=DP!$AN$22,(DP!$AO$22),IF(AW87=DP!$AN$23,(DP!$AO$23),IF(AW87=DP!$AN$24,(DP!$AO$24),IF(AW87=DP!$AN$25,(DP!$AO$25),((0*1))))))</f>
        <v>0</v>
      </c>
      <c r="BV87" s="93">
        <f t="shared" si="90"/>
        <v>0</v>
      </c>
      <c r="BW87" s="93">
        <f>IF(AW87=DP!$AN$15,AY87*(1+DP!$AO$15),IF(AW87=DP!$AN$16,AY87*(1+DP!$AO$16),IF(AW87=DP!$AN$17,AY87*(1+DP!$AO$17),IF(AW87=DP!$AN$18,AY87*(1+DP!$AO$18),0*1))))</f>
        <v>0</v>
      </c>
      <c r="BX87" s="102">
        <f>IF(AW87=DP!$AN$22,(DP!$AP$22),IF(AW87=DP!$AN$23,(DP!$AP$23),IF(AW87=DP!$AN$24,(DP!$AP$24),IF(AW87=DP!$AN$25,(DP!$AP$25),((0*1))))))</f>
        <v>0</v>
      </c>
      <c r="BY87" s="93">
        <f t="shared" si="91"/>
        <v>0</v>
      </c>
      <c r="BZ87" s="93">
        <f>IF(AW87=DP!$AN$15,(AY87/DP!$AM$15)*(1+DP!$AO$15),IF(AW87=DP!$AN$16,(AY87/DP!$AM$16)*(1+DP!$AO$16),IF(AW87=DP!$AN$17,(AY87/DP!$AM$17)*(1+DP!$AO$17),IF(AW87=DP!$AN$18,(AY87/DP!$AM$18)*(1+DP!$AO$18),0*1))))</f>
        <v>0</v>
      </c>
      <c r="CA87" s="102">
        <f>IF(AW87=DP!$AN$22,(DP!$AQ$22),IF(AW87=DP!$AN$23,(DP!$AQ$23),IF(AW87=DP!$AN$24,(DP!$AQ$24),IF(AW87=DP!$AN$25,(DP!$AQ$25),((0*1))))))</f>
        <v>0</v>
      </c>
      <c r="CB87" s="93">
        <f t="shared" si="74"/>
        <v>0</v>
      </c>
      <c r="CC87" s="93">
        <f>IF(AW87=DP!$AN$15,AY87*(1+DP!$AO$15),IF(AW87=DP!$AN$16,AY87*(1+DP!$AO$16),IF(AW87=DP!$AN$17,AY87*(1+DP!$AO$17),IF(AW87=DP!$AN$18,AY87*(1+DP!$AO$18),0*1))))</f>
        <v>0</v>
      </c>
      <c r="CD87" s="102">
        <f>IF(AW87=DP!$AN$22,(DP!$AR$22),IF(AW87=DP!$AN$23,(DP!$AR$23),IF(AW87=DP!$AN$24,(DP!$AR$24),IF(AW87=DP!$AN$25,(DP!$AR$25),((0*1))))))</f>
        <v>0</v>
      </c>
      <c r="CE87" s="93">
        <f t="shared" si="92"/>
        <v>0</v>
      </c>
      <c r="CF87" s="100"/>
      <c r="CG87" s="149">
        <f t="shared" si="75"/>
        <v>0</v>
      </c>
      <c r="CH87" s="149">
        <f>DP!$N$35*BA87</f>
        <v>0</v>
      </c>
      <c r="CI87" s="149">
        <f>DP!$O$35*BA87</f>
        <v>0</v>
      </c>
      <c r="CJ87" s="149">
        <f>DP!$P$35*BA87</f>
        <v>0</v>
      </c>
    </row>
    <row r="88" spans="2:88" x14ac:dyDescent="0.35">
      <c r="B88" s="480">
        <f>DP!S28</f>
        <v>0</v>
      </c>
      <c r="C88" s="480">
        <f>DP!T28</f>
        <v>0</v>
      </c>
      <c r="D88" s="480">
        <f>DP!U28</f>
        <v>0</v>
      </c>
      <c r="E88" s="480">
        <f>DP!V28</f>
        <v>0</v>
      </c>
      <c r="F88" s="412">
        <f t="shared" si="76"/>
        <v>0</v>
      </c>
      <c r="G88" s="470">
        <f>DP!Y28</f>
        <v>0</v>
      </c>
      <c r="H88" s="98">
        <f t="shared" si="93"/>
        <v>0</v>
      </c>
      <c r="I88" s="97"/>
      <c r="J88" s="102">
        <f t="shared" si="65"/>
        <v>0</v>
      </c>
      <c r="K88" s="98">
        <f t="shared" si="66"/>
        <v>0</v>
      </c>
      <c r="L88" s="93">
        <f t="shared" si="67"/>
        <v>0</v>
      </c>
      <c r="M88" s="99">
        <f t="shared" si="68"/>
        <v>0</v>
      </c>
      <c r="N88" s="100"/>
      <c r="O88" s="146">
        <f>($E88/DP!$M$29)*F88</f>
        <v>0</v>
      </c>
      <c r="P88" s="102">
        <f>IF(O88&gt;0,(DP!$M$31),0*1)</f>
        <v>0</v>
      </c>
      <c r="Q88" s="102">
        <f t="shared" ref="Q88:Q96" si="95">O88*P88</f>
        <v>0</v>
      </c>
      <c r="R88" s="102">
        <f t="shared" si="77"/>
        <v>0</v>
      </c>
      <c r="S88" s="418">
        <f t="shared" si="78"/>
        <v>0</v>
      </c>
      <c r="T88" s="475">
        <f>H88*DP!$O$44</f>
        <v>0</v>
      </c>
      <c r="U88" s="475">
        <f>IF(H88&gt;0,DP!$P$44,0*1)</f>
        <v>0</v>
      </c>
      <c r="V88" s="475">
        <f t="shared" si="79"/>
        <v>0</v>
      </c>
      <c r="W88" s="475">
        <f>H88*DP!$O$45</f>
        <v>0</v>
      </c>
      <c r="X88" s="475">
        <f>IF(H88&gt;0,DP!$P$45,0*1)</f>
        <v>0</v>
      </c>
      <c r="Y88" s="475">
        <f t="shared" si="80"/>
        <v>0</v>
      </c>
      <c r="Z88" s="100"/>
      <c r="AA88" s="93">
        <f>IF(D88=DP!$L$15,F88*(1+DP!$M$15),IF(D88=DP!$L$16,F88*(1+DP!$M$16),IF(D88=DP!$L$17,F88*(1+DP!$M$17),IF(D88=DP!$L$18,F88*(1+DP!$M$18),0*1))))</f>
        <v>0</v>
      </c>
      <c r="AB88" s="102">
        <f>IF(D88=DP!$L$22,(DP!$M$22),IF(D88=DP!$L$23,(DP!$M$23),IF(D88=DP!$L$24,(DP!$M$24),IF(D88=DP!$L$25,(DP!$M$25),((0*1))))))</f>
        <v>0</v>
      </c>
      <c r="AC88" s="93">
        <f t="shared" si="81"/>
        <v>0</v>
      </c>
      <c r="AD88" s="93">
        <f>IF(D88=DP!$L$15,F88*(1+DP!$M$15),IF(D88=DP!$L$16,F88*(1+DP!$M$16),IF(D88=DP!$L$17,F88*(1+DP!$M$17),IF(D88=DP!$L$18,F88*(1+DP!$M$18),0*1))))</f>
        <v>0</v>
      </c>
      <c r="AE88" s="102">
        <f>IF(D88=DP!$L$22,(DP!$N$22),IF(D88=DP!$L$23,(DP!$N$23),IF(D88=DP!$L$24,(DP!$N$24),IF(D88=DP!$L$25,(DP!$N$25),((0*1))))))</f>
        <v>0</v>
      </c>
      <c r="AF88" s="93">
        <f t="shared" si="82"/>
        <v>0</v>
      </c>
      <c r="AG88" s="93">
        <f>IF(D88=DP!$L$15,(F88/DP!$K$15)*(1+DP!$M$15),IF(D88=DP!$L$16,(F88/DP!$K$16)*(1+DP!$M$16),IF(D88=DP!$L$17,(F88/DP!$K$17)*(1+DP!$M$17),IF(D88=DP!$L$18,(F88/DP!$K$18)*(1+DP!$M$18),0*1))))</f>
        <v>0</v>
      </c>
      <c r="AH88" s="102">
        <f>IF(D88=DP!$L$22,(DP!$O$22),IF(D88=DP!$L$23,(DP!$O$23),IF(D88=DP!$L$24,(DP!$O$24),IF(D88=DP!$L$25,(DP!$O$25),((0*1))))))</f>
        <v>0</v>
      </c>
      <c r="AI88" s="93">
        <f t="shared" si="83"/>
        <v>0</v>
      </c>
      <c r="AJ88" s="93">
        <f>IF(D88=DP!$L$15,F88*(1+DP!$M$15),IF(D88=DP!$L$16,F88*(1+DP!$M$16),IF(D88=DP!$L$17,F88*(1+DP!$M$17),IF(D88=DP!$L$18,F88*(1+DP!$M$18),0*1))))</f>
        <v>0</v>
      </c>
      <c r="AK88" s="102">
        <f>IF(D88=DP!$L$22,(DP!$P$22),IF(D88=DP!$L$23,(DP!$P$23),IF(D88=DP!$L$24,(DP!$P$24),IF(D88=DP!$L$25,(DP!$P$25),((0*1))))))</f>
        <v>0</v>
      </c>
      <c r="AL88" s="93">
        <f t="shared" si="84"/>
        <v>0</v>
      </c>
      <c r="AM88" s="100"/>
      <c r="AN88" s="149">
        <f t="shared" si="69"/>
        <v>0</v>
      </c>
      <c r="AO88" s="149">
        <f>DP!$N$35*H88</f>
        <v>0</v>
      </c>
      <c r="AP88" s="149">
        <f>DP!$O$35*H88</f>
        <v>0</v>
      </c>
      <c r="AQ88" s="149">
        <f>DP!$P$35*H88</f>
        <v>0</v>
      </c>
      <c r="AV88" s="489">
        <f>DP!AV28</f>
        <v>0</v>
      </c>
      <c r="AW88" s="489">
        <f>DP!AW28</f>
        <v>0</v>
      </c>
      <c r="AX88" s="489">
        <f>DP!AX28</f>
        <v>0</v>
      </c>
      <c r="AY88" s="412">
        <f t="shared" si="85"/>
        <v>0</v>
      </c>
      <c r="AZ88" s="470">
        <f>DP!BA28</f>
        <v>0</v>
      </c>
      <c r="BA88" s="98">
        <f t="shared" si="86"/>
        <v>0</v>
      </c>
      <c r="BB88" s="97"/>
      <c r="BC88" s="102">
        <f t="shared" si="70"/>
        <v>0</v>
      </c>
      <c r="BD88" s="98">
        <f t="shared" si="71"/>
        <v>0</v>
      </c>
      <c r="BE88" s="93">
        <f t="shared" si="72"/>
        <v>0</v>
      </c>
      <c r="BF88" s="99">
        <f t="shared" si="73"/>
        <v>0</v>
      </c>
      <c r="BG88" s="100"/>
      <c r="BH88" s="102">
        <f>IFERROR((BA88*100%)/DP!$AO$29,(0*1))</f>
        <v>0</v>
      </c>
      <c r="BI88" s="102">
        <f>IF(BH88&gt;0,(DP!$AO$31),0*1)</f>
        <v>0</v>
      </c>
      <c r="BJ88" s="435">
        <f t="shared" si="87"/>
        <v>0</v>
      </c>
      <c r="BK88" s="475">
        <f>BA88*DP!$AQ$44</f>
        <v>0</v>
      </c>
      <c r="BL88" s="475">
        <f>IF(BA88&gt;0,DP!$AR$44,0*1)</f>
        <v>0</v>
      </c>
      <c r="BM88" s="475">
        <f t="shared" si="88"/>
        <v>0</v>
      </c>
      <c r="BN88" s="102">
        <f>BA88*DP!$AQ$45</f>
        <v>0</v>
      </c>
      <c r="BO88" s="102">
        <f>IF(BA88&gt;0,DP!$AR$45,0*1)</f>
        <v>0</v>
      </c>
      <c r="BP88" s="475">
        <f t="shared" si="89"/>
        <v>0</v>
      </c>
      <c r="BQ88" s="100"/>
      <c r="BR88" s="100"/>
      <c r="BS88" s="100"/>
      <c r="BT88" s="93">
        <f>IF(AW88=DP!$AN$15,AY88*(1+DP!$AO$15),IF(AW88=DP!$AN$16,AY88*(1+DP!$AO$16),IF(AW88=DP!$AN$17,AY88*(1+DP!$AO$17),IF(AW88=DP!$AN$18,AY88*(1+DP!$AO$18),0*1))))</f>
        <v>0</v>
      </c>
      <c r="BU88" s="102">
        <f>IF(AW88=DP!$AN$22,(DP!$AO$22),IF(AW88=DP!$AN$23,(DP!$AO$23),IF(AW88=DP!$AN$24,(DP!$AO$24),IF(AW88=DP!$AN$25,(DP!$AO$25),((0*1))))))</f>
        <v>0</v>
      </c>
      <c r="BV88" s="93">
        <f t="shared" si="90"/>
        <v>0</v>
      </c>
      <c r="BW88" s="93">
        <f>IF(AW88=DP!$AN$15,AY88*(1+DP!$AO$15),IF(AW88=DP!$AN$16,AY88*(1+DP!$AO$16),IF(AW88=DP!$AN$17,AY88*(1+DP!$AO$17),IF(AW88=DP!$AN$18,AY88*(1+DP!$AO$18),0*1))))</f>
        <v>0</v>
      </c>
      <c r="BX88" s="102">
        <f>IF(AW88=DP!$AN$22,(DP!$AP$22),IF(AW88=DP!$AN$23,(DP!$AP$23),IF(AW88=DP!$AN$24,(DP!$AP$24),IF(AW88=DP!$AN$25,(DP!$AP$25),((0*1))))))</f>
        <v>0</v>
      </c>
      <c r="BY88" s="93">
        <f t="shared" si="91"/>
        <v>0</v>
      </c>
      <c r="BZ88" s="93">
        <f>IF(AW88=DP!$AN$15,(AY88/DP!$AM$15)*(1+DP!$AO$15),IF(AW88=DP!$AN$16,(AY88/DP!$AM$16)*(1+DP!$AO$16),IF(AW88=DP!$AN$17,(AY88/DP!$AM$17)*(1+DP!$AO$17),IF(AW88=DP!$AN$18,(AY88/DP!$AM$18)*(1+DP!$AO$18),0*1))))</f>
        <v>0</v>
      </c>
      <c r="CA88" s="102">
        <f>IF(AW88=DP!$AN$22,(DP!$AQ$22),IF(AW88=DP!$AN$23,(DP!$AQ$23),IF(AW88=DP!$AN$24,(DP!$AQ$24),IF(AW88=DP!$AN$25,(DP!$AQ$25),((0*1))))))</f>
        <v>0</v>
      </c>
      <c r="CB88" s="93">
        <f t="shared" si="74"/>
        <v>0</v>
      </c>
      <c r="CC88" s="93">
        <f>IF(AW88=DP!$AN$15,AY88*(1+DP!$AO$15),IF(AW88=DP!$AN$16,AY88*(1+DP!$AO$16),IF(AW88=DP!$AN$17,AY88*(1+DP!$AO$17),IF(AW88=DP!$AN$18,AY88*(1+DP!$AO$18),0*1))))</f>
        <v>0</v>
      </c>
      <c r="CD88" s="102">
        <f>IF(AW88=DP!$AN$22,(DP!$AR$22),IF(AW88=DP!$AN$23,(DP!$AR$23),IF(AW88=DP!$AN$24,(DP!$AR$24),IF(AW88=DP!$AN$25,(DP!$AR$25),((0*1))))))</f>
        <v>0</v>
      </c>
      <c r="CE88" s="93">
        <f t="shared" si="92"/>
        <v>0</v>
      </c>
      <c r="CF88" s="100"/>
      <c r="CG88" s="149">
        <f t="shared" si="75"/>
        <v>0</v>
      </c>
      <c r="CH88" s="149">
        <f>DP!$N$35*BA88</f>
        <v>0</v>
      </c>
      <c r="CI88" s="149">
        <f>DP!$O$35*BA88</f>
        <v>0</v>
      </c>
      <c r="CJ88" s="149">
        <f>DP!$P$35*BA88</f>
        <v>0</v>
      </c>
    </row>
    <row r="89" spans="2:88" x14ac:dyDescent="0.35">
      <c r="B89" s="480">
        <f>DP!S29</f>
        <v>0</v>
      </c>
      <c r="C89" s="480">
        <f>DP!T29</f>
        <v>0</v>
      </c>
      <c r="D89" s="480">
        <f>DP!U29</f>
        <v>0</v>
      </c>
      <c r="E89" s="480">
        <f>DP!V29</f>
        <v>0</v>
      </c>
      <c r="F89" s="412">
        <f t="shared" si="76"/>
        <v>0</v>
      </c>
      <c r="G89" s="470">
        <f>DP!Y29</f>
        <v>0</v>
      </c>
      <c r="H89" s="98">
        <f t="shared" si="93"/>
        <v>0</v>
      </c>
      <c r="I89" s="97"/>
      <c r="J89" s="102">
        <f t="shared" si="65"/>
        <v>0</v>
      </c>
      <c r="K89" s="98">
        <f t="shared" si="66"/>
        <v>0</v>
      </c>
      <c r="L89" s="93">
        <f t="shared" si="67"/>
        <v>0</v>
      </c>
      <c r="M89" s="99">
        <f t="shared" si="68"/>
        <v>0</v>
      </c>
      <c r="N89" s="100"/>
      <c r="O89" s="146">
        <f>($E89/DP!$M$29)*F89</f>
        <v>0</v>
      </c>
      <c r="P89" s="102">
        <f>IF(O89&gt;0,(DP!$M$31),0*1)</f>
        <v>0</v>
      </c>
      <c r="Q89" s="102">
        <f t="shared" si="95"/>
        <v>0</v>
      </c>
      <c r="R89" s="102">
        <f t="shared" si="77"/>
        <v>0</v>
      </c>
      <c r="S89" s="418">
        <f t="shared" si="78"/>
        <v>0</v>
      </c>
      <c r="T89" s="475">
        <f>H89*DP!$O$44</f>
        <v>0</v>
      </c>
      <c r="U89" s="475">
        <f>IF(H89&gt;0,DP!$P$44,0*1)</f>
        <v>0</v>
      </c>
      <c r="V89" s="475">
        <f t="shared" si="79"/>
        <v>0</v>
      </c>
      <c r="W89" s="475">
        <f>H89*DP!$O$45</f>
        <v>0</v>
      </c>
      <c r="X89" s="475">
        <f>IF(H89&gt;0,DP!$P$45,0*1)</f>
        <v>0</v>
      </c>
      <c r="Y89" s="475">
        <f t="shared" si="80"/>
        <v>0</v>
      </c>
      <c r="Z89" s="100"/>
      <c r="AA89" s="93">
        <f>IF(D89=DP!$L$15,F89*(1+DP!$M$15),IF(D89=DP!$L$16,F89*(1+DP!$M$16),IF(D89=DP!$L$17,F89*(1+DP!$M$17),IF(D89=DP!$L$18,F89*(1+DP!$M$18),0*1))))</f>
        <v>0</v>
      </c>
      <c r="AB89" s="102">
        <f>IF(D89=DP!$L$22,(DP!$M$22),IF(D89=DP!$L$23,(DP!$M$23),IF(D89=DP!$L$24,(DP!$M$24),IF(D89=DP!$L$25,(DP!$M$25),((0*1))))))</f>
        <v>0</v>
      </c>
      <c r="AC89" s="93">
        <f t="shared" si="81"/>
        <v>0</v>
      </c>
      <c r="AD89" s="93">
        <f>IF(D89=DP!$L$15,F89*(1+DP!$M$15),IF(D89=DP!$L$16,F89*(1+DP!$M$16),IF(D89=DP!$L$17,F89*(1+DP!$M$17),IF(D89=DP!$L$18,F89*(1+DP!$M$18),0*1))))</f>
        <v>0</v>
      </c>
      <c r="AE89" s="102">
        <f>IF(D89=DP!$L$22,(DP!$N$22),IF(D89=DP!$L$23,(DP!$N$23),IF(D89=DP!$L$24,(DP!$N$24),IF(D89=DP!$L$25,(DP!$N$25),((0*1))))))</f>
        <v>0</v>
      </c>
      <c r="AF89" s="93">
        <f t="shared" si="82"/>
        <v>0</v>
      </c>
      <c r="AG89" s="93">
        <f>IF(D89=DP!$L$15,(F89/DP!$K$15)*(1+DP!$M$15),IF(D89=DP!$L$16,(F89/DP!$K$16)*(1+DP!$M$16),IF(D89=DP!$L$17,(F89/DP!$K$17)*(1+DP!$M$17),IF(D89=DP!$L$18,(F89/DP!$K$18)*(1+DP!$M$18),0*1))))</f>
        <v>0</v>
      </c>
      <c r="AH89" s="102">
        <f>IF(D89=DP!$L$22,(DP!$O$22),IF(D89=DP!$L$23,(DP!$O$23),IF(D89=DP!$L$24,(DP!$O$24),IF(D89=DP!$L$25,(DP!$O$25),((0*1))))))</f>
        <v>0</v>
      </c>
      <c r="AI89" s="93">
        <f t="shared" si="83"/>
        <v>0</v>
      </c>
      <c r="AJ89" s="93">
        <f>IF(D89=DP!$L$15,F89*(1+DP!$M$15),IF(D89=DP!$L$16,F89*(1+DP!$M$16),IF(D89=DP!$L$17,F89*(1+DP!$M$17),IF(D89=DP!$L$18,F89*(1+DP!$M$18),0*1))))</f>
        <v>0</v>
      </c>
      <c r="AK89" s="102">
        <f>IF(D89=DP!$L$22,(DP!$P$22),IF(D89=DP!$L$23,(DP!$P$23),IF(D89=DP!$L$24,(DP!$P$24),IF(D89=DP!$L$25,(DP!$P$25),((0*1))))))</f>
        <v>0</v>
      </c>
      <c r="AL89" s="93">
        <f t="shared" si="84"/>
        <v>0</v>
      </c>
      <c r="AM89" s="100"/>
      <c r="AN89" s="149">
        <f t="shared" si="69"/>
        <v>0</v>
      </c>
      <c r="AO89" s="149">
        <f>DP!$N$35*H89</f>
        <v>0</v>
      </c>
      <c r="AP89" s="149">
        <f>DP!$O$35*H89</f>
        <v>0</v>
      </c>
      <c r="AQ89" s="149">
        <f>DP!$P$35*H89</f>
        <v>0</v>
      </c>
      <c r="AV89" s="489">
        <f>DP!AV29</f>
        <v>0</v>
      </c>
      <c r="AW89" s="489">
        <f>DP!AW29</f>
        <v>0</v>
      </c>
      <c r="AX89" s="489">
        <f>DP!AX29</f>
        <v>0</v>
      </c>
      <c r="AY89" s="412">
        <f t="shared" si="85"/>
        <v>0</v>
      </c>
      <c r="AZ89" s="470">
        <f>DP!BA29</f>
        <v>0</v>
      </c>
      <c r="BA89" s="98">
        <f t="shared" si="86"/>
        <v>0</v>
      </c>
      <c r="BB89" s="97"/>
      <c r="BC89" s="102">
        <f t="shared" si="70"/>
        <v>0</v>
      </c>
      <c r="BD89" s="98">
        <f t="shared" si="71"/>
        <v>0</v>
      </c>
      <c r="BE89" s="93">
        <f t="shared" si="72"/>
        <v>0</v>
      </c>
      <c r="BF89" s="99">
        <f t="shared" si="73"/>
        <v>0</v>
      </c>
      <c r="BG89" s="100"/>
      <c r="BH89" s="102">
        <f>IFERROR((BA89*100%)/DP!$AO$29,(0*1))</f>
        <v>0</v>
      </c>
      <c r="BI89" s="102">
        <f>IF(BH89&gt;0,(DP!$AO$31),0*1)</f>
        <v>0</v>
      </c>
      <c r="BJ89" s="435">
        <f t="shared" si="87"/>
        <v>0</v>
      </c>
      <c r="BK89" s="475">
        <f>BA89*DP!$AQ$44</f>
        <v>0</v>
      </c>
      <c r="BL89" s="475">
        <f>IF(BA89&gt;0,DP!$AR$44,0*1)</f>
        <v>0</v>
      </c>
      <c r="BM89" s="475">
        <f t="shared" si="88"/>
        <v>0</v>
      </c>
      <c r="BN89" s="102">
        <f>BA89*DP!$AQ$45</f>
        <v>0</v>
      </c>
      <c r="BO89" s="102">
        <f>IF(BA89&gt;0,DP!$AR$45,0*1)</f>
        <v>0</v>
      </c>
      <c r="BP89" s="475">
        <f t="shared" si="89"/>
        <v>0</v>
      </c>
      <c r="BQ89" s="100"/>
      <c r="BR89" s="100"/>
      <c r="BS89" s="100"/>
      <c r="BT89" s="93">
        <f>IF(AW89=DP!$AN$15,AY89*(1+DP!$AO$15),IF(AW89=DP!$AN$16,AY89*(1+DP!$AO$16),IF(AW89=DP!$AN$17,AY89*(1+DP!$AO$17),IF(AW89=DP!$AN$18,AY89*(1+DP!$AO$18),0*1))))</f>
        <v>0</v>
      </c>
      <c r="BU89" s="102">
        <f>IF(AW89=DP!$AN$22,(DP!$AO$22),IF(AW89=DP!$AN$23,(DP!$AO$23),IF(AW89=DP!$AN$24,(DP!$AO$24),IF(AW89=DP!$AN$25,(DP!$AO$25),((0*1))))))</f>
        <v>0</v>
      </c>
      <c r="BV89" s="93">
        <f t="shared" si="90"/>
        <v>0</v>
      </c>
      <c r="BW89" s="93">
        <f>IF(AW89=DP!$AN$15,AY89*(1+DP!$AO$15),IF(AW89=DP!$AN$16,AY89*(1+DP!$AO$16),IF(AW89=DP!$AN$17,AY89*(1+DP!$AO$17),IF(AW89=DP!$AN$18,AY89*(1+DP!$AO$18),0*1))))</f>
        <v>0</v>
      </c>
      <c r="BX89" s="102">
        <f>IF(AW89=DP!$AN$22,(DP!$AP$22),IF(AW89=DP!$AN$23,(DP!$AP$23),IF(AW89=DP!$AN$24,(DP!$AP$24),IF(AW89=DP!$AN$25,(DP!$AP$25),((0*1))))))</f>
        <v>0</v>
      </c>
      <c r="BY89" s="93">
        <f t="shared" si="91"/>
        <v>0</v>
      </c>
      <c r="BZ89" s="93">
        <f>IF(AW89=DP!$AN$15,(AY89/DP!$AM$15)*(1+DP!$AO$15),IF(AW89=DP!$AN$16,(AY89/DP!$AM$16)*(1+DP!$AO$16),IF(AW89=DP!$AN$17,(AY89/DP!$AM$17)*(1+DP!$AO$17),IF(AW89=DP!$AN$18,(AY89/DP!$AM$18)*(1+DP!$AO$18),0*1))))</f>
        <v>0</v>
      </c>
      <c r="CA89" s="102">
        <f>IF(AW89=DP!$AN$22,(DP!$AQ$22),IF(AW89=DP!$AN$23,(DP!$AQ$23),IF(AW89=DP!$AN$24,(DP!$AQ$24),IF(AW89=DP!$AN$25,(DP!$AQ$25),((0*1))))))</f>
        <v>0</v>
      </c>
      <c r="CB89" s="93">
        <f t="shared" si="74"/>
        <v>0</v>
      </c>
      <c r="CC89" s="93">
        <f>IF(AW89=DP!$AN$15,AY89*(1+DP!$AO$15),IF(AW89=DP!$AN$16,AY89*(1+DP!$AO$16),IF(AW89=DP!$AN$17,AY89*(1+DP!$AO$17),IF(AW89=DP!$AN$18,AY89*(1+DP!$AO$18),0*1))))</f>
        <v>0</v>
      </c>
      <c r="CD89" s="102">
        <f>IF(AW89=DP!$AN$22,(DP!$AR$22),IF(AW89=DP!$AN$23,(DP!$AR$23),IF(AW89=DP!$AN$24,(DP!$AR$24),IF(AW89=DP!$AN$25,(DP!$AR$25),((0*1))))))</f>
        <v>0</v>
      </c>
      <c r="CE89" s="93">
        <f t="shared" si="92"/>
        <v>0</v>
      </c>
      <c r="CF89" s="100"/>
      <c r="CG89" s="149">
        <f t="shared" si="75"/>
        <v>0</v>
      </c>
      <c r="CH89" s="149">
        <f>DP!$N$35*BA89</f>
        <v>0</v>
      </c>
      <c r="CI89" s="149">
        <f>DP!$O$35*BA89</f>
        <v>0</v>
      </c>
      <c r="CJ89" s="149">
        <f>DP!$P$35*BA89</f>
        <v>0</v>
      </c>
    </row>
    <row r="90" spans="2:88" x14ac:dyDescent="0.35">
      <c r="B90" s="480">
        <f>DP!S30</f>
        <v>0</v>
      </c>
      <c r="C90" s="480">
        <f>DP!T30</f>
        <v>0</v>
      </c>
      <c r="D90" s="480">
        <f>DP!U30</f>
        <v>0</v>
      </c>
      <c r="E90" s="480">
        <f>DP!V30</f>
        <v>0</v>
      </c>
      <c r="F90" s="412">
        <f t="shared" si="76"/>
        <v>0</v>
      </c>
      <c r="G90" s="470">
        <f>DP!Y30</f>
        <v>0</v>
      </c>
      <c r="H90" s="98">
        <f t="shared" si="93"/>
        <v>0</v>
      </c>
      <c r="I90" s="97"/>
      <c r="J90" s="102">
        <f t="shared" si="65"/>
        <v>0</v>
      </c>
      <c r="K90" s="98">
        <f t="shared" si="66"/>
        <v>0</v>
      </c>
      <c r="L90" s="93">
        <f t="shared" si="67"/>
        <v>0</v>
      </c>
      <c r="M90" s="99">
        <f t="shared" si="68"/>
        <v>0</v>
      </c>
      <c r="N90" s="100"/>
      <c r="O90" s="146">
        <f>($E90/DP!$M$29)*F90</f>
        <v>0</v>
      </c>
      <c r="P90" s="102">
        <f>IF(O90&gt;0,(DP!$M$31),0*1)</f>
        <v>0</v>
      </c>
      <c r="Q90" s="102">
        <f t="shared" si="95"/>
        <v>0</v>
      </c>
      <c r="R90" s="102">
        <f t="shared" si="77"/>
        <v>0</v>
      </c>
      <c r="S90" s="418">
        <f t="shared" si="78"/>
        <v>0</v>
      </c>
      <c r="T90" s="475">
        <f>H90*DP!$O$44</f>
        <v>0</v>
      </c>
      <c r="U90" s="475">
        <f>IF(H90&gt;0,DP!$P$44,0*1)</f>
        <v>0</v>
      </c>
      <c r="V90" s="475">
        <f t="shared" si="79"/>
        <v>0</v>
      </c>
      <c r="W90" s="475">
        <f>H90*DP!$O$45</f>
        <v>0</v>
      </c>
      <c r="X90" s="475">
        <f>IF(H90&gt;0,DP!$P$45,0*1)</f>
        <v>0</v>
      </c>
      <c r="Y90" s="475">
        <f t="shared" si="80"/>
        <v>0</v>
      </c>
      <c r="Z90" s="100"/>
      <c r="AA90" s="93">
        <f>IF(D90=DP!$L$15,F90*(1+DP!$M$15),IF(D90=DP!$L$16,F90*(1+DP!$M$16),IF(D90=DP!$L$17,F90*(1+DP!$M$17),IF(D90=DP!$L$18,F90*(1+DP!$M$18),0*1))))</f>
        <v>0</v>
      </c>
      <c r="AB90" s="102">
        <f>IF(D90=DP!$L$22,(DP!$M$22),IF(D90=DP!$L$23,(DP!$M$23),IF(D90=DP!$L$24,(DP!$M$24),IF(D90=DP!$L$25,(DP!$M$25),((0*1))))))</f>
        <v>0</v>
      </c>
      <c r="AC90" s="93">
        <f t="shared" si="81"/>
        <v>0</v>
      </c>
      <c r="AD90" s="93">
        <f>IF(D90=DP!$L$15,F90*(1+DP!$M$15),IF(D90=DP!$L$16,F90*(1+DP!$M$16),IF(D90=DP!$L$17,F90*(1+DP!$M$17),IF(D90=DP!$L$18,F90*(1+DP!$M$18),0*1))))</f>
        <v>0</v>
      </c>
      <c r="AE90" s="102">
        <f>IF(D90=DP!$L$22,(DP!$N$22),IF(D90=DP!$L$23,(DP!$N$23),IF(D90=DP!$L$24,(DP!$N$24),IF(D90=DP!$L$25,(DP!$N$25),((0*1))))))</f>
        <v>0</v>
      </c>
      <c r="AF90" s="93">
        <f t="shared" si="82"/>
        <v>0</v>
      </c>
      <c r="AG90" s="93">
        <f>IF(D90=DP!$L$15,(F90/DP!$K$15)*(1+DP!$M$15),IF(D90=DP!$L$16,(F90/DP!$K$16)*(1+DP!$M$16),IF(D90=DP!$L$17,(F90/DP!$K$17)*(1+DP!$M$17),IF(D90=DP!$L$18,(F90/DP!$K$18)*(1+DP!$M$18),0*1))))</f>
        <v>0</v>
      </c>
      <c r="AH90" s="102">
        <f>IF(D90=DP!$L$22,(DP!$O$22),IF(D90=DP!$L$23,(DP!$O$23),IF(D90=DP!$L$24,(DP!$O$24),IF(D90=DP!$L$25,(DP!$O$25),((0*1))))))</f>
        <v>0</v>
      </c>
      <c r="AI90" s="93">
        <f t="shared" si="83"/>
        <v>0</v>
      </c>
      <c r="AJ90" s="93">
        <f>IF(D90=DP!$L$15,F90*(1+DP!$M$15),IF(D90=DP!$L$16,F90*(1+DP!$M$16),IF(D90=DP!$L$17,F90*(1+DP!$M$17),IF(D90=DP!$L$18,F90*(1+DP!$M$18),0*1))))</f>
        <v>0</v>
      </c>
      <c r="AK90" s="102">
        <f>IF(D90=DP!$L$22,(DP!$P$22),IF(D90=DP!$L$23,(DP!$P$23),IF(D90=DP!$L$24,(DP!$P$24),IF(D90=DP!$L$25,(DP!$P$25),((0*1))))))</f>
        <v>0</v>
      </c>
      <c r="AL90" s="93">
        <f t="shared" si="84"/>
        <v>0</v>
      </c>
      <c r="AM90" s="100"/>
      <c r="AN90" s="149">
        <f t="shared" si="69"/>
        <v>0</v>
      </c>
      <c r="AO90" s="149">
        <f>DP!$N$35*H90</f>
        <v>0</v>
      </c>
      <c r="AP90" s="149">
        <f>DP!$O$35*H90</f>
        <v>0</v>
      </c>
      <c r="AQ90" s="149">
        <f>DP!$P$35*H90</f>
        <v>0</v>
      </c>
      <c r="AV90" s="489">
        <f>DP!AV30</f>
        <v>0</v>
      </c>
      <c r="AW90" s="489">
        <f>DP!AW30</f>
        <v>0</v>
      </c>
      <c r="AX90" s="489">
        <f>DP!AX30</f>
        <v>0</v>
      </c>
      <c r="AY90" s="412">
        <f t="shared" si="85"/>
        <v>0</v>
      </c>
      <c r="AZ90" s="470">
        <f>DP!BA30</f>
        <v>0</v>
      </c>
      <c r="BA90" s="98">
        <f t="shared" si="86"/>
        <v>0</v>
      </c>
      <c r="BB90" s="97"/>
      <c r="BC90" s="102">
        <f t="shared" si="70"/>
        <v>0</v>
      </c>
      <c r="BD90" s="98">
        <f t="shared" si="71"/>
        <v>0</v>
      </c>
      <c r="BE90" s="93">
        <f t="shared" si="72"/>
        <v>0</v>
      </c>
      <c r="BF90" s="99">
        <f t="shared" si="73"/>
        <v>0</v>
      </c>
      <c r="BG90" s="100"/>
      <c r="BH90" s="102">
        <f>IFERROR((BA90*100%)/DP!$AO$29,(0*1))</f>
        <v>0</v>
      </c>
      <c r="BI90" s="102">
        <f>IF(BH90&gt;0,(DP!$AO$31),0*1)</f>
        <v>0</v>
      </c>
      <c r="BJ90" s="435">
        <f t="shared" si="87"/>
        <v>0</v>
      </c>
      <c r="BK90" s="475">
        <f>BA90*DP!$AQ$44</f>
        <v>0</v>
      </c>
      <c r="BL90" s="475">
        <f>IF(BA90&gt;0,DP!$AR$44,0*1)</f>
        <v>0</v>
      </c>
      <c r="BM90" s="475">
        <f t="shared" si="88"/>
        <v>0</v>
      </c>
      <c r="BN90" s="102">
        <f>BA90*DP!$AQ$45</f>
        <v>0</v>
      </c>
      <c r="BO90" s="102">
        <f>IF(BA90&gt;0,DP!$AR$45,0*1)</f>
        <v>0</v>
      </c>
      <c r="BP90" s="475">
        <f t="shared" si="89"/>
        <v>0</v>
      </c>
      <c r="BQ90" s="100"/>
      <c r="BR90" s="100"/>
      <c r="BS90" s="100"/>
      <c r="BT90" s="93">
        <f>IF(AW90=DP!$AN$15,AY90*(1+DP!$AO$15),IF(AW90=DP!$AN$16,AY90*(1+DP!$AO$16),IF(AW90=DP!$AN$17,AY90*(1+DP!$AO$17),IF(AW90=DP!$AN$18,AY90*(1+DP!$AO$18),0*1))))</f>
        <v>0</v>
      </c>
      <c r="BU90" s="102">
        <f>IF(AW90=DP!$AN$22,(DP!$AO$22),IF(AW90=DP!$AN$23,(DP!$AO$23),IF(AW90=DP!$AN$24,(DP!$AO$24),IF(AW90=DP!$AN$25,(DP!$AO$25),((0*1))))))</f>
        <v>0</v>
      </c>
      <c r="BV90" s="93">
        <f t="shared" si="90"/>
        <v>0</v>
      </c>
      <c r="BW90" s="93">
        <f>IF(AW90=DP!$AN$15,AY90*(1+DP!$AO$15),IF(AW90=DP!$AN$16,AY90*(1+DP!$AO$16),IF(AW90=DP!$AN$17,AY90*(1+DP!$AO$17),IF(AW90=DP!$AN$18,AY90*(1+DP!$AO$18),0*1))))</f>
        <v>0</v>
      </c>
      <c r="BX90" s="102">
        <f>IF(AW90=DP!$AN$22,(DP!$AP$22),IF(AW90=DP!$AN$23,(DP!$AP$23),IF(AW90=DP!$AN$24,(DP!$AP$24),IF(AW90=DP!$AN$25,(DP!$AP$25),((0*1))))))</f>
        <v>0</v>
      </c>
      <c r="BY90" s="93">
        <f>BW90*BX90</f>
        <v>0</v>
      </c>
      <c r="BZ90" s="93">
        <f>IF(AW90=DP!$AN$15,(AY90/DP!$AM$15)*(1+DP!$AO$15),IF(AW90=DP!$AN$16,(AY90/DP!$AM$16)*(1+DP!$AO$16),IF(AW90=DP!$AN$17,(AY90/DP!$AM$17)*(1+DP!$AO$17),IF(AW90=DP!$AN$18,(AY90/DP!$AM$18)*(1+DP!$AO$18),0*1))))</f>
        <v>0</v>
      </c>
      <c r="CA90" s="102">
        <f>IF(AW90=DP!$AN$22,(DP!$AQ$22),IF(AW90=DP!$AN$23,(DP!$AQ$23),IF(AW90=DP!$AN$24,(DP!$AQ$24),IF(AW90=DP!$AN$25,(DP!$AQ$25),((0*1))))))</f>
        <v>0</v>
      </c>
      <c r="CB90" s="93">
        <f t="shared" si="74"/>
        <v>0</v>
      </c>
      <c r="CC90" s="93">
        <f>IF(AW90=DP!$AN$15,AY90*(1+DP!$AO$15),IF(AW90=DP!$AN$16,AY90*(1+DP!$AO$16),IF(AW90=DP!$AN$17,AY90*(1+DP!$AO$17),IF(AW90=DP!$AN$18,AY90*(1+DP!$AO$18),0*1))))</f>
        <v>0</v>
      </c>
      <c r="CD90" s="102">
        <f>IF(AW90=DP!$AN$22,(DP!$AR$22),IF(AW90=DP!$AN$23,(DP!$AR$23),IF(AW90=DP!$AN$24,(DP!$AR$24),IF(AW90=DP!$AN$25,(DP!$AR$25),((0*1))))))</f>
        <v>0</v>
      </c>
      <c r="CE90" s="93">
        <f t="shared" si="92"/>
        <v>0</v>
      </c>
      <c r="CF90" s="100"/>
      <c r="CG90" s="149">
        <f t="shared" si="75"/>
        <v>0</v>
      </c>
      <c r="CH90" s="149">
        <f>DP!$N$35*BA90</f>
        <v>0</v>
      </c>
      <c r="CI90" s="149">
        <f>DP!$O$35*BA90</f>
        <v>0</v>
      </c>
      <c r="CJ90" s="149">
        <f>DP!$P$35*BA90</f>
        <v>0</v>
      </c>
    </row>
    <row r="91" spans="2:88" x14ac:dyDescent="0.35">
      <c r="B91" s="480">
        <f>DP!S31</f>
        <v>0</v>
      </c>
      <c r="C91" s="480">
        <f>DP!T31</f>
        <v>0</v>
      </c>
      <c r="D91" s="480">
        <f>DP!U31</f>
        <v>0</v>
      </c>
      <c r="E91" s="480">
        <f>DP!V31</f>
        <v>0</v>
      </c>
      <c r="F91" s="412">
        <f t="shared" si="76"/>
        <v>0</v>
      </c>
      <c r="G91" s="470">
        <f>DP!Y31</f>
        <v>0</v>
      </c>
      <c r="H91" s="98">
        <f t="shared" si="93"/>
        <v>0</v>
      </c>
      <c r="I91" s="97"/>
      <c r="J91" s="102">
        <f t="shared" si="65"/>
        <v>0</v>
      </c>
      <c r="K91" s="98">
        <f t="shared" si="66"/>
        <v>0</v>
      </c>
      <c r="L91" s="93">
        <f t="shared" si="67"/>
        <v>0</v>
      </c>
      <c r="M91" s="99">
        <f t="shared" si="68"/>
        <v>0</v>
      </c>
      <c r="N91" s="100"/>
      <c r="O91" s="146">
        <f>($E91/DP!$M$29)*F91</f>
        <v>0</v>
      </c>
      <c r="P91" s="102">
        <f>IF(O91&gt;0,(DP!$M$31),0*1)</f>
        <v>0</v>
      </c>
      <c r="Q91" s="102">
        <f t="shared" si="95"/>
        <v>0</v>
      </c>
      <c r="R91" s="102">
        <f t="shared" si="77"/>
        <v>0</v>
      </c>
      <c r="S91" s="418">
        <f t="shared" si="78"/>
        <v>0</v>
      </c>
      <c r="T91" s="475">
        <f>H91*DP!$O$44</f>
        <v>0</v>
      </c>
      <c r="U91" s="475">
        <f>IF(H91&gt;0,DP!$P$44,0*1)</f>
        <v>0</v>
      </c>
      <c r="V91" s="475">
        <f t="shared" si="79"/>
        <v>0</v>
      </c>
      <c r="W91" s="475">
        <f>H91*DP!$O$45</f>
        <v>0</v>
      </c>
      <c r="X91" s="475">
        <f>IF(H91&gt;0,DP!$P$45,0*1)</f>
        <v>0</v>
      </c>
      <c r="Y91" s="475">
        <f t="shared" si="80"/>
        <v>0</v>
      </c>
      <c r="Z91" s="100"/>
      <c r="AA91" s="93">
        <f>IF(D91=DP!$L$15,F91*(1+DP!$M$15),IF(D91=DP!$L$16,F91*(1+DP!$M$16),IF(D91=DP!$L$17,F91*(1+DP!$M$17),IF(D91=DP!$L$18,F91*(1+DP!$M$18),0*1))))</f>
        <v>0</v>
      </c>
      <c r="AB91" s="102">
        <f>IF(D91=DP!$L$22,(DP!$M$22),IF(D91=DP!$L$23,(DP!$M$23),IF(D91=DP!$L$24,(DP!$M$24),IF(D91=DP!$L$25,(DP!$M$25),((0*1))))))</f>
        <v>0</v>
      </c>
      <c r="AC91" s="93">
        <f t="shared" si="81"/>
        <v>0</v>
      </c>
      <c r="AD91" s="93">
        <f>IF(D91=DP!$L$15,F91*(1+DP!$M$15),IF(D91=DP!$L$16,F91*(1+DP!$M$16),IF(D91=DP!$L$17,F91*(1+DP!$M$17),IF(D91=DP!$L$18,F91*(1+DP!$M$18),0*1))))</f>
        <v>0</v>
      </c>
      <c r="AE91" s="102">
        <f>IF(D91=DP!$L$22,(DP!$N$22),IF(D91=DP!$L$23,(DP!$N$23),IF(D91=DP!$L$24,(DP!$N$24),IF(D91=DP!$L$25,(DP!$N$25),((0*1))))))</f>
        <v>0</v>
      </c>
      <c r="AF91" s="93">
        <f t="shared" si="82"/>
        <v>0</v>
      </c>
      <c r="AG91" s="93">
        <f>IF(D91=DP!$L$15,(F91/DP!$K$15)*(1+DP!$M$15),IF(D91=DP!$L$16,(F91/DP!$K$16)*(1+DP!$M$16),IF(D91=DP!$L$17,(F91/DP!$K$17)*(1+DP!$M$17),IF(D91=DP!$L$18,(F91/DP!$K$18)*(1+DP!$M$18),0*1))))</f>
        <v>0</v>
      </c>
      <c r="AH91" s="102">
        <f>IF(D91=DP!$L$22,(DP!$O$22),IF(D91=DP!$L$23,(DP!$O$23),IF(D91=DP!$L$24,(DP!$O$24),IF(D91=DP!$L$25,(DP!$O$25),((0*1))))))</f>
        <v>0</v>
      </c>
      <c r="AI91" s="93">
        <f t="shared" si="83"/>
        <v>0</v>
      </c>
      <c r="AJ91" s="93">
        <f>IF(D91=DP!$L$15,F91*(1+DP!$M$15),IF(D91=DP!$L$16,F91*(1+DP!$M$16),IF(D91=DP!$L$17,F91*(1+DP!$M$17),IF(D91=DP!$L$18,F91*(1+DP!$M$18),0*1))))</f>
        <v>0</v>
      </c>
      <c r="AK91" s="102">
        <f>IF(D91=DP!$L$22,(DP!$P$22),IF(D91=DP!$L$23,(DP!$P$23),IF(D91=DP!$L$24,(DP!$P$24),IF(D91=DP!$L$25,(DP!$P$25),((0*1))))))</f>
        <v>0</v>
      </c>
      <c r="AL91" s="93">
        <f t="shared" si="84"/>
        <v>0</v>
      </c>
      <c r="AM91" s="100"/>
      <c r="AN91" s="149">
        <f t="shared" si="69"/>
        <v>0</v>
      </c>
      <c r="AO91" s="149">
        <f>DP!$N$35*H91</f>
        <v>0</v>
      </c>
      <c r="AP91" s="149">
        <f>DP!$O$35*H91</f>
        <v>0</v>
      </c>
      <c r="AQ91" s="149">
        <f>DP!$P$35*H91</f>
        <v>0</v>
      </c>
      <c r="AV91" s="489">
        <f>DP!AV31</f>
        <v>0</v>
      </c>
      <c r="AW91" s="489">
        <f>DP!AW31</f>
        <v>0</v>
      </c>
      <c r="AX91" s="489">
        <f>DP!AX31</f>
        <v>0</v>
      </c>
      <c r="AY91" s="412">
        <f t="shared" si="85"/>
        <v>0</v>
      </c>
      <c r="AZ91" s="470">
        <f>DP!BA31</f>
        <v>0</v>
      </c>
      <c r="BA91" s="98">
        <f t="shared" si="86"/>
        <v>0</v>
      </c>
      <c r="BB91" s="97"/>
      <c r="BC91" s="102">
        <f t="shared" si="70"/>
        <v>0</v>
      </c>
      <c r="BD91" s="98">
        <f t="shared" si="71"/>
        <v>0</v>
      </c>
      <c r="BE91" s="93">
        <f t="shared" si="72"/>
        <v>0</v>
      </c>
      <c r="BF91" s="99">
        <f t="shared" si="73"/>
        <v>0</v>
      </c>
      <c r="BG91" s="100"/>
      <c r="BH91" s="102">
        <f>IFERROR((BA91*100%)/DP!$AO$29,(0*1))</f>
        <v>0</v>
      </c>
      <c r="BI91" s="102">
        <f>IF(BH91&gt;0,(DP!$AO$31),0*1)</f>
        <v>0</v>
      </c>
      <c r="BJ91" s="435">
        <f t="shared" si="87"/>
        <v>0</v>
      </c>
      <c r="BK91" s="475">
        <f>BA91*DP!$AQ$44</f>
        <v>0</v>
      </c>
      <c r="BL91" s="475">
        <f>IF(BA91&gt;0,DP!$AR$44,0*1)</f>
        <v>0</v>
      </c>
      <c r="BM91" s="475">
        <f t="shared" si="88"/>
        <v>0</v>
      </c>
      <c r="BN91" s="102">
        <f>BA91*DP!$AQ$45</f>
        <v>0</v>
      </c>
      <c r="BO91" s="102">
        <f>IF(BA91&gt;0,DP!$AR$45,0*1)</f>
        <v>0</v>
      </c>
      <c r="BP91" s="475">
        <f t="shared" si="89"/>
        <v>0</v>
      </c>
      <c r="BQ91" s="100"/>
      <c r="BR91" s="100"/>
      <c r="BS91" s="100"/>
      <c r="BT91" s="93">
        <f>IF(AW91=DP!$AN$15,AY91*(1+DP!$AO$15),IF(AW91=DP!$AN$16,AY91*(1+DP!$AO$16),IF(AW91=DP!$AN$17,AY91*(1+DP!$AO$17),IF(AW91=DP!$AN$18,AY91*(1+DP!$AO$18),0*1))))</f>
        <v>0</v>
      </c>
      <c r="BU91" s="102">
        <f>IF(AW91=DP!$AN$22,(DP!$AO$22),IF(AW91=DP!$AN$23,(DP!$AO$23),IF(AW91=DP!$AN$24,(DP!$AO$24),IF(AW91=DP!$AN$25,(DP!$AO$25),((0*1))))))</f>
        <v>0</v>
      </c>
      <c r="BV91" s="93">
        <f t="shared" si="90"/>
        <v>0</v>
      </c>
      <c r="BW91" s="93">
        <f>IF(AW91=DP!$AN$15,AY91*(1+DP!$AO$15),IF(AW91=DP!$AN$16,AY91*(1+DP!$AO$16),IF(AW91=DP!$AN$17,AY91*(1+DP!$AO$17),IF(AW91=DP!$AN$18,AY91*(1+DP!$AO$18),0*1))))</f>
        <v>0</v>
      </c>
      <c r="BX91" s="102">
        <f>IF(AW91=DP!$AN$22,(DP!$AP$22),IF(AW91=DP!$AN$23,(DP!$AP$23),IF(AW91=DP!$AN$24,(DP!$AP$24),IF(AW91=DP!$AN$25,(DP!$AP$25),((0*1))))))</f>
        <v>0</v>
      </c>
      <c r="BY91" s="93">
        <f t="shared" ref="BY91:BY96" si="96">BW91*BX91</f>
        <v>0</v>
      </c>
      <c r="BZ91" s="93">
        <f>IF(AW91=DP!$AN$15,(AY91/DP!$AM$15)*(1+DP!$AO$15),IF(AW91=DP!$AN$16,(AY91/DP!$AM$16)*(1+DP!$AO$16),IF(AW91=DP!$AN$17,(AY91/DP!$AM$17)*(1+DP!$AO$17),IF(AW91=DP!$AN$18,(AY91/DP!$AM$18)*(1+DP!$AO$18),0*1))))</f>
        <v>0</v>
      </c>
      <c r="CA91" s="102">
        <f>IF(AW91=DP!$AN$22,(DP!$AQ$22),IF(AW91=DP!$AN$23,(DP!$AQ$23),IF(AW91=DP!$AN$24,(DP!$AQ$24),IF(AW91=DP!$AN$25,(DP!$AQ$25),((0*1))))))</f>
        <v>0</v>
      </c>
      <c r="CB91" s="93">
        <f t="shared" si="74"/>
        <v>0</v>
      </c>
      <c r="CC91" s="93">
        <f>IF(AW91=DP!$AN$15,AY91*(1+DP!$AO$15),IF(AW91=DP!$AN$16,AY91*(1+DP!$AO$16),IF(AW91=DP!$AN$17,AY91*(1+DP!$AO$17),IF(AW91=DP!$AN$18,AY91*(1+DP!$AO$18),0*1))))</f>
        <v>0</v>
      </c>
      <c r="CD91" s="102">
        <f>IF(AW91=DP!$AN$22,(DP!$AR$22),IF(AW91=DP!$AN$23,(DP!$AR$23),IF(AW91=DP!$AN$24,(DP!$AR$24),IF(AW91=DP!$AN$25,(DP!$AR$25),((0*1))))))</f>
        <v>0</v>
      </c>
      <c r="CE91" s="93">
        <f t="shared" si="92"/>
        <v>0</v>
      </c>
      <c r="CF91" s="100"/>
      <c r="CG91" s="149">
        <f t="shared" si="75"/>
        <v>0</v>
      </c>
      <c r="CH91" s="149">
        <f>DP!$N$35*BA91</f>
        <v>0</v>
      </c>
      <c r="CI91" s="149">
        <f>DP!$O$35*BA91</f>
        <v>0</v>
      </c>
      <c r="CJ91" s="149">
        <f>DP!$P$35*BA91</f>
        <v>0</v>
      </c>
    </row>
    <row r="92" spans="2:88" x14ac:dyDescent="0.35">
      <c r="B92" s="480">
        <f>DP!S32</f>
        <v>0</v>
      </c>
      <c r="C92" s="480">
        <f>DP!T32</f>
        <v>0</v>
      </c>
      <c r="D92" s="480">
        <f>DP!U32</f>
        <v>0</v>
      </c>
      <c r="E92" s="480">
        <f>DP!V32</f>
        <v>0</v>
      </c>
      <c r="F92" s="412">
        <f t="shared" si="76"/>
        <v>0</v>
      </c>
      <c r="G92" s="470">
        <f>DP!Y32</f>
        <v>0</v>
      </c>
      <c r="H92" s="98">
        <f t="shared" si="93"/>
        <v>0</v>
      </c>
      <c r="I92" s="97"/>
      <c r="J92" s="102">
        <f t="shared" si="65"/>
        <v>0</v>
      </c>
      <c r="K92" s="98">
        <f t="shared" si="66"/>
        <v>0</v>
      </c>
      <c r="L92" s="93">
        <f t="shared" si="67"/>
        <v>0</v>
      </c>
      <c r="M92" s="99">
        <f t="shared" si="68"/>
        <v>0</v>
      </c>
      <c r="N92" s="100"/>
      <c r="O92" s="146">
        <f>($E92/DP!$M$29)*F92</f>
        <v>0</v>
      </c>
      <c r="P92" s="102">
        <f>IF(O92&gt;0,(DP!$M$31),0*1)</f>
        <v>0</v>
      </c>
      <c r="Q92" s="102">
        <f t="shared" si="95"/>
        <v>0</v>
      </c>
      <c r="R92" s="102">
        <f t="shared" si="77"/>
        <v>0</v>
      </c>
      <c r="S92" s="418">
        <f t="shared" si="78"/>
        <v>0</v>
      </c>
      <c r="T92" s="475">
        <f>H92*DP!$O$44</f>
        <v>0</v>
      </c>
      <c r="U92" s="475">
        <f>IF(H92&gt;0,DP!$P$44,0*1)</f>
        <v>0</v>
      </c>
      <c r="V92" s="475">
        <f t="shared" si="79"/>
        <v>0</v>
      </c>
      <c r="W92" s="475">
        <f>H92*DP!$O$45</f>
        <v>0</v>
      </c>
      <c r="X92" s="475">
        <f>IF(H92&gt;0,DP!$P$45,0*1)</f>
        <v>0</v>
      </c>
      <c r="Y92" s="475">
        <f t="shared" si="80"/>
        <v>0</v>
      </c>
      <c r="Z92" s="100"/>
      <c r="AA92" s="93">
        <f>IF(D92=DP!$L$15,F92*(1+DP!$M$15),IF(D92=DP!$L$16,F92*(1+DP!$M$16),IF(D92=DP!$L$17,F92*(1+DP!$M$17),IF(D92=DP!$L$18,F92*(1+DP!$M$18),0*1))))</f>
        <v>0</v>
      </c>
      <c r="AB92" s="102">
        <f>IF(D92=DP!$L$22,(DP!$M$22),IF(D92=DP!$L$23,(DP!$M$23),IF(D92=DP!$L$24,(DP!$M$24),IF(D92=DP!$L$25,(DP!$M$25),((0*1))))))</f>
        <v>0</v>
      </c>
      <c r="AC92" s="93">
        <f t="shared" si="81"/>
        <v>0</v>
      </c>
      <c r="AD92" s="93">
        <f>IF(D92=DP!$L$15,F92*(1+DP!$M$15),IF(D92=DP!$L$16,F92*(1+DP!$M$16),IF(D92=DP!$L$17,F92*(1+DP!$M$17),IF(D92=DP!$L$18,F92*(1+DP!$M$18),0*1))))</f>
        <v>0</v>
      </c>
      <c r="AE92" s="102">
        <f>IF(D92=DP!$L$22,(DP!$N$22),IF(D92=DP!$L$23,(DP!$N$23),IF(D92=DP!$L$24,(DP!$N$24),IF(D92=DP!$L$25,(DP!$N$25),((0*1))))))</f>
        <v>0</v>
      </c>
      <c r="AF92" s="93">
        <f t="shared" si="82"/>
        <v>0</v>
      </c>
      <c r="AG92" s="93">
        <f>IF(D92=DP!$L$15,(F92/DP!$K$15)*(1+DP!$M$15),IF(D92=DP!$L$16,(F92/DP!$K$16)*(1+DP!$M$16),IF(D92=DP!$L$17,(F92/DP!$K$17)*(1+DP!$M$17),IF(D92=DP!$L$18,(F92/DP!$K$18)*(1+DP!$M$18),0*1))))</f>
        <v>0</v>
      </c>
      <c r="AH92" s="102">
        <f>IF(D92=DP!$L$22,(DP!$O$22),IF(D92=DP!$L$23,(DP!$O$23),IF(D92=DP!$L$24,(DP!$O$24),IF(D92=DP!$L$25,(DP!$O$25),((0*1))))))</f>
        <v>0</v>
      </c>
      <c r="AI92" s="93">
        <f t="shared" si="83"/>
        <v>0</v>
      </c>
      <c r="AJ92" s="93">
        <f>IF(D92=DP!$L$15,F92*(1+DP!$M$15),IF(D92=DP!$L$16,F92*(1+DP!$M$16),IF(D92=DP!$L$17,F92*(1+DP!$M$17),IF(D92=DP!$L$18,F92*(1+DP!$M$18),0*1))))</f>
        <v>0</v>
      </c>
      <c r="AK92" s="102">
        <f>IF(D92=DP!$L$22,(DP!$P$22),IF(D92=DP!$L$23,(DP!$P$23),IF(D92=DP!$L$24,(DP!$P$24),IF(D92=DP!$L$25,(DP!$P$25),((0*1))))))</f>
        <v>0</v>
      </c>
      <c r="AL92" s="93">
        <f t="shared" si="84"/>
        <v>0</v>
      </c>
      <c r="AM92" s="100"/>
      <c r="AN92" s="149">
        <f t="shared" si="69"/>
        <v>0</v>
      </c>
      <c r="AO92" s="149">
        <f>DP!$N$35*H92</f>
        <v>0</v>
      </c>
      <c r="AP92" s="149">
        <f>DP!$O$35*H92</f>
        <v>0</v>
      </c>
      <c r="AQ92" s="149">
        <f>DP!$P$35*H92</f>
        <v>0</v>
      </c>
      <c r="AV92" s="489">
        <f>DP!AV32</f>
        <v>0</v>
      </c>
      <c r="AW92" s="489">
        <f>DP!AW32</f>
        <v>0</v>
      </c>
      <c r="AX92" s="489">
        <f>DP!AX32</f>
        <v>0</v>
      </c>
      <c r="AY92" s="412">
        <f t="shared" si="85"/>
        <v>0</v>
      </c>
      <c r="AZ92" s="470">
        <f>DP!BA32</f>
        <v>0</v>
      </c>
      <c r="BA92" s="98">
        <f t="shared" si="86"/>
        <v>0</v>
      </c>
      <c r="BB92" s="97"/>
      <c r="BC92" s="102">
        <f t="shared" si="70"/>
        <v>0</v>
      </c>
      <c r="BD92" s="98">
        <f t="shared" si="71"/>
        <v>0</v>
      </c>
      <c r="BE92" s="93">
        <f t="shared" si="72"/>
        <v>0</v>
      </c>
      <c r="BF92" s="99">
        <f t="shared" si="73"/>
        <v>0</v>
      </c>
      <c r="BG92" s="100"/>
      <c r="BH92" s="102">
        <f>IFERROR((BA92*100%)/DP!$AO$29,(0*1))</f>
        <v>0</v>
      </c>
      <c r="BI92" s="102">
        <f>IF(BH92&gt;0,(DP!$AO$31),0*1)</f>
        <v>0</v>
      </c>
      <c r="BJ92" s="435">
        <f t="shared" si="87"/>
        <v>0</v>
      </c>
      <c r="BK92" s="475">
        <f>BA92*DP!$AQ$44</f>
        <v>0</v>
      </c>
      <c r="BL92" s="475">
        <f>IF(BA92&gt;0,DP!$AR$44,0*1)</f>
        <v>0</v>
      </c>
      <c r="BM92" s="475">
        <f t="shared" si="88"/>
        <v>0</v>
      </c>
      <c r="BN92" s="102">
        <f>BA92*DP!$AQ$45</f>
        <v>0</v>
      </c>
      <c r="BO92" s="102">
        <f>IF(BA92&gt;0,DP!$AR$45,0*1)</f>
        <v>0</v>
      </c>
      <c r="BP92" s="475">
        <f t="shared" si="89"/>
        <v>0</v>
      </c>
      <c r="BQ92" s="100"/>
      <c r="BR92" s="100"/>
      <c r="BS92" s="100"/>
      <c r="BT92" s="93">
        <f>IF(AW92=DP!$AN$15,AY92*(1+DP!$AO$15),IF(AW92=DP!$AN$16,AY92*(1+DP!$AO$16),IF(AW92=DP!$AN$17,AY92*(1+DP!$AO$17),IF(AW92=DP!$AN$18,AY92*(1+DP!$AO$18),0*1))))</f>
        <v>0</v>
      </c>
      <c r="BU92" s="102">
        <f>IF(AW92=DP!$AN$22,(DP!$AO$22),IF(AW92=DP!$AN$23,(DP!$AO$23),IF(AW92=DP!$AN$24,(DP!$AO$24),IF(AW92=DP!$AN$25,(DP!$AO$25),((0*1))))))</f>
        <v>0</v>
      </c>
      <c r="BV92" s="93">
        <f t="shared" si="90"/>
        <v>0</v>
      </c>
      <c r="BW92" s="93">
        <f>IF(AW92=DP!$AN$15,AY92*(1+DP!$AO$15),IF(AW92=DP!$AN$16,AY92*(1+DP!$AO$16),IF(AW92=DP!$AN$17,AY92*(1+DP!$AO$17),IF(AW92=DP!$AN$18,AY92*(1+DP!$AO$18),0*1))))</f>
        <v>0</v>
      </c>
      <c r="BX92" s="102">
        <f>IF(AW92=DP!$AN$22,(DP!$AP$22),IF(AW92=DP!$AN$23,(DP!$AP$23),IF(AW92=DP!$AN$24,(DP!$AP$24),IF(AW92=DP!$AN$25,(DP!$AP$25),((0*1))))))</f>
        <v>0</v>
      </c>
      <c r="BY92" s="93">
        <f t="shared" si="96"/>
        <v>0</v>
      </c>
      <c r="BZ92" s="93">
        <f>IF(AW92=DP!$AN$15,(AY92/DP!$AM$15)*(1+DP!$AO$15),IF(AW92=DP!$AN$16,(AY92/DP!$AM$16)*(1+DP!$AO$16),IF(AW92=DP!$AN$17,(AY92/DP!$AM$17)*(1+DP!$AO$17),IF(AW92=DP!$AN$18,(AY92/DP!$AM$18)*(1+DP!$AO$18),0*1))))</f>
        <v>0</v>
      </c>
      <c r="CA92" s="102">
        <f>IF(AW92=DP!$AN$22,(DP!$AQ$22),IF(AW92=DP!$AN$23,(DP!$AQ$23),IF(AW92=DP!$AN$24,(DP!$AQ$24),IF(AW92=DP!$AN$25,(DP!$AQ$25),((0*1))))))</f>
        <v>0</v>
      </c>
      <c r="CB92" s="93">
        <f t="shared" si="74"/>
        <v>0</v>
      </c>
      <c r="CC92" s="93">
        <f>IF(AW92=DP!$AN$15,AY92*(1+DP!$AO$15),IF(AW92=DP!$AN$16,AY92*(1+DP!$AO$16),IF(AW92=DP!$AN$17,AY92*(1+DP!$AO$17),IF(AW92=DP!$AN$18,AY92*(1+DP!$AO$18),0*1))))</f>
        <v>0</v>
      </c>
      <c r="CD92" s="102">
        <f>IF(AW92=DP!$AN$22,(DP!$AR$22),IF(AW92=DP!$AN$23,(DP!$AR$23),IF(AW92=DP!$AN$24,(DP!$AR$24),IF(AW92=DP!$AN$25,(DP!$AR$25),((0*1))))))</f>
        <v>0</v>
      </c>
      <c r="CE92" s="93">
        <f t="shared" si="92"/>
        <v>0</v>
      </c>
      <c r="CF92" s="100"/>
      <c r="CG92" s="149">
        <f t="shared" si="75"/>
        <v>0</v>
      </c>
      <c r="CH92" s="149">
        <f>DP!$N$35*BA92</f>
        <v>0</v>
      </c>
      <c r="CI92" s="149">
        <f>DP!$O$35*BA92</f>
        <v>0</v>
      </c>
      <c r="CJ92" s="149">
        <f>DP!$P$35*BA92</f>
        <v>0</v>
      </c>
    </row>
    <row r="93" spans="2:88" x14ac:dyDescent="0.35">
      <c r="B93" s="480">
        <f>DP!S33</f>
        <v>0</v>
      </c>
      <c r="C93" s="480">
        <f>DP!T33</f>
        <v>0</v>
      </c>
      <c r="D93" s="480">
        <f>DP!U33</f>
        <v>0</v>
      </c>
      <c r="E93" s="480">
        <f>DP!V33</f>
        <v>0</v>
      </c>
      <c r="F93" s="412">
        <f t="shared" si="76"/>
        <v>0</v>
      </c>
      <c r="G93" s="470">
        <f>DP!Y33</f>
        <v>0</v>
      </c>
      <c r="H93" s="98">
        <f t="shared" si="93"/>
        <v>0</v>
      </c>
      <c r="I93" s="97"/>
      <c r="J93" s="102">
        <f t="shared" si="65"/>
        <v>0</v>
      </c>
      <c r="K93" s="98">
        <f t="shared" si="66"/>
        <v>0</v>
      </c>
      <c r="L93" s="93">
        <f t="shared" si="67"/>
        <v>0</v>
      </c>
      <c r="M93" s="99">
        <f t="shared" si="68"/>
        <v>0</v>
      </c>
      <c r="N93" s="100"/>
      <c r="O93" s="146">
        <f>($E93/DP!$M$29)*F93</f>
        <v>0</v>
      </c>
      <c r="P93" s="102">
        <f>IF(O93&gt;0,(DP!$M$31),0*1)</f>
        <v>0</v>
      </c>
      <c r="Q93" s="102">
        <f t="shared" si="95"/>
        <v>0</v>
      </c>
      <c r="R93" s="102">
        <f t="shared" si="77"/>
        <v>0</v>
      </c>
      <c r="S93" s="418">
        <f t="shared" si="78"/>
        <v>0</v>
      </c>
      <c r="T93" s="475">
        <f>H93*DP!$O$44</f>
        <v>0</v>
      </c>
      <c r="U93" s="475">
        <f>IF(H93&gt;0,DP!$P$44,0*1)</f>
        <v>0</v>
      </c>
      <c r="V93" s="475">
        <f t="shared" si="79"/>
        <v>0</v>
      </c>
      <c r="W93" s="475">
        <f>H93*DP!$O$45</f>
        <v>0</v>
      </c>
      <c r="X93" s="475">
        <f>IF(H93&gt;0,DP!$P$45,0*1)</f>
        <v>0</v>
      </c>
      <c r="Y93" s="475">
        <f t="shared" si="80"/>
        <v>0</v>
      </c>
      <c r="Z93" s="100"/>
      <c r="AA93" s="93">
        <f>IF(D93=DP!$L$15,F93*(1+DP!$M$15),IF(D93=DP!$L$16,F93*(1+DP!$M$16),IF(D93=DP!$L$17,F93*(1+DP!$M$17),IF(D93=DP!$L$18,F93*(1+DP!$M$18),0*1))))</f>
        <v>0</v>
      </c>
      <c r="AB93" s="102">
        <f>IF(D93=DP!$L$22,(DP!$M$22),IF(D93=DP!$L$23,(DP!$M$23),IF(D93=DP!$L$24,(DP!$M$24),IF(D93=DP!$L$25,(DP!$M$25),((0*1))))))</f>
        <v>0</v>
      </c>
      <c r="AC93" s="93">
        <f t="shared" si="81"/>
        <v>0</v>
      </c>
      <c r="AD93" s="93">
        <f>IF(D93=DP!$L$15,F93*(1+DP!$M$15),IF(D93=DP!$L$16,F93*(1+DP!$M$16),IF(D93=DP!$L$17,F93*(1+DP!$M$17),IF(D93=DP!$L$18,F93*(1+DP!$M$18),0*1))))</f>
        <v>0</v>
      </c>
      <c r="AE93" s="102">
        <f>IF(D93=DP!$L$22,(DP!$N$22),IF(D93=DP!$L$23,(DP!$N$23),IF(D93=DP!$L$24,(DP!$N$24),IF(D93=DP!$L$25,(DP!$N$25),((0*1))))))</f>
        <v>0</v>
      </c>
      <c r="AF93" s="93">
        <f t="shared" si="82"/>
        <v>0</v>
      </c>
      <c r="AG93" s="93">
        <f>IF(D93=DP!$L$15,(F93/DP!$K$15)*(1+DP!$M$15),IF(D93=DP!$L$16,(F93/DP!$K$16)*(1+DP!$M$16),IF(D93=DP!$L$17,(F93/DP!$K$17)*(1+DP!$M$17),IF(D93=DP!$L$18,(F93/DP!$K$18)*(1+DP!$M$18),0*1))))</f>
        <v>0</v>
      </c>
      <c r="AH93" s="102">
        <f>IF(D93=DP!$L$22,(DP!$O$22),IF(D93=DP!$L$23,(DP!$O$23),IF(D93=DP!$L$24,(DP!$O$24),IF(D93=DP!$L$25,(DP!$O$25),((0*1))))))</f>
        <v>0</v>
      </c>
      <c r="AI93" s="93">
        <f t="shared" si="83"/>
        <v>0</v>
      </c>
      <c r="AJ93" s="93">
        <f>IF(D93=DP!$L$15,F93*(1+DP!$M$15),IF(D93=DP!$L$16,F93*(1+DP!$M$16),IF(D93=DP!$L$17,F93*(1+DP!$M$17),IF(D93=DP!$L$18,F93*(1+DP!$M$18),0*1))))</f>
        <v>0</v>
      </c>
      <c r="AK93" s="102">
        <f>IF(D93=DP!$L$22,(DP!$P$22),IF(D93=DP!$L$23,(DP!$P$23),IF(D93=DP!$L$24,(DP!$P$24),IF(D93=DP!$L$25,(DP!$P$25),((0*1))))))</f>
        <v>0</v>
      </c>
      <c r="AL93" s="93">
        <f t="shared" si="84"/>
        <v>0</v>
      </c>
      <c r="AM93" s="100"/>
      <c r="AN93" s="149">
        <f t="shared" si="69"/>
        <v>0</v>
      </c>
      <c r="AO93" s="149">
        <f>DP!$N$35*H93</f>
        <v>0</v>
      </c>
      <c r="AP93" s="149">
        <f>DP!$O$35*H93</f>
        <v>0</v>
      </c>
      <c r="AQ93" s="149">
        <f>DP!$P$35*H93</f>
        <v>0</v>
      </c>
      <c r="AV93" s="489">
        <f>DP!AV33</f>
        <v>0</v>
      </c>
      <c r="AW93" s="489">
        <f>DP!AW33</f>
        <v>0</v>
      </c>
      <c r="AX93" s="489">
        <f>DP!AX33</f>
        <v>0</v>
      </c>
      <c r="AY93" s="412">
        <f t="shared" si="85"/>
        <v>0</v>
      </c>
      <c r="AZ93" s="470">
        <f>DP!BA33</f>
        <v>0</v>
      </c>
      <c r="BA93" s="98">
        <f t="shared" si="86"/>
        <v>0</v>
      </c>
      <c r="BB93" s="97"/>
      <c r="BC93" s="102">
        <f t="shared" si="70"/>
        <v>0</v>
      </c>
      <c r="BD93" s="98">
        <f t="shared" si="71"/>
        <v>0</v>
      </c>
      <c r="BE93" s="93">
        <f t="shared" si="72"/>
        <v>0</v>
      </c>
      <c r="BF93" s="99">
        <f t="shared" si="73"/>
        <v>0</v>
      </c>
      <c r="BG93" s="100"/>
      <c r="BH93" s="102">
        <f>IFERROR((BA93*100%)/DP!$AO$29,(0*1))</f>
        <v>0</v>
      </c>
      <c r="BI93" s="102">
        <f>IF(BH93&gt;0,(DP!$AO$31),0*1)</f>
        <v>0</v>
      </c>
      <c r="BJ93" s="435">
        <f t="shared" si="87"/>
        <v>0</v>
      </c>
      <c r="BK93" s="475">
        <f>BA93*DP!$AQ$44</f>
        <v>0</v>
      </c>
      <c r="BL93" s="475">
        <f>IF(BA93&gt;0,DP!$AR$44,0*1)</f>
        <v>0</v>
      </c>
      <c r="BM93" s="475">
        <f t="shared" si="88"/>
        <v>0</v>
      </c>
      <c r="BN93" s="102">
        <f>BA93*DP!$AQ$45</f>
        <v>0</v>
      </c>
      <c r="BO93" s="102">
        <f>IF(BA93&gt;0,DP!$AR$45,0*1)</f>
        <v>0</v>
      </c>
      <c r="BP93" s="475">
        <f t="shared" si="89"/>
        <v>0</v>
      </c>
      <c r="BQ93" s="100"/>
      <c r="BR93" s="100"/>
      <c r="BS93" s="100"/>
      <c r="BT93" s="93">
        <f>IF(AW93=DP!$AN$15,AY93*(1+DP!$AO$15),IF(AW93=DP!$AN$16,AY93*(1+DP!$AO$16),IF(AW93=DP!$AN$17,AY93*(1+DP!$AO$17),IF(AW93=DP!$AN$18,AY93*(1+DP!$AO$18),0*1))))</f>
        <v>0</v>
      </c>
      <c r="BU93" s="102">
        <f>IF(AW93=DP!$AN$22,(DP!$AO$22),IF(AW93=DP!$AN$23,(DP!$AO$23),IF(AW93=DP!$AN$24,(DP!$AO$24),IF(AW93=DP!$AN$25,(DP!$AO$25),((0*1))))))</f>
        <v>0</v>
      </c>
      <c r="BV93" s="93">
        <f t="shared" si="90"/>
        <v>0</v>
      </c>
      <c r="BW93" s="93">
        <f>IF(AW93=DP!$AN$15,AY93*(1+DP!$AO$15),IF(AW93=DP!$AN$16,AY93*(1+DP!$AO$16),IF(AW93=DP!$AN$17,AY93*(1+DP!$AO$17),IF(AW93=DP!$AN$18,AY93*(1+DP!$AO$18),0*1))))</f>
        <v>0</v>
      </c>
      <c r="BX93" s="102">
        <f>IF(AW93=DP!$AN$22,(DP!$AP$22),IF(AW93=DP!$AN$23,(DP!$AP$23),IF(AW93=DP!$AN$24,(DP!$AP$24),IF(AW93=DP!$AN$25,(DP!$AP$25),((0*1))))))</f>
        <v>0</v>
      </c>
      <c r="BY93" s="93">
        <f t="shared" si="96"/>
        <v>0</v>
      </c>
      <c r="BZ93" s="93">
        <f>IF(AW93=DP!$AN$15,(AY93/DP!$AM$15)*(1+DP!$AO$15),IF(AW93=DP!$AN$16,(AY93/DP!$AM$16)*(1+DP!$AO$16),IF(AW93=DP!$AN$17,(AY93/DP!$AM$17)*(1+DP!$AO$17),IF(AW93=DP!$AN$18,(AY93/DP!$AM$18)*(1+DP!$AO$18),0*1))))</f>
        <v>0</v>
      </c>
      <c r="CA93" s="102">
        <f>IF(AW93=DP!$AN$22,(DP!$AQ$22),IF(AW93=DP!$AN$23,(DP!$AQ$23),IF(AW93=DP!$AN$24,(DP!$AQ$24),IF(AW93=DP!$AN$25,(DP!$AQ$25),((0*1))))))</f>
        <v>0</v>
      </c>
      <c r="CB93" s="93">
        <f t="shared" si="74"/>
        <v>0</v>
      </c>
      <c r="CC93" s="93">
        <f>IF(AW93=DP!$AN$15,AY93*(1+DP!$AO$15),IF(AW93=DP!$AN$16,AY93*(1+DP!$AO$16),IF(AW93=DP!$AN$17,AY93*(1+DP!$AO$17),IF(AW93=DP!$AN$18,AY93*(1+DP!$AO$18),0*1))))</f>
        <v>0</v>
      </c>
      <c r="CD93" s="102">
        <f>IF(AW93=DP!$AN$22,(DP!$AR$22),IF(AW93=DP!$AN$23,(DP!$AR$23),IF(AW93=DP!$AN$24,(DP!$AR$24),IF(AW93=DP!$AN$25,(DP!$AR$25),((0*1))))))</f>
        <v>0</v>
      </c>
      <c r="CE93" s="93">
        <f t="shared" si="92"/>
        <v>0</v>
      </c>
      <c r="CF93" s="100"/>
      <c r="CG93" s="149">
        <f t="shared" si="75"/>
        <v>0</v>
      </c>
      <c r="CH93" s="149">
        <f>DP!$N$35*BA93</f>
        <v>0</v>
      </c>
      <c r="CI93" s="149">
        <f>DP!$O$35*BA93</f>
        <v>0</v>
      </c>
      <c r="CJ93" s="149">
        <f>DP!$P$35*BA93</f>
        <v>0</v>
      </c>
    </row>
    <row r="94" spans="2:88" x14ac:dyDescent="0.35">
      <c r="B94" s="480">
        <f>DP!S34</f>
        <v>0</v>
      </c>
      <c r="C94" s="480">
        <f>DP!T34</f>
        <v>0</v>
      </c>
      <c r="D94" s="480">
        <f>DP!U34</f>
        <v>0</v>
      </c>
      <c r="E94" s="480">
        <f>DP!V34</f>
        <v>0</v>
      </c>
      <c r="F94" s="412">
        <f t="shared" si="76"/>
        <v>0</v>
      </c>
      <c r="G94" s="470">
        <f>DP!Y34</f>
        <v>0</v>
      </c>
      <c r="H94" s="98">
        <f t="shared" si="93"/>
        <v>0</v>
      </c>
      <c r="I94" s="97"/>
      <c r="J94" s="102">
        <f t="shared" si="65"/>
        <v>0</v>
      </c>
      <c r="K94" s="98">
        <f t="shared" si="66"/>
        <v>0</v>
      </c>
      <c r="L94" s="93">
        <f t="shared" si="67"/>
        <v>0</v>
      </c>
      <c r="M94" s="99">
        <f t="shared" si="68"/>
        <v>0</v>
      </c>
      <c r="N94" s="100"/>
      <c r="O94" s="146">
        <f>($E94/DP!$M$29)*F94</f>
        <v>0</v>
      </c>
      <c r="P94" s="102">
        <f>IF(O94&gt;0,(DP!$M$31),0*1)</f>
        <v>0</v>
      </c>
      <c r="Q94" s="102">
        <f t="shared" si="95"/>
        <v>0</v>
      </c>
      <c r="R94" s="102">
        <f t="shared" si="77"/>
        <v>0</v>
      </c>
      <c r="S94" s="418">
        <f t="shared" si="78"/>
        <v>0</v>
      </c>
      <c r="T94" s="475">
        <f>H94*DP!$O$44</f>
        <v>0</v>
      </c>
      <c r="U94" s="475">
        <f>IF(H94&gt;0,DP!$P$44,0*1)</f>
        <v>0</v>
      </c>
      <c r="V94" s="475">
        <f t="shared" si="79"/>
        <v>0</v>
      </c>
      <c r="W94" s="475">
        <f>H94*DP!$O$45</f>
        <v>0</v>
      </c>
      <c r="X94" s="475">
        <f>IF(H94&gt;0,DP!$P$45,0*1)</f>
        <v>0</v>
      </c>
      <c r="Y94" s="475">
        <f t="shared" si="80"/>
        <v>0</v>
      </c>
      <c r="Z94" s="100"/>
      <c r="AA94" s="93">
        <f>IF(D94=DP!$L$15,F94*(1+DP!$M$15),IF(D94=DP!$L$16,F94*(1+DP!$M$16),IF(D94=DP!$L$17,F94*(1+DP!$M$17),IF(D94=DP!$L$18,F94*(1+DP!$M$18),0*1))))</f>
        <v>0</v>
      </c>
      <c r="AB94" s="102">
        <f>IF(D94=DP!$L$22,(DP!$M$22),IF(D94=DP!$L$23,(DP!$M$23),IF(D94=DP!$L$24,(DP!$M$24),IF(D94=DP!$L$25,(DP!$M$25),((0*1))))))</f>
        <v>0</v>
      </c>
      <c r="AC94" s="93">
        <f t="shared" si="81"/>
        <v>0</v>
      </c>
      <c r="AD94" s="93">
        <f>IF(D94=DP!$L$15,F94*(1+DP!$M$15),IF(D94=DP!$L$16,F94*(1+DP!$M$16),IF(D94=DP!$L$17,F94*(1+DP!$M$17),IF(D94=DP!$L$18,F94*(1+DP!$M$18),0*1))))</f>
        <v>0</v>
      </c>
      <c r="AE94" s="102">
        <f>IF(D94=DP!$L$22,(DP!$N$22),IF(D94=DP!$L$23,(DP!$N$23),IF(D94=DP!$L$24,(DP!$N$24),IF(D94=DP!$L$25,(DP!$N$25),((0*1))))))</f>
        <v>0</v>
      </c>
      <c r="AF94" s="93">
        <f t="shared" si="82"/>
        <v>0</v>
      </c>
      <c r="AG94" s="93">
        <f>IF(D94=DP!$L$15,(F94/DP!$K$15)*(1+DP!$M$15),IF(D94=DP!$L$16,(F94/DP!$K$16)*(1+DP!$M$16),IF(D94=DP!$L$17,(F94/DP!$K$17)*(1+DP!$M$17),IF(D94=DP!$L$18,(F94/DP!$K$18)*(1+DP!$M$18),0*1))))</f>
        <v>0</v>
      </c>
      <c r="AH94" s="102">
        <f>IF(D94=DP!$L$22,(DP!$O$22),IF(D94=DP!$L$23,(DP!$O$23),IF(D94=DP!$L$24,(DP!$O$24),IF(D94=DP!$L$25,(DP!$O$25),((0*1))))))</f>
        <v>0</v>
      </c>
      <c r="AI94" s="93">
        <f t="shared" si="83"/>
        <v>0</v>
      </c>
      <c r="AJ94" s="93">
        <f>IF(D94=DP!$L$15,F94*(1+DP!$M$15),IF(D94=DP!$L$16,F94*(1+DP!$M$16),IF(D94=DP!$L$17,F94*(1+DP!$M$17),IF(D94=DP!$L$18,F94*(1+DP!$M$18),0*1))))</f>
        <v>0</v>
      </c>
      <c r="AK94" s="102">
        <f>IF(D94=DP!$L$22,(DP!$P$22),IF(D94=DP!$L$23,(DP!$P$23),IF(D94=DP!$L$24,(DP!$P$24),IF(D94=DP!$L$25,(DP!$P$25),((0*1))))))</f>
        <v>0</v>
      </c>
      <c r="AL94" s="93">
        <f t="shared" si="84"/>
        <v>0</v>
      </c>
      <c r="AM94" s="100"/>
      <c r="AN94" s="149">
        <f t="shared" si="69"/>
        <v>0</v>
      </c>
      <c r="AO94" s="149">
        <f>DP!$N$35*H94</f>
        <v>0</v>
      </c>
      <c r="AP94" s="149">
        <f>DP!$O$35*H94</f>
        <v>0</v>
      </c>
      <c r="AQ94" s="149">
        <f>DP!$P$35*H94</f>
        <v>0</v>
      </c>
      <c r="AV94" s="489">
        <f>DP!AV34</f>
        <v>0</v>
      </c>
      <c r="AW94" s="489">
        <f>DP!AW34</f>
        <v>0</v>
      </c>
      <c r="AX94" s="489">
        <f>DP!AX34</f>
        <v>0</v>
      </c>
      <c r="AY94" s="412">
        <f t="shared" si="85"/>
        <v>0</v>
      </c>
      <c r="AZ94" s="470">
        <f>DP!BA34</f>
        <v>0</v>
      </c>
      <c r="BA94" s="98">
        <f t="shared" si="86"/>
        <v>0</v>
      </c>
      <c r="BB94" s="97"/>
      <c r="BC94" s="102">
        <f t="shared" si="70"/>
        <v>0</v>
      </c>
      <c r="BD94" s="98">
        <f t="shared" si="71"/>
        <v>0</v>
      </c>
      <c r="BE94" s="93">
        <f t="shared" si="72"/>
        <v>0</v>
      </c>
      <c r="BF94" s="99">
        <f t="shared" si="73"/>
        <v>0</v>
      </c>
      <c r="BG94" s="100"/>
      <c r="BH94" s="102">
        <f>IFERROR((BA94*100%)/DP!$AO$29,(0*1))</f>
        <v>0</v>
      </c>
      <c r="BI94" s="102">
        <f>IF(BH94&gt;0,(DP!$AO$31),0*1)</f>
        <v>0</v>
      </c>
      <c r="BJ94" s="435">
        <f t="shared" si="87"/>
        <v>0</v>
      </c>
      <c r="BK94" s="475">
        <f>BA94*DP!$AQ$44</f>
        <v>0</v>
      </c>
      <c r="BL94" s="475">
        <f>IF(BA94&gt;0,DP!$AR$44,0*1)</f>
        <v>0</v>
      </c>
      <c r="BM94" s="475">
        <f t="shared" si="88"/>
        <v>0</v>
      </c>
      <c r="BN94" s="102">
        <f>BA94*DP!$AQ$45</f>
        <v>0</v>
      </c>
      <c r="BO94" s="102">
        <f>IF(BA94&gt;0,DP!$AR$45,0*1)</f>
        <v>0</v>
      </c>
      <c r="BP94" s="475">
        <f t="shared" si="89"/>
        <v>0</v>
      </c>
      <c r="BQ94" s="100"/>
      <c r="BR94" s="100"/>
      <c r="BS94" s="100"/>
      <c r="BT94" s="93">
        <f>IF(AW94=DP!$AN$15,AY94*(1+DP!$AO$15),IF(AW94=DP!$AN$16,AY94*(1+DP!$AO$16),IF(AW94=DP!$AN$17,AY94*(1+DP!$AO$17),IF(AW94=DP!$AN$18,AY94*(1+DP!$AO$18),0*1))))</f>
        <v>0</v>
      </c>
      <c r="BU94" s="102">
        <f>IF(AW94=DP!$AN$22,(DP!$AO$22),IF(AW94=DP!$AN$23,(DP!$AO$23),IF(AW94=DP!$AN$24,(DP!$AO$24),IF(AW94=DP!$AN$25,(DP!$AO$25),((0*1))))))</f>
        <v>0</v>
      </c>
      <c r="BV94" s="93">
        <f t="shared" si="90"/>
        <v>0</v>
      </c>
      <c r="BW94" s="93">
        <f>IF(AW94=DP!$AN$15,AY94*(1+DP!$AO$15),IF(AW94=DP!$AN$16,AY94*(1+DP!$AO$16),IF(AW94=DP!$AN$17,AY94*(1+DP!$AO$17),IF(AW94=DP!$AN$18,AY94*(1+DP!$AO$18),0*1))))</f>
        <v>0</v>
      </c>
      <c r="BX94" s="102">
        <f>IF(AW94=DP!$AN$22,(DP!$AP$22),IF(AW94=DP!$AN$23,(DP!$AP$23),IF(AW94=DP!$AN$24,(DP!$AP$24),IF(AW94=DP!$AN$25,(DP!$AP$25),((0*1))))))</f>
        <v>0</v>
      </c>
      <c r="BY94" s="93">
        <f t="shared" si="96"/>
        <v>0</v>
      </c>
      <c r="BZ94" s="93">
        <f>IF(AW94=DP!$AN$15,(AY94/DP!$AM$15)*(1+DP!$AO$15),IF(AW94=DP!$AN$16,(AY94/DP!$AM$16)*(1+DP!$AO$16),IF(AW94=DP!$AN$17,(AY94/DP!$AM$17)*(1+DP!$AO$17),IF(AW94=DP!$AN$18,(AY94/DP!$AM$18)*(1+DP!$AO$18),0*1))))</f>
        <v>0</v>
      </c>
      <c r="CA94" s="102">
        <f>IF(AW94=DP!$AN$22,(DP!$AQ$22),IF(AW94=DP!$AN$23,(DP!$AQ$23),IF(AW94=DP!$AN$24,(DP!$AQ$24),IF(AW94=DP!$AN$25,(DP!$AQ$25),((0*1))))))</f>
        <v>0</v>
      </c>
      <c r="CB94" s="93">
        <f t="shared" si="74"/>
        <v>0</v>
      </c>
      <c r="CC94" s="93">
        <f>IF(AW94=DP!$AN$15,AY94*(1+DP!$AO$15),IF(AW94=DP!$AN$16,AY94*(1+DP!$AO$16),IF(AW94=DP!$AN$17,AY94*(1+DP!$AO$17),IF(AW94=DP!$AN$18,AY94*(1+DP!$AO$18),0*1))))</f>
        <v>0</v>
      </c>
      <c r="CD94" s="102">
        <f>IF(AW94=DP!$AN$22,(DP!$AR$22),IF(AW94=DP!$AN$23,(DP!$AR$23),IF(AW94=DP!$AN$24,(DP!$AR$24),IF(AW94=DP!$AN$25,(DP!$AR$25),((0*1))))))</f>
        <v>0</v>
      </c>
      <c r="CE94" s="93">
        <f t="shared" si="92"/>
        <v>0</v>
      </c>
      <c r="CF94" s="100"/>
      <c r="CG94" s="149">
        <f t="shared" si="75"/>
        <v>0</v>
      </c>
      <c r="CH94" s="149">
        <f>DP!$N$35*BA94</f>
        <v>0</v>
      </c>
      <c r="CI94" s="149">
        <f>DP!$O$35*BA94</f>
        <v>0</v>
      </c>
      <c r="CJ94" s="149">
        <f>DP!$P$35*BA94</f>
        <v>0</v>
      </c>
    </row>
    <row r="95" spans="2:88" x14ac:dyDescent="0.35">
      <c r="B95" s="480">
        <f>DP!S35</f>
        <v>0</v>
      </c>
      <c r="C95" s="480">
        <f>DP!T35</f>
        <v>0</v>
      </c>
      <c r="D95" s="480">
        <f>DP!U35</f>
        <v>0</v>
      </c>
      <c r="E95" s="480">
        <f>DP!V35</f>
        <v>0</v>
      </c>
      <c r="F95" s="412">
        <f t="shared" si="76"/>
        <v>0</v>
      </c>
      <c r="G95" s="470">
        <f>DP!Y35</f>
        <v>0</v>
      </c>
      <c r="H95" s="98">
        <f t="shared" si="93"/>
        <v>0</v>
      </c>
      <c r="I95" s="97"/>
      <c r="J95" s="102">
        <f t="shared" si="65"/>
        <v>0</v>
      </c>
      <c r="K95" s="98">
        <f t="shared" si="66"/>
        <v>0</v>
      </c>
      <c r="L95" s="93">
        <f t="shared" si="67"/>
        <v>0</v>
      </c>
      <c r="M95" s="99">
        <f t="shared" si="68"/>
        <v>0</v>
      </c>
      <c r="N95" s="100"/>
      <c r="O95" s="146">
        <f>($E95/DP!$M$29)*F95</f>
        <v>0</v>
      </c>
      <c r="P95" s="102">
        <f>IF(O95&gt;0,(DP!$M$31),0*1)</f>
        <v>0</v>
      </c>
      <c r="Q95" s="102">
        <f t="shared" si="95"/>
        <v>0</v>
      </c>
      <c r="R95" s="102">
        <f t="shared" si="77"/>
        <v>0</v>
      </c>
      <c r="S95" s="418">
        <f t="shared" si="78"/>
        <v>0</v>
      </c>
      <c r="T95" s="475">
        <f>H95*DP!$O$44</f>
        <v>0</v>
      </c>
      <c r="U95" s="475">
        <f>IF(H95&gt;0,DP!$P$44,0*1)</f>
        <v>0</v>
      </c>
      <c r="V95" s="475">
        <f t="shared" si="79"/>
        <v>0</v>
      </c>
      <c r="W95" s="475">
        <f>H95*DP!$O$45</f>
        <v>0</v>
      </c>
      <c r="X95" s="475">
        <f>IF(H95&gt;0,DP!$P$45,0*1)</f>
        <v>0</v>
      </c>
      <c r="Y95" s="475">
        <f t="shared" si="80"/>
        <v>0</v>
      </c>
      <c r="Z95" s="100"/>
      <c r="AA95" s="93">
        <f>IF(D95=DP!$L$15,F95*(1+DP!$M$15),IF(D95=DP!$L$16,F95*(1+DP!$M$16),IF(D95=DP!$L$17,F95*(1+DP!$M$17),IF(D95=DP!$L$18,F95*(1+DP!$M$18),0*1))))</f>
        <v>0</v>
      </c>
      <c r="AB95" s="102">
        <f>IF(D95=DP!$L$22,(DP!$M$22),IF(D95=DP!$L$23,(DP!$M$23),IF(D95=DP!$L$24,(DP!$M$24),IF(D95=DP!$L$25,(DP!$M$25),((0*1))))))</f>
        <v>0</v>
      </c>
      <c r="AC95" s="93">
        <f t="shared" si="81"/>
        <v>0</v>
      </c>
      <c r="AD95" s="93">
        <f>IF(D95=DP!$L$15,F95*(1+DP!$M$15),IF(D95=DP!$L$16,F95*(1+DP!$M$16),IF(D95=DP!$L$17,F95*(1+DP!$M$17),IF(D95=DP!$L$18,F95*(1+DP!$M$18),0*1))))</f>
        <v>0</v>
      </c>
      <c r="AE95" s="102">
        <f>IF(D95=DP!$L$22,(DP!$N$22),IF(D95=DP!$L$23,(DP!$N$23),IF(D95=DP!$L$24,(DP!$N$24),IF(D95=DP!$L$25,(DP!$N$25),((0*1))))))</f>
        <v>0</v>
      </c>
      <c r="AF95" s="93">
        <f t="shared" si="82"/>
        <v>0</v>
      </c>
      <c r="AG95" s="93">
        <f>IF(D95=DP!$L$15,(F95/DP!$K$15)*(1+DP!$M$15),IF(D95=DP!$L$16,(F95/DP!$K$16)*(1+DP!$M$16),IF(D95=DP!$L$17,(F95/DP!$K$17)*(1+DP!$M$17),IF(D95=DP!$L$18,(F95/DP!$K$18)*(1+DP!$M$18),0*1))))</f>
        <v>0</v>
      </c>
      <c r="AH95" s="102">
        <f>IF(D95=DP!$L$22,(DP!$O$22),IF(D95=DP!$L$23,(DP!$O$23),IF(D95=DP!$L$24,(DP!$O$24),IF(D95=DP!$L$25,(DP!$O$25),((0*1))))))</f>
        <v>0</v>
      </c>
      <c r="AI95" s="93">
        <f t="shared" si="83"/>
        <v>0</v>
      </c>
      <c r="AJ95" s="93">
        <f>IF(D95=DP!$L$15,F95*(1+DP!$M$15),IF(D95=DP!$L$16,F95*(1+DP!$M$16),IF(D95=DP!$L$17,F95*(1+DP!$M$17),IF(D95=DP!$L$18,F95*(1+DP!$M$18),0*1))))</f>
        <v>0</v>
      </c>
      <c r="AK95" s="102">
        <f>IF(D95=DP!$L$22,(DP!$P$22),IF(D95=DP!$L$23,(DP!$P$23),IF(D95=DP!$L$24,(DP!$P$24),IF(D95=DP!$L$25,(DP!$P$25),((0*1))))))</f>
        <v>0</v>
      </c>
      <c r="AL95" s="93">
        <f t="shared" si="84"/>
        <v>0</v>
      </c>
      <c r="AM95" s="100"/>
      <c r="AN95" s="149">
        <f t="shared" si="69"/>
        <v>0</v>
      </c>
      <c r="AO95" s="149">
        <f>DP!$N$35*H95</f>
        <v>0</v>
      </c>
      <c r="AP95" s="149">
        <f>DP!$O$35*H95</f>
        <v>0</v>
      </c>
      <c r="AQ95" s="149">
        <f>DP!$P$35*H95</f>
        <v>0</v>
      </c>
      <c r="AV95" s="489">
        <f>DP!AV35</f>
        <v>0</v>
      </c>
      <c r="AW95" s="489">
        <f>DP!AW35</f>
        <v>0</v>
      </c>
      <c r="AX95" s="489">
        <f>DP!AX35</f>
        <v>0</v>
      </c>
      <c r="AY95" s="412">
        <f t="shared" si="85"/>
        <v>0</v>
      </c>
      <c r="AZ95" s="470">
        <f>DP!BA35</f>
        <v>0</v>
      </c>
      <c r="BA95" s="98">
        <f t="shared" si="86"/>
        <v>0</v>
      </c>
      <c r="BB95" s="97"/>
      <c r="BC95" s="102">
        <f t="shared" si="70"/>
        <v>0</v>
      </c>
      <c r="BD95" s="98">
        <f t="shared" si="71"/>
        <v>0</v>
      </c>
      <c r="BE95" s="93">
        <f t="shared" si="72"/>
        <v>0</v>
      </c>
      <c r="BF95" s="99">
        <f t="shared" si="73"/>
        <v>0</v>
      </c>
      <c r="BG95" s="100"/>
      <c r="BH95" s="102">
        <f>IFERROR((BA95*100%)/DP!$AO$29,(0*1))</f>
        <v>0</v>
      </c>
      <c r="BI95" s="102">
        <f>IF(BH95&gt;0,(DP!$AO$31),0*1)</f>
        <v>0</v>
      </c>
      <c r="BJ95" s="435">
        <f t="shared" si="87"/>
        <v>0</v>
      </c>
      <c r="BK95" s="475">
        <f>BA95*DP!$AQ$44</f>
        <v>0</v>
      </c>
      <c r="BL95" s="475">
        <f>IF(BA95&gt;0,DP!$AR$44,0*1)</f>
        <v>0</v>
      </c>
      <c r="BM95" s="475">
        <f t="shared" si="88"/>
        <v>0</v>
      </c>
      <c r="BN95" s="102">
        <f>BA95*DP!$AQ$45</f>
        <v>0</v>
      </c>
      <c r="BO95" s="102">
        <f>IF(BA95&gt;0,DP!$AR$45,0*1)</f>
        <v>0</v>
      </c>
      <c r="BP95" s="475">
        <f t="shared" si="89"/>
        <v>0</v>
      </c>
      <c r="BQ95" s="100"/>
      <c r="BR95" s="100"/>
      <c r="BS95" s="100"/>
      <c r="BT95" s="93">
        <f>IF(AW95=DP!$AN$15,AY95*(1+DP!$AO$15),IF(AW95=DP!$AN$16,AY95*(1+DP!$AO$16),IF(AW95=DP!$AN$17,AY95*(1+DP!$AO$17),IF(AW95=DP!$AN$18,AY95*(1+DP!$AO$18),0*1))))</f>
        <v>0</v>
      </c>
      <c r="BU95" s="102">
        <f>IF(AW95=DP!$AN$22,(DP!$AO$22),IF(AW95=DP!$AN$23,(DP!$AO$23),IF(AW95=DP!$AN$24,(DP!$AO$24),IF(AW95=DP!$AN$25,(DP!$AO$25),((0*1))))))</f>
        <v>0</v>
      </c>
      <c r="BV95" s="93">
        <f t="shared" si="90"/>
        <v>0</v>
      </c>
      <c r="BW95" s="93">
        <f>IF(AW95=DP!$AN$15,AY95*(1+DP!$AO$15),IF(AW95=DP!$AN$16,AY95*(1+DP!$AO$16),IF(AW95=DP!$AN$17,AY95*(1+DP!$AO$17),IF(AW95=DP!$AN$18,AY95*(1+DP!$AO$18),0*1))))</f>
        <v>0</v>
      </c>
      <c r="BX95" s="102">
        <f>IF(AW95=DP!$AN$22,(DP!$AP$22),IF(AW95=DP!$AN$23,(DP!$AP$23),IF(AW95=DP!$AN$24,(DP!$AP$24),IF(AW95=DP!$AN$25,(DP!$AP$25),((0*1))))))</f>
        <v>0</v>
      </c>
      <c r="BY95" s="93">
        <f t="shared" si="96"/>
        <v>0</v>
      </c>
      <c r="BZ95" s="93">
        <f>IF(AW95=DP!$AN$15,(AY95/DP!$AM$15)*(1+DP!$AO$15),IF(AW95=DP!$AN$16,(AY95/DP!$AM$16)*(1+DP!$AO$16),IF(AW95=DP!$AN$17,(AY95/DP!$AM$17)*(1+DP!$AO$17),IF(AW95=DP!$AN$18,(AY95/DP!$AM$18)*(1+DP!$AO$18),0*1))))</f>
        <v>0</v>
      </c>
      <c r="CA95" s="102">
        <f>IF(AW95=DP!$AN$22,(DP!$AQ$22),IF(AW95=DP!$AN$23,(DP!$AQ$23),IF(AW95=DP!$AN$24,(DP!$AQ$24),IF(AW95=DP!$AN$25,(DP!$AQ$25),((0*1))))))</f>
        <v>0</v>
      </c>
      <c r="CB95" s="93">
        <f t="shared" si="74"/>
        <v>0</v>
      </c>
      <c r="CC95" s="93">
        <f>IF(AW95=DP!$AN$15,AY95*(1+DP!$AO$15),IF(AW95=DP!$AN$16,AY95*(1+DP!$AO$16),IF(AW95=DP!$AN$17,AY95*(1+DP!$AO$17),IF(AW95=DP!$AN$18,AY95*(1+DP!$AO$18),0*1))))</f>
        <v>0</v>
      </c>
      <c r="CD95" s="102">
        <f>IF(AW95=DP!$AN$22,(DP!$AR$22),IF(AW95=DP!$AN$23,(DP!$AR$23),IF(AW95=DP!$AN$24,(DP!$AR$24),IF(AW95=DP!$AN$25,(DP!$AR$25),((0*1))))))</f>
        <v>0</v>
      </c>
      <c r="CE95" s="93">
        <f t="shared" si="92"/>
        <v>0</v>
      </c>
      <c r="CF95" s="100"/>
      <c r="CG95" s="149">
        <f t="shared" si="75"/>
        <v>0</v>
      </c>
      <c r="CH95" s="149">
        <f>DP!$N$35*BA95</f>
        <v>0</v>
      </c>
      <c r="CI95" s="149">
        <f>DP!$O$35*BA95</f>
        <v>0</v>
      </c>
      <c r="CJ95" s="149">
        <f>DP!$P$35*BA95</f>
        <v>0</v>
      </c>
    </row>
    <row r="96" spans="2:88" ht="16" thickBot="1" x14ac:dyDescent="0.4">
      <c r="B96" s="480">
        <f>DP!S36</f>
        <v>0</v>
      </c>
      <c r="C96" s="480">
        <f>DP!T36</f>
        <v>0</v>
      </c>
      <c r="D96" s="480">
        <f>DP!U36</f>
        <v>0</v>
      </c>
      <c r="E96" s="480">
        <f>DP!V36</f>
        <v>0</v>
      </c>
      <c r="F96" s="412">
        <f t="shared" si="76"/>
        <v>0</v>
      </c>
      <c r="G96" s="470">
        <f>DP!Y36</f>
        <v>0</v>
      </c>
      <c r="H96" s="98">
        <f t="shared" si="93"/>
        <v>0</v>
      </c>
      <c r="I96" s="97"/>
      <c r="J96" s="102">
        <f t="shared" si="65"/>
        <v>0</v>
      </c>
      <c r="K96" s="98">
        <f t="shared" si="66"/>
        <v>0</v>
      </c>
      <c r="L96" s="93">
        <f t="shared" si="67"/>
        <v>0</v>
      </c>
      <c r="M96" s="99">
        <f t="shared" si="68"/>
        <v>0</v>
      </c>
      <c r="N96" s="100"/>
      <c r="O96" s="146">
        <f>($E96/DP!$M$29)*F96</f>
        <v>0</v>
      </c>
      <c r="P96" s="102">
        <f>IF(O96&gt;0,(DP!$M$31),0*1)</f>
        <v>0</v>
      </c>
      <c r="Q96" s="102">
        <f t="shared" si="95"/>
        <v>0</v>
      </c>
      <c r="R96" s="102">
        <f t="shared" si="77"/>
        <v>0</v>
      </c>
      <c r="S96" s="418">
        <f t="shared" si="78"/>
        <v>0</v>
      </c>
      <c r="T96" s="475">
        <f>H96*DP!$O$44</f>
        <v>0</v>
      </c>
      <c r="U96" s="475">
        <f>IF(H96&gt;0,DP!$P$44,0*1)</f>
        <v>0</v>
      </c>
      <c r="V96" s="475">
        <f t="shared" si="79"/>
        <v>0</v>
      </c>
      <c r="W96" s="475">
        <f>H96*DP!$O$45</f>
        <v>0</v>
      </c>
      <c r="X96" s="475">
        <f>IF(H96&gt;0,DP!$P$45,0*1)</f>
        <v>0</v>
      </c>
      <c r="Y96" s="475">
        <f t="shared" si="80"/>
        <v>0</v>
      </c>
      <c r="Z96" s="100"/>
      <c r="AA96" s="93">
        <f>IF(D96=DP!$L$15,F96*(1+DP!$M$15),IF(D96=DP!$L$16,F96*(1+DP!$M$16),IF(D96=DP!$L$17,F96*(1+DP!$M$17),IF(D96=DP!$L$18,F96*(1+DP!$M$18),0*1))))</f>
        <v>0</v>
      </c>
      <c r="AB96" s="102">
        <f>IF(D96=DP!$L$22,(DP!$M$22),IF(D96=DP!$L$23,(DP!$M$23),IF(D96=DP!$L$24,(DP!$M$24),IF(D96=DP!$L$25,(DP!$M$25),((0*1))))))</f>
        <v>0</v>
      </c>
      <c r="AC96" s="93">
        <f t="shared" si="81"/>
        <v>0</v>
      </c>
      <c r="AD96" s="93">
        <f>IF(D96=DP!$L$15,F96*(1+DP!$M$15),IF(D96=DP!$L$16,F96*(1+DP!$M$16),IF(D96=DP!$L$17,F96*(1+DP!$M$17),IF(D96=DP!$L$18,F96*(1+DP!$M$18),0*1))))</f>
        <v>0</v>
      </c>
      <c r="AE96" s="102">
        <f>IF(D96=DP!$L$22,(DP!$N$22),IF(D96=DP!$L$23,(DP!$N$23),IF(D96=DP!$L$24,(DP!$N$24),IF(D96=DP!$L$25,(DP!$N$25),((0*1))))))</f>
        <v>0</v>
      </c>
      <c r="AF96" s="93">
        <f t="shared" si="82"/>
        <v>0</v>
      </c>
      <c r="AG96" s="93">
        <f>IF(D96=DP!$L$15,(F96/DP!$K$15)*(1+DP!$M$15),IF(D96=DP!$L$16,(F96/DP!$K$16)*(1+DP!$M$16),IF(D96=DP!$L$17,(F96/DP!$K$17)*(1+DP!$M$17),IF(D96=DP!$L$18,(F96/DP!$K$18)*(1+DP!$M$18),0*1))))</f>
        <v>0</v>
      </c>
      <c r="AH96" s="102">
        <f>IF(D96=DP!$L$22,(DP!$O$22),IF(D96=DP!$L$23,(DP!$O$23),IF(D96=DP!$L$24,(DP!$O$24),IF(D96=DP!$L$25,(DP!$O$25),((0*1))))))</f>
        <v>0</v>
      </c>
      <c r="AI96" s="93">
        <f t="shared" si="83"/>
        <v>0</v>
      </c>
      <c r="AJ96" s="93">
        <f>IF(D96=DP!$L$15,F96*(1+DP!$M$15),IF(D96=DP!$L$16,F96*(1+DP!$M$16),IF(D96=DP!$L$17,F96*(1+DP!$M$17),IF(D96=DP!$L$18,F96*(1+DP!$M$18),0*1))))</f>
        <v>0</v>
      </c>
      <c r="AK96" s="102">
        <f>IF(D96=DP!$L$22,(DP!$P$22),IF(D96=DP!$L$23,(DP!$P$23),IF(D96=DP!$L$24,(DP!$P$24),IF(D96=DP!$L$25,(DP!$P$25),((0*1))))))</f>
        <v>0</v>
      </c>
      <c r="AL96" s="93">
        <f t="shared" si="84"/>
        <v>0</v>
      </c>
      <c r="AM96" s="100"/>
      <c r="AN96" s="149">
        <f t="shared" si="69"/>
        <v>0</v>
      </c>
      <c r="AO96" s="149">
        <f>DP!$N$35*H96</f>
        <v>0</v>
      </c>
      <c r="AP96" s="149">
        <f>DP!$O$35*H96</f>
        <v>0</v>
      </c>
      <c r="AQ96" s="149">
        <f>DP!$P$35*H96</f>
        <v>0</v>
      </c>
      <c r="AV96" s="489">
        <f>DP!AV36</f>
        <v>0</v>
      </c>
      <c r="AW96" s="489">
        <f>DP!AW36</f>
        <v>0</v>
      </c>
      <c r="AX96" s="489">
        <f>DP!AX36</f>
        <v>0</v>
      </c>
      <c r="AY96" s="412">
        <f t="shared" si="85"/>
        <v>0</v>
      </c>
      <c r="AZ96" s="470">
        <f>DP!BA36</f>
        <v>0</v>
      </c>
      <c r="BA96" s="98">
        <f t="shared" si="86"/>
        <v>0</v>
      </c>
      <c r="BB96" s="97"/>
      <c r="BC96" s="102">
        <f t="shared" si="70"/>
        <v>0</v>
      </c>
      <c r="BD96" s="98">
        <f t="shared" si="71"/>
        <v>0</v>
      </c>
      <c r="BE96" s="93">
        <f t="shared" si="72"/>
        <v>0</v>
      </c>
      <c r="BF96" s="99">
        <f t="shared" si="73"/>
        <v>0</v>
      </c>
      <c r="BG96" s="100"/>
      <c r="BH96" s="102">
        <f>IFERROR((BA96*100%)/DP!$AO$29,(0*1))</f>
        <v>0</v>
      </c>
      <c r="BI96" s="102">
        <f>IF(BH96&gt;0,(DP!$AO$31),0*1)</f>
        <v>0</v>
      </c>
      <c r="BJ96" s="435">
        <f t="shared" si="87"/>
        <v>0</v>
      </c>
      <c r="BK96" s="475">
        <f>BA96*DP!$AQ$44</f>
        <v>0</v>
      </c>
      <c r="BL96" s="475">
        <f>IF(BA96&gt;0,DP!$AR$44,0*1)</f>
        <v>0</v>
      </c>
      <c r="BM96" s="475">
        <f t="shared" si="88"/>
        <v>0</v>
      </c>
      <c r="BN96" s="102">
        <f>BA96*DP!$AQ$45</f>
        <v>0</v>
      </c>
      <c r="BO96" s="102">
        <f>IF(BA96&gt;0,DP!$AR$45,0*1)</f>
        <v>0</v>
      </c>
      <c r="BP96" s="475">
        <f t="shared" si="89"/>
        <v>0</v>
      </c>
      <c r="BQ96" s="100"/>
      <c r="BR96" s="100"/>
      <c r="BS96" s="100"/>
      <c r="BT96" s="93">
        <f>IF(AW96=DP!$AN$15,AY96*(1+DP!$AO$15),IF(AW96=DP!$AN$16,AY96*(1+DP!$AO$16),IF(AW96=DP!$AN$17,AY96*(1+DP!$AO$17),IF(AW96=DP!$AN$18,AY96*(1+DP!$AO$18),0*1))))</f>
        <v>0</v>
      </c>
      <c r="BU96" s="102">
        <f>IF(AW96=DP!$AN$22,(DP!$AO$22),IF(AW96=DP!$AN$23,(DP!$AO$23),IF(AW96=DP!$AN$24,(DP!$AO$24),IF(AW96=DP!$AN$25,(DP!$AO$25),((0*1))))))</f>
        <v>0</v>
      </c>
      <c r="BV96" s="93">
        <f t="shared" si="90"/>
        <v>0</v>
      </c>
      <c r="BW96" s="93">
        <f>IF(AW96=DP!$AN$15,AY96*(1+DP!$AO$15),IF(AW96=DP!$AN$16,AY96*(1+DP!$AO$16),IF(AW96=DP!$AN$17,AY96*(1+DP!$AO$17),IF(AW96=DP!$AN$18,AY96*(1+DP!$AO$18),0*1))))</f>
        <v>0</v>
      </c>
      <c r="BX96" s="102">
        <f>IF(AW96=DP!$AN$22,(DP!$AP$22),IF(AW96=DP!$AN$23,(DP!$AP$23),IF(AW96=DP!$AN$24,(DP!$AP$24),IF(AW96=DP!$AN$25,(DP!$AP$25),((0*1))))))</f>
        <v>0</v>
      </c>
      <c r="BY96" s="93">
        <f t="shared" si="96"/>
        <v>0</v>
      </c>
      <c r="BZ96" s="93">
        <f>IF(AW96=DP!$AN$15,(AY96/DP!$AM$15)*(1+DP!$AO$15),IF(AW96=DP!$AN$16,(AY96/DP!$AM$16)*(1+DP!$AO$16),IF(AW96=DP!$AN$17,(AY96/DP!$AM$17)*(1+DP!$AO$17),IF(AW96=DP!$AN$18,(AY96/DP!$AM$18)*(1+DP!$AO$18),0*1))))</f>
        <v>0</v>
      </c>
      <c r="CA96" s="102">
        <f>IF(AW96=DP!$AN$22,(DP!$AQ$22),IF(AW96=DP!$AN$23,(DP!$AQ$23),IF(AW96=DP!$AN$24,(DP!$AQ$24),IF(AW96=DP!$AN$25,(DP!$AQ$25),((0*1))))))</f>
        <v>0</v>
      </c>
      <c r="CB96" s="93">
        <f t="shared" si="74"/>
        <v>0</v>
      </c>
      <c r="CC96" s="93">
        <f>IF(AW96=DP!$AN$15,AY96*(1+DP!$AO$15),IF(AW96=DP!$AN$16,AY96*(1+DP!$AO$16),IF(AW96=DP!$AN$17,AY96*(1+DP!$AO$17),IF(AW96=DP!$AN$18,AY96*(1+DP!$AO$18),0*1))))</f>
        <v>0</v>
      </c>
      <c r="CD96" s="102">
        <f>IF(AW96=DP!$AN$22,(DP!$AR$22),IF(AW96=DP!$AN$23,(DP!$AR$23),IF(AW96=DP!$AN$24,(DP!$AR$24),IF(AW96=DP!$AN$25,(DP!$AR$25),((0*1))))))</f>
        <v>0</v>
      </c>
      <c r="CE96" s="93">
        <f t="shared" si="92"/>
        <v>0</v>
      </c>
      <c r="CF96" s="100"/>
      <c r="CG96" s="149">
        <f t="shared" si="75"/>
        <v>0</v>
      </c>
      <c r="CH96" s="149">
        <f>DP!$N$35*BA96</f>
        <v>0</v>
      </c>
      <c r="CI96" s="149">
        <f>DP!$O$35*BA96</f>
        <v>0</v>
      </c>
      <c r="CJ96" s="149">
        <f>DP!$P$35*BA96</f>
        <v>0</v>
      </c>
    </row>
    <row r="97" spans="2:88" ht="16" thickBot="1" x14ac:dyDescent="0.4">
      <c r="C97" s="103" t="s">
        <v>222</v>
      </c>
      <c r="D97" s="104"/>
      <c r="E97" s="104"/>
      <c r="F97" s="120">
        <f>SUM(F78:F96)</f>
        <v>0</v>
      </c>
      <c r="G97" s="411">
        <f>SUM(G78:G96)</f>
        <v>0</v>
      </c>
      <c r="H97" s="121">
        <f>SUM(H78:H96)</f>
        <v>0</v>
      </c>
      <c r="I97" s="87"/>
      <c r="J97" s="151"/>
      <c r="K97" s="106"/>
      <c r="L97" s="107">
        <f t="shared" ref="L97" si="97">SUM(L78:L96)</f>
        <v>0</v>
      </c>
      <c r="M97" s="105">
        <f>SUM(M78:M96)</f>
        <v>0</v>
      </c>
      <c r="N97" s="87"/>
      <c r="O97" s="152">
        <f>SUM(O78:O96)</f>
        <v>0</v>
      </c>
      <c r="P97" s="416"/>
      <c r="Q97" s="152">
        <f>SUM(Q78:Q96)</f>
        <v>0</v>
      </c>
      <c r="R97" s="126"/>
      <c r="S97" s="419">
        <f>SUM(S78:S96)</f>
        <v>0</v>
      </c>
      <c r="T97" s="476">
        <f>SUM(T78:T96)</f>
        <v>0</v>
      </c>
      <c r="U97" s="477"/>
      <c r="V97" s="478">
        <f>SUM(V78:V96)</f>
        <v>0</v>
      </c>
      <c r="W97" s="478">
        <f>SUM(W78:W96)</f>
        <v>0</v>
      </c>
      <c r="X97" s="477"/>
      <c r="Y97" s="479">
        <f>SUM(Y78:Y96)</f>
        <v>0</v>
      </c>
      <c r="Z97" s="87"/>
      <c r="AA97" s="152">
        <f>SUM(AA78:AA96)</f>
        <v>0</v>
      </c>
      <c r="AB97" s="77"/>
      <c r="AC97" s="153">
        <f>SUM(AC78:AC96)</f>
        <v>0</v>
      </c>
      <c r="AD97" s="153">
        <f>SUM(AD78:AD96)</f>
        <v>0</v>
      </c>
      <c r="AE97" s="77"/>
      <c r="AF97" s="153">
        <f>SUM(AF78:AF96)</f>
        <v>0</v>
      </c>
      <c r="AG97" s="153">
        <f>SUM(AG78:AG96)</f>
        <v>0</v>
      </c>
      <c r="AH97" s="77"/>
      <c r="AI97" s="153">
        <f>SUM(AI78:AI96)</f>
        <v>0</v>
      </c>
      <c r="AJ97" s="153">
        <f>SUM(AJ78:AJ96)</f>
        <v>0</v>
      </c>
      <c r="AK97" s="77"/>
      <c r="AL97" s="154">
        <f>SUM(AL78:AL96)</f>
        <v>0</v>
      </c>
      <c r="AM97" s="87"/>
      <c r="AN97" s="152">
        <f>SUM(AN78:AN96)</f>
        <v>0</v>
      </c>
      <c r="AO97" s="153">
        <f t="shared" ref="AO97:AQ97" si="98">SUM(AO78:AO96)</f>
        <v>0</v>
      </c>
      <c r="AP97" s="153">
        <f t="shared" si="98"/>
        <v>0</v>
      </c>
      <c r="AQ97" s="153">
        <f t="shared" si="98"/>
        <v>0</v>
      </c>
      <c r="AV97" s="103" t="s">
        <v>222</v>
      </c>
      <c r="AW97" s="104"/>
      <c r="AX97" s="104"/>
      <c r="AY97" s="120">
        <f>SUM(AY78:AY96)</f>
        <v>488160</v>
      </c>
      <c r="AZ97" s="411">
        <f>SUM(AZ78:AZ96)</f>
        <v>0.99999999999999989</v>
      </c>
      <c r="BA97" s="121">
        <f>SUM(BA78:BA96)</f>
        <v>183600</v>
      </c>
      <c r="BB97" s="87"/>
      <c r="BC97" s="151"/>
      <c r="BD97" s="106"/>
      <c r="BE97" s="107">
        <f>SUM(BE78:BE96)</f>
        <v>506070.51072395616</v>
      </c>
      <c r="BF97" s="105">
        <f>SUM(BF78:BF96)</f>
        <v>438138.5107239561</v>
      </c>
      <c r="BG97" s="87"/>
      <c r="BH97" s="152">
        <f>SUM(BH78:BH96)</f>
        <v>408000</v>
      </c>
      <c r="BI97" s="126"/>
      <c r="BJ97" s="419">
        <f>SUM(BJ78:BJ96)</f>
        <v>183600</v>
      </c>
      <c r="BK97" s="492">
        <f>SUM(BK78:BK96)</f>
        <v>459</v>
      </c>
      <c r="BL97" s="491"/>
      <c r="BM97" s="492">
        <f>SUM(BM78:BM96)</f>
        <v>436.04999999999995</v>
      </c>
      <c r="BN97" s="492">
        <f>SUM(BN78:BN96)</f>
        <v>30477.599999999999</v>
      </c>
      <c r="BO97" s="491"/>
      <c r="BP97" s="492">
        <f>SUM(BP78:BP96)</f>
        <v>23443.369920000001</v>
      </c>
      <c r="BQ97" s="87"/>
      <c r="BR97" s="87"/>
      <c r="BS97" s="87"/>
      <c r="BT97" s="152">
        <f>SUM(BT78:BT96)</f>
        <v>490600.8</v>
      </c>
      <c r="BU97" s="77"/>
      <c r="BV97" s="153">
        <f>SUM(BV78:BV96)</f>
        <v>113945.292</v>
      </c>
      <c r="BW97" s="153">
        <f>SUM(BW78:BW96)</f>
        <v>490600.8</v>
      </c>
      <c r="BX97" s="77"/>
      <c r="BY97" s="153">
        <f>SUM(BY78:BY96)</f>
        <v>28643.705999999998</v>
      </c>
      <c r="BZ97" s="153">
        <f>SUM(BZ78:BZ96)</f>
        <v>25054.649999999994</v>
      </c>
      <c r="CA97" s="77"/>
      <c r="CB97" s="153">
        <f>SUM(CB78:CB96)</f>
        <v>12827.98079999999</v>
      </c>
      <c r="CC97" s="153">
        <f>SUM(CC78:CC96)</f>
        <v>490600.8</v>
      </c>
      <c r="CD97" s="77"/>
      <c r="CE97" s="154">
        <f>SUM(CE78:CE96)</f>
        <v>16212.38275862069</v>
      </c>
      <c r="CF97" s="87"/>
      <c r="CG97" s="152">
        <f>SUM(CG78:CG96)</f>
        <v>59029.729245335482</v>
      </c>
      <c r="CH97" s="153">
        <f t="shared" ref="CH97:CJ97" si="99">SUM(CH78:CH96)</f>
        <v>2637.9310344827586</v>
      </c>
      <c r="CI97" s="153">
        <f t="shared" si="99"/>
        <v>10024.137931034486</v>
      </c>
      <c r="CJ97" s="153">
        <f t="shared" si="99"/>
        <v>67932</v>
      </c>
    </row>
    <row r="98" spans="2:88" x14ac:dyDescent="0.35">
      <c r="C98" s="108"/>
      <c r="D98" s="108"/>
      <c r="E98" s="108"/>
      <c r="F98" s="87"/>
      <c r="G98" s="87"/>
      <c r="H98" s="87"/>
      <c r="I98" s="109"/>
      <c r="J98" s="87"/>
      <c r="K98" s="87"/>
      <c r="L98" s="87"/>
      <c r="M98" s="87"/>
      <c r="N98" s="87"/>
      <c r="O98" s="220"/>
      <c r="P98" s="220"/>
      <c r="Q98" s="220"/>
      <c r="R98" s="87"/>
      <c r="S98" s="422">
        <f>Q97</f>
        <v>0</v>
      </c>
      <c r="T98"/>
      <c r="U98"/>
      <c r="V98"/>
      <c r="W98"/>
      <c r="X98"/>
      <c r="Y98"/>
      <c r="Z98" s="87"/>
      <c r="AA98" s="87"/>
      <c r="AB98" s="87"/>
      <c r="AC98" s="87"/>
      <c r="AD98" s="87"/>
      <c r="AM98" s="87"/>
      <c r="AN98" s="420">
        <f>IFERROR(IF(DP!$C$16=PS!$B$3,PS!$K$23*D73/(D73+AW73),IF(DP!$C$16=PS!$N$3,PS!$AC$23*D73/(D73+AW73),IF(DP!$C$16=PS!$AF$3,PS!$AP$23*D73/(D73+AW73)))),0*1)</f>
        <v>0</v>
      </c>
      <c r="AO98" s="220"/>
      <c r="AP98" s="220"/>
      <c r="AQ98" s="433"/>
      <c r="AV98" s="108"/>
      <c r="AW98" s="108"/>
      <c r="AX98" s="108"/>
      <c r="AY98" s="87"/>
      <c r="AZ98" s="87"/>
      <c r="BA98" s="87"/>
      <c r="BB98" s="109"/>
      <c r="BC98" s="87"/>
      <c r="BD98" s="87"/>
      <c r="BE98" s="87"/>
      <c r="BF98" s="87"/>
      <c r="BG98" s="87"/>
      <c r="BH98" s="87"/>
      <c r="BI98" s="87"/>
      <c r="BJ98" s="87"/>
      <c r="BK98"/>
      <c r="BL98"/>
      <c r="BM98"/>
      <c r="BN98"/>
      <c r="BO98"/>
      <c r="BP98"/>
      <c r="BQ98" s="87"/>
      <c r="BR98" s="87"/>
      <c r="BS98" s="87"/>
      <c r="BT98" s="87"/>
      <c r="BU98" s="87"/>
      <c r="BV98" s="87"/>
      <c r="BW98" s="87"/>
      <c r="CF98" s="87"/>
      <c r="CG98" s="420">
        <f>IFERROR(IF(DP!$C$16=PS!$B$3,PS!$K$23*AW73/(AW73+D73),IF(DP!$C$16=PS!$N$3,PS!$AC$23*AW73/(AW73+D73),IF(DP!$C$16=PS!$AF$3,PS!$AP$23*AW73/(AW73+D73)))),0*1)</f>
        <v>59029.729245335482</v>
      </c>
      <c r="CH98" s="220"/>
      <c r="CI98" s="220"/>
      <c r="CJ98" s="433"/>
    </row>
    <row r="99" spans="2:88" x14ac:dyDescent="0.35">
      <c r="C99" s="108"/>
      <c r="D99" s="108"/>
      <c r="E99" s="108"/>
      <c r="F99" s="87"/>
      <c r="G99" s="87"/>
      <c r="H99" s="87"/>
      <c r="I99" s="109"/>
      <c r="J99" s="87"/>
      <c r="K99" s="87"/>
      <c r="L99" s="87"/>
      <c r="M99" s="87"/>
      <c r="N99" s="87"/>
      <c r="O99" s="87"/>
      <c r="P99" s="87"/>
      <c r="Q99" s="87"/>
      <c r="T99" s="87"/>
      <c r="U99" s="87"/>
      <c r="V99" s="87"/>
      <c r="W99" s="87"/>
      <c r="X99" s="87"/>
      <c r="Y99" s="87"/>
      <c r="Z99" s="87"/>
      <c r="AM99" s="87"/>
      <c r="AV99" s="108"/>
      <c r="AW99" s="108"/>
      <c r="AX99" s="108"/>
      <c r="AY99" s="87"/>
      <c r="AZ99" s="87"/>
      <c r="BA99" s="87"/>
      <c r="BB99" s="109"/>
      <c r="BC99" s="87"/>
      <c r="BD99" s="87"/>
      <c r="BE99" s="87"/>
      <c r="BF99" s="87"/>
      <c r="BG99" s="87"/>
      <c r="BH99" s="109"/>
      <c r="BK99" s="87"/>
      <c r="BL99" s="87"/>
      <c r="BM99" s="87"/>
      <c r="BN99" s="87"/>
      <c r="BO99" s="87"/>
      <c r="BP99" s="87"/>
      <c r="BQ99" s="87"/>
      <c r="BR99" s="87"/>
      <c r="BS99" s="87"/>
      <c r="BT99"/>
      <c r="BU99"/>
      <c r="BV99"/>
      <c r="BW99"/>
      <c r="BX99"/>
      <c r="BY99"/>
      <c r="BZ99"/>
      <c r="CA99"/>
      <c r="CB99"/>
      <c r="CC99"/>
      <c r="CF99" s="87"/>
    </row>
    <row r="100" spans="2:88" x14ac:dyDescent="0.35">
      <c r="C100" s="108"/>
      <c r="D100" s="108"/>
      <c r="E100" s="108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116" t="s">
        <v>228</v>
      </c>
      <c r="S100" s="94">
        <f>IFERROR((SUMIF(B78:B96,1,H78:H96))/H97*S98,0*1)</f>
        <v>0</v>
      </c>
      <c r="T100" s="109"/>
      <c r="U100" s="87"/>
      <c r="V100" s="87"/>
      <c r="W100" s="87"/>
      <c r="X100" s="87"/>
      <c r="Y100" s="87"/>
      <c r="Z100" s="87"/>
      <c r="AM100" s="87"/>
      <c r="AV100" s="108"/>
      <c r="AW100" s="108"/>
      <c r="AX100" s="108"/>
      <c r="AY100" s="87"/>
      <c r="AZ100" s="87"/>
      <c r="BA100" s="87"/>
      <c r="BB100" s="87"/>
      <c r="BC100" s="87"/>
      <c r="BD100" s="87"/>
      <c r="BE100" s="87"/>
      <c r="BF100" s="87"/>
      <c r="BG100" s="87"/>
      <c r="BK100" s="109"/>
      <c r="BL100" s="87"/>
      <c r="BM100" s="87"/>
      <c r="BN100" s="87"/>
      <c r="BO100" s="87"/>
      <c r="BP100" s="87"/>
      <c r="BQ100" s="87"/>
      <c r="BR100" s="87"/>
      <c r="BS100" s="87"/>
      <c r="BT100"/>
      <c r="BU100"/>
      <c r="BV100"/>
      <c r="BW100"/>
      <c r="BX100"/>
      <c r="BY100"/>
      <c r="BZ100"/>
      <c r="CA100"/>
      <c r="CB100"/>
      <c r="CC100"/>
      <c r="CF100" s="87"/>
    </row>
    <row r="101" spans="2:88" x14ac:dyDescent="0.35">
      <c r="C101" s="108"/>
      <c r="D101" s="108"/>
      <c r="E101" s="108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116" t="s">
        <v>229</v>
      </c>
      <c r="S101" s="94">
        <f>S98-S100</f>
        <v>0</v>
      </c>
      <c r="T101" s="109"/>
      <c r="U101" s="87"/>
      <c r="V101" s="87"/>
      <c r="W101" s="87"/>
      <c r="X101" s="87"/>
      <c r="Y101" s="87"/>
      <c r="Z101" s="87"/>
      <c r="AM101" s="87"/>
      <c r="AV101" s="108"/>
      <c r="AW101" s="108"/>
      <c r="AX101" s="108"/>
      <c r="AY101" s="87"/>
      <c r="AZ101" s="87"/>
      <c r="BA101" s="87"/>
      <c r="BB101" s="87"/>
      <c r="BC101" s="87"/>
      <c r="BD101" s="87"/>
      <c r="BE101" s="87"/>
      <c r="BF101" s="87"/>
      <c r="BG101" s="87"/>
      <c r="BK101" s="109"/>
      <c r="BL101" s="87"/>
      <c r="BM101" s="87"/>
      <c r="BN101" s="87"/>
      <c r="BO101" s="87"/>
      <c r="BP101" s="87"/>
      <c r="BQ101" s="87"/>
      <c r="BR101" s="87"/>
      <c r="BS101" s="87"/>
      <c r="BT101"/>
      <c r="BU101"/>
      <c r="BV101"/>
      <c r="BW101"/>
      <c r="BX101"/>
      <c r="BY101"/>
      <c r="BZ101"/>
      <c r="CA101"/>
      <c r="CB101"/>
      <c r="CC101"/>
      <c r="CF101" s="87"/>
    </row>
    <row r="102" spans="2:88" x14ac:dyDescent="0.35">
      <c r="C102" s="108"/>
      <c r="D102" s="108"/>
      <c r="E102" s="108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T102" s="87"/>
      <c r="U102" s="87"/>
      <c r="V102" s="87"/>
      <c r="W102" s="87"/>
      <c r="X102" s="87"/>
      <c r="Y102" s="87"/>
      <c r="Z102" s="87"/>
      <c r="AM102" s="87"/>
      <c r="AV102" s="108"/>
      <c r="AW102" s="108"/>
      <c r="AX102" s="108"/>
      <c r="AY102" s="87"/>
      <c r="AZ102" s="87"/>
      <c r="BA102" s="87"/>
      <c r="BB102" s="87"/>
      <c r="BC102" s="87"/>
      <c r="BD102" s="87"/>
      <c r="BE102" s="87"/>
      <c r="BF102" s="87"/>
      <c r="BG102" s="87"/>
      <c r="BK102" s="87"/>
      <c r="BL102" s="87"/>
      <c r="BM102" s="87"/>
      <c r="BN102" s="87"/>
      <c r="BO102" s="87"/>
      <c r="BP102" s="87"/>
      <c r="BQ102" s="87"/>
      <c r="BR102" s="87"/>
      <c r="BS102" s="87"/>
      <c r="BT102"/>
      <c r="BU102"/>
      <c r="BV102"/>
      <c r="BW102"/>
      <c r="BX102"/>
      <c r="BY102"/>
      <c r="BZ102"/>
      <c r="CA102"/>
      <c r="CB102"/>
      <c r="CC102"/>
      <c r="CF102" s="87"/>
    </row>
    <row r="103" spans="2:88" x14ac:dyDescent="0.35">
      <c r="C103" s="108"/>
      <c r="D103" s="108"/>
      <c r="E103" s="108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T103" s="87"/>
      <c r="U103" s="87"/>
      <c r="V103" s="87"/>
      <c r="W103" s="87"/>
      <c r="X103" s="87"/>
      <c r="Y103" s="87"/>
      <c r="Z103" s="87"/>
      <c r="AM103" s="87"/>
      <c r="AV103" s="108"/>
      <c r="AW103" s="108"/>
      <c r="AX103" s="108"/>
      <c r="AY103" s="87"/>
      <c r="AZ103" s="87"/>
      <c r="BA103" s="87"/>
      <c r="BB103" s="87"/>
      <c r="BC103" s="87"/>
      <c r="BD103" s="87"/>
      <c r="BE103" s="87"/>
      <c r="BF103" s="87"/>
      <c r="BG103" s="87"/>
      <c r="BH103" s="87"/>
      <c r="BK103" s="87"/>
      <c r="BL103" s="87"/>
      <c r="BM103" s="87"/>
      <c r="BN103" s="87"/>
      <c r="BO103" s="87"/>
      <c r="BP103" s="87"/>
      <c r="BQ103" s="87"/>
      <c r="BR103" s="87"/>
      <c r="BS103" s="87"/>
      <c r="BT103"/>
      <c r="BU103"/>
      <c r="BV103"/>
      <c r="BW103"/>
      <c r="BX103"/>
      <c r="BY103"/>
      <c r="BZ103"/>
      <c r="CA103"/>
      <c r="CB103"/>
      <c r="CC103"/>
      <c r="CF103" s="87"/>
    </row>
    <row r="104" spans="2:88" x14ac:dyDescent="0.35">
      <c r="C104" s="108"/>
      <c r="D104" s="108"/>
      <c r="E104" s="108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T104" s="87"/>
      <c r="U104" s="87"/>
      <c r="V104" s="87"/>
      <c r="W104" s="87"/>
      <c r="X104" s="87"/>
      <c r="Y104" s="87"/>
      <c r="Z104" s="87"/>
      <c r="AM104" s="87"/>
      <c r="AV104" s="108"/>
      <c r="AW104" s="108"/>
      <c r="AX104" s="108"/>
      <c r="AY104" s="87"/>
      <c r="AZ104" s="87"/>
      <c r="BA104" s="87"/>
      <c r="BB104" s="87"/>
      <c r="BC104" s="87"/>
      <c r="BD104" s="87"/>
      <c r="BE104" s="87"/>
      <c r="BF104" s="87"/>
      <c r="BG104" s="87"/>
      <c r="BH104" s="87"/>
      <c r="BK104" s="87"/>
      <c r="BL104" s="87"/>
      <c r="BM104" s="87"/>
      <c r="BN104" s="87"/>
      <c r="BO104" s="87"/>
      <c r="BP104" s="87"/>
      <c r="BQ104" s="87"/>
      <c r="BR104" s="87"/>
      <c r="BS104" s="87"/>
      <c r="BT104"/>
      <c r="BU104"/>
      <c r="BV104"/>
      <c r="BW104"/>
      <c r="BX104"/>
      <c r="BY104"/>
      <c r="BZ104"/>
      <c r="CA104"/>
      <c r="CB104"/>
      <c r="CC104"/>
      <c r="CF104" s="87"/>
    </row>
    <row r="105" spans="2:88" x14ac:dyDescent="0.35">
      <c r="C105" s="108"/>
      <c r="D105" s="108"/>
      <c r="E105" s="108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T105" s="87"/>
      <c r="U105" s="87"/>
      <c r="V105" s="87"/>
      <c r="W105" s="87"/>
      <c r="X105" s="87"/>
      <c r="Y105" s="87"/>
      <c r="Z105" s="87"/>
      <c r="AB105" s="87"/>
      <c r="AC105" s="87"/>
      <c r="AD105" s="87"/>
      <c r="AM105" s="87"/>
      <c r="AV105" s="108"/>
      <c r="AW105" s="108"/>
      <c r="AX105" s="108"/>
      <c r="AY105" s="87"/>
      <c r="AZ105" s="87"/>
      <c r="BA105" s="87"/>
      <c r="BB105" s="87"/>
      <c r="BC105" s="87"/>
      <c r="BD105" s="87"/>
      <c r="BE105" s="87"/>
      <c r="BF105" s="87"/>
      <c r="BG105" s="87"/>
      <c r="BH105" s="87"/>
      <c r="BK105" s="87"/>
      <c r="BL105" s="87"/>
      <c r="BM105" s="87"/>
      <c r="BN105" s="87"/>
      <c r="BO105" s="87"/>
      <c r="BP105" s="87"/>
      <c r="BQ105" s="87"/>
      <c r="BR105" s="87"/>
      <c r="BS105" s="87"/>
      <c r="BU105" s="87"/>
      <c r="BV105" s="87"/>
      <c r="BW105" s="87"/>
      <c r="CF105" s="87"/>
    </row>
    <row r="106" spans="2:88" ht="16" thickBot="1" x14ac:dyDescent="0.4">
      <c r="C106" s="421" t="s">
        <v>339</v>
      </c>
      <c r="D106" s="482">
        <f>DP!Z14</f>
        <v>0</v>
      </c>
      <c r="E106" s="108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T106" s="87"/>
      <c r="U106" s="87"/>
      <c r="V106" s="87"/>
      <c r="W106" s="87"/>
      <c r="X106" s="87"/>
      <c r="Y106" s="87"/>
      <c r="Z106" s="87"/>
      <c r="AA106" s="87"/>
      <c r="AB106" s="87"/>
      <c r="AC106" s="87"/>
      <c r="AD106" s="87"/>
      <c r="AM106" s="87"/>
      <c r="AV106" s="421" t="s">
        <v>339</v>
      </c>
      <c r="AW106" s="482">
        <f>DP!BB14</f>
        <v>183600</v>
      </c>
      <c r="AX106" s="108"/>
      <c r="AY106" s="87"/>
      <c r="AZ106" s="87"/>
      <c r="BA106" s="87"/>
      <c r="BB106" s="87"/>
      <c r="BC106" s="87"/>
      <c r="BD106" s="87"/>
      <c r="BE106" s="87"/>
      <c r="BF106" s="87"/>
      <c r="BG106" s="87"/>
      <c r="BH106" s="87"/>
      <c r="BK106" s="87"/>
      <c r="BL106" s="87"/>
      <c r="BM106" s="87"/>
      <c r="BN106" s="87"/>
      <c r="BO106" s="87"/>
      <c r="BP106" s="87"/>
      <c r="BQ106" s="87"/>
      <c r="BR106" s="87"/>
      <c r="BS106" s="87"/>
      <c r="BT106" s="87"/>
      <c r="BU106" s="87"/>
      <c r="BV106" s="87"/>
      <c r="BW106" s="87"/>
      <c r="CF106" s="87"/>
    </row>
    <row r="107" spans="2:88" ht="15.5" customHeight="1" x14ac:dyDescent="0.35">
      <c r="C107" s="1026" t="s">
        <v>78</v>
      </c>
      <c r="D107" s="1009" t="s">
        <v>169</v>
      </c>
      <c r="E107" s="1010"/>
      <c r="F107" s="1010"/>
      <c r="G107" s="1010"/>
      <c r="H107" s="1011"/>
      <c r="I107" s="130"/>
      <c r="J107" s="1015" t="s">
        <v>170</v>
      </c>
      <c r="K107" s="1015" t="s">
        <v>215</v>
      </c>
      <c r="L107" s="1015" t="s">
        <v>216</v>
      </c>
      <c r="M107" s="1017" t="s">
        <v>217</v>
      </c>
      <c r="N107" s="130"/>
      <c r="O107" s="1019" t="s">
        <v>213</v>
      </c>
      <c r="P107" s="1007"/>
      <c r="Q107" s="1007"/>
      <c r="R107" s="1007"/>
      <c r="S107" s="1007"/>
      <c r="T107" s="1007"/>
      <c r="U107" s="1007"/>
      <c r="V107" s="1007"/>
      <c r="W107" s="1007"/>
      <c r="X107" s="1007"/>
      <c r="Y107" s="1007"/>
      <c r="Z107" s="130"/>
      <c r="AA107" s="1019" t="s">
        <v>180</v>
      </c>
      <c r="AB107" s="1007"/>
      <c r="AC107" s="1007"/>
      <c r="AD107" s="1007"/>
      <c r="AE107" s="1007"/>
      <c r="AF107" s="1007"/>
      <c r="AG107" s="1007"/>
      <c r="AH107" s="1007"/>
      <c r="AI107" s="1007"/>
      <c r="AJ107" s="1007"/>
      <c r="AK107" s="1007"/>
      <c r="AL107" s="1020"/>
      <c r="AM107" s="130"/>
      <c r="AN107" s="131" t="s">
        <v>214</v>
      </c>
      <c r="AO107" s="1006" t="s">
        <v>361</v>
      </c>
      <c r="AP107" s="1007"/>
      <c r="AQ107" s="1008"/>
      <c r="AV107" s="1026" t="s">
        <v>78</v>
      </c>
      <c r="AW107" s="1009" t="s">
        <v>169</v>
      </c>
      <c r="AX107" s="1010"/>
      <c r="AY107" s="1010"/>
      <c r="AZ107" s="1010"/>
      <c r="BA107" s="1011"/>
      <c r="BB107" s="130"/>
      <c r="BC107" s="1015" t="s">
        <v>170</v>
      </c>
      <c r="BD107" s="1015" t="s">
        <v>215</v>
      </c>
      <c r="BE107" s="1015" t="s">
        <v>216</v>
      </c>
      <c r="BF107" s="1017" t="s">
        <v>217</v>
      </c>
      <c r="BG107" s="130"/>
      <c r="BH107" s="1019" t="s">
        <v>213</v>
      </c>
      <c r="BI107" s="1007"/>
      <c r="BJ107" s="1007"/>
      <c r="BK107" s="1007"/>
      <c r="BL107" s="1007"/>
      <c r="BM107" s="1007"/>
      <c r="BN107" s="1007"/>
      <c r="BO107" s="1007"/>
      <c r="BP107" s="1007"/>
      <c r="BQ107" s="130"/>
      <c r="BR107" s="130"/>
      <c r="BS107" s="130"/>
      <c r="BT107" s="1019" t="s">
        <v>180</v>
      </c>
      <c r="BU107" s="1007"/>
      <c r="BV107" s="1007"/>
      <c r="BW107" s="1007"/>
      <c r="BX107" s="1007"/>
      <c r="BY107" s="1007"/>
      <c r="BZ107" s="1007"/>
      <c r="CA107" s="1007"/>
      <c r="CB107" s="1007"/>
      <c r="CC107" s="1007"/>
      <c r="CD107" s="1007"/>
      <c r="CE107" s="1020"/>
      <c r="CF107" s="130"/>
      <c r="CG107" s="131" t="s">
        <v>214</v>
      </c>
      <c r="CH107" s="1006" t="s">
        <v>361</v>
      </c>
      <c r="CI107" s="1007"/>
      <c r="CJ107" s="1008"/>
    </row>
    <row r="108" spans="2:88" ht="30.5" thickBot="1" x14ac:dyDescent="0.4">
      <c r="C108" s="1027"/>
      <c r="D108" s="1012"/>
      <c r="E108" s="1013"/>
      <c r="F108" s="1013"/>
      <c r="G108" s="1013"/>
      <c r="H108" s="1014"/>
      <c r="I108" s="130"/>
      <c r="J108" s="1016"/>
      <c r="K108" s="1016"/>
      <c r="L108" s="1016"/>
      <c r="M108" s="1018"/>
      <c r="N108" s="130"/>
      <c r="O108" s="134" t="s">
        <v>218</v>
      </c>
      <c r="P108" s="415"/>
      <c r="Q108" s="415"/>
      <c r="R108" s="135"/>
      <c r="S108" s="135"/>
      <c r="T108" s="69" t="s">
        <v>171</v>
      </c>
      <c r="U108" s="69"/>
      <c r="V108" s="69"/>
      <c r="W108" s="69" t="s">
        <v>172</v>
      </c>
      <c r="X108" s="69"/>
      <c r="Y108" s="69"/>
      <c r="Z108" s="130"/>
      <c r="AA108" s="1021" t="s">
        <v>173</v>
      </c>
      <c r="AB108" s="1022"/>
      <c r="AC108" s="1023"/>
      <c r="AD108" s="1024" t="s">
        <v>174</v>
      </c>
      <c r="AE108" s="1022"/>
      <c r="AF108" s="1023"/>
      <c r="AG108" s="1024" t="s">
        <v>175</v>
      </c>
      <c r="AH108" s="1022"/>
      <c r="AI108" s="1023"/>
      <c r="AJ108" s="1024" t="s">
        <v>176</v>
      </c>
      <c r="AK108" s="1022"/>
      <c r="AL108" s="1025"/>
      <c r="AM108" s="130"/>
      <c r="AN108" s="115" t="s">
        <v>177</v>
      </c>
      <c r="AO108" s="458" t="s">
        <v>362</v>
      </c>
      <c r="AP108" s="458" t="s">
        <v>363</v>
      </c>
      <c r="AQ108" s="494" t="s">
        <v>364</v>
      </c>
      <c r="AV108" s="1027"/>
      <c r="AW108" s="1012"/>
      <c r="AX108" s="1013"/>
      <c r="AY108" s="1013"/>
      <c r="AZ108" s="1013"/>
      <c r="BA108" s="1014"/>
      <c r="BB108" s="130"/>
      <c r="BC108" s="1016"/>
      <c r="BD108" s="1016"/>
      <c r="BE108" s="1016"/>
      <c r="BF108" s="1018"/>
      <c r="BG108" s="130"/>
      <c r="BH108" s="1031" t="s">
        <v>234</v>
      </c>
      <c r="BI108" s="1032"/>
      <c r="BJ108" s="1033"/>
      <c r="BK108" s="1030" t="s">
        <v>171</v>
      </c>
      <c r="BL108" s="1030"/>
      <c r="BM108" s="1030"/>
      <c r="BN108" s="1030" t="s">
        <v>231</v>
      </c>
      <c r="BO108" s="1030"/>
      <c r="BP108" s="1030"/>
      <c r="BQ108" s="130"/>
      <c r="BR108" s="130"/>
      <c r="BS108" s="130"/>
      <c r="BT108" s="1021" t="s">
        <v>173</v>
      </c>
      <c r="BU108" s="1022"/>
      <c r="BV108" s="1023"/>
      <c r="BW108" s="1024" t="s">
        <v>174</v>
      </c>
      <c r="BX108" s="1022"/>
      <c r="BY108" s="1023"/>
      <c r="BZ108" s="1024" t="s">
        <v>175</v>
      </c>
      <c r="CA108" s="1022"/>
      <c r="CB108" s="1023"/>
      <c r="CC108" s="1024" t="s">
        <v>176</v>
      </c>
      <c r="CD108" s="1022"/>
      <c r="CE108" s="1025"/>
      <c r="CF108" s="130"/>
      <c r="CG108" s="115" t="s">
        <v>177</v>
      </c>
      <c r="CH108" s="458" t="s">
        <v>362</v>
      </c>
      <c r="CI108" s="458" t="s">
        <v>363</v>
      </c>
      <c r="CJ108" s="494" t="s">
        <v>364</v>
      </c>
    </row>
    <row r="109" spans="2:88" ht="16" thickBot="1" x14ac:dyDescent="0.4">
      <c r="C109" s="1028"/>
      <c r="D109" s="111" t="s">
        <v>225</v>
      </c>
      <c r="E109" s="111"/>
      <c r="F109" s="112" t="s">
        <v>178</v>
      </c>
      <c r="G109" s="113" t="s">
        <v>226</v>
      </c>
      <c r="H109" s="114" t="s">
        <v>227</v>
      </c>
      <c r="I109" s="136"/>
      <c r="J109" s="119" t="s">
        <v>179</v>
      </c>
      <c r="K109" s="137" t="s">
        <v>224</v>
      </c>
      <c r="L109" s="137" t="s">
        <v>224</v>
      </c>
      <c r="M109" s="138" t="s">
        <v>224</v>
      </c>
      <c r="N109" s="136"/>
      <c r="O109" s="118" t="s">
        <v>223</v>
      </c>
      <c r="P109" s="119" t="s">
        <v>179</v>
      </c>
      <c r="Q109" s="137" t="s">
        <v>224</v>
      </c>
      <c r="R109" s="119" t="s">
        <v>179</v>
      </c>
      <c r="S109" s="137" t="s">
        <v>224</v>
      </c>
      <c r="T109" s="119" t="s">
        <v>219</v>
      </c>
      <c r="U109" s="119" t="s">
        <v>179</v>
      </c>
      <c r="V109" s="137" t="s">
        <v>224</v>
      </c>
      <c r="W109" s="119" t="s">
        <v>219</v>
      </c>
      <c r="X109" s="119" t="s">
        <v>179</v>
      </c>
      <c r="Y109" s="137" t="s">
        <v>224</v>
      </c>
      <c r="Z109" s="136"/>
      <c r="AA109" s="118" t="s">
        <v>220</v>
      </c>
      <c r="AB109" s="119" t="s">
        <v>179</v>
      </c>
      <c r="AC109" s="137" t="s">
        <v>224</v>
      </c>
      <c r="AD109" s="119" t="s">
        <v>220</v>
      </c>
      <c r="AE109" s="119" t="s">
        <v>179</v>
      </c>
      <c r="AF109" s="137" t="s">
        <v>224</v>
      </c>
      <c r="AG109" s="119" t="s">
        <v>220</v>
      </c>
      <c r="AH109" s="119" t="s">
        <v>179</v>
      </c>
      <c r="AI109" s="137" t="s">
        <v>224</v>
      </c>
      <c r="AJ109" s="119" t="s">
        <v>221</v>
      </c>
      <c r="AK109" s="119" t="s">
        <v>179</v>
      </c>
      <c r="AL109" s="138" t="s">
        <v>224</v>
      </c>
      <c r="AM109" s="136"/>
      <c r="AN109" s="139" t="s">
        <v>224</v>
      </c>
      <c r="AO109" s="137" t="s">
        <v>224</v>
      </c>
      <c r="AP109" s="137" t="s">
        <v>224</v>
      </c>
      <c r="AQ109" s="137" t="s">
        <v>224</v>
      </c>
      <c r="AV109" s="1028"/>
      <c r="AW109" s="111" t="s">
        <v>225</v>
      </c>
      <c r="AX109" s="111" t="s">
        <v>329</v>
      </c>
      <c r="AY109" s="112" t="s">
        <v>178</v>
      </c>
      <c r="AZ109" s="113" t="s">
        <v>226</v>
      </c>
      <c r="BA109" s="114" t="s">
        <v>227</v>
      </c>
      <c r="BB109" s="136"/>
      <c r="BC109" s="119" t="s">
        <v>179</v>
      </c>
      <c r="BD109" s="137" t="s">
        <v>224</v>
      </c>
      <c r="BE109" s="137" t="s">
        <v>224</v>
      </c>
      <c r="BF109" s="138" t="s">
        <v>224</v>
      </c>
      <c r="BG109" s="136"/>
      <c r="BH109" s="118" t="s">
        <v>219</v>
      </c>
      <c r="BI109" s="119" t="s">
        <v>179</v>
      </c>
      <c r="BJ109" s="137" t="s">
        <v>224</v>
      </c>
      <c r="BK109" s="3" t="s">
        <v>219</v>
      </c>
      <c r="BL109" s="3" t="s">
        <v>179</v>
      </c>
      <c r="BM109" s="490" t="s">
        <v>224</v>
      </c>
      <c r="BN109" s="3" t="s">
        <v>219</v>
      </c>
      <c r="BO109" s="3" t="s">
        <v>179</v>
      </c>
      <c r="BP109" s="490" t="s">
        <v>224</v>
      </c>
      <c r="BQ109" s="136"/>
      <c r="BR109" s="136"/>
      <c r="BS109" s="136"/>
      <c r="BT109" s="118" t="s">
        <v>220</v>
      </c>
      <c r="BU109" s="119" t="s">
        <v>179</v>
      </c>
      <c r="BV109" s="137" t="s">
        <v>224</v>
      </c>
      <c r="BW109" s="119" t="s">
        <v>220</v>
      </c>
      <c r="BX109" s="119" t="s">
        <v>179</v>
      </c>
      <c r="BY109" s="137" t="s">
        <v>224</v>
      </c>
      <c r="BZ109" s="119" t="s">
        <v>220</v>
      </c>
      <c r="CA109" s="119" t="s">
        <v>179</v>
      </c>
      <c r="CB109" s="137" t="s">
        <v>224</v>
      </c>
      <c r="CC109" s="119" t="s">
        <v>221</v>
      </c>
      <c r="CD109" s="119" t="s">
        <v>179</v>
      </c>
      <c r="CE109" s="138" t="s">
        <v>224</v>
      </c>
      <c r="CF109" s="136"/>
      <c r="CG109" s="139" t="s">
        <v>224</v>
      </c>
      <c r="CH109" s="137" t="s">
        <v>224</v>
      </c>
      <c r="CI109" s="137" t="s">
        <v>224</v>
      </c>
      <c r="CJ109" s="137" t="s">
        <v>224</v>
      </c>
    </row>
    <row r="110" spans="2:88" ht="16" thickBot="1" x14ac:dyDescent="0.4">
      <c r="C110" s="117" t="s">
        <v>194</v>
      </c>
      <c r="D110" s="117"/>
      <c r="E110" s="11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  <c r="AL110" s="87"/>
      <c r="AM110" s="87"/>
      <c r="AN110" s="87"/>
      <c r="AO110" s="87"/>
      <c r="AP110" s="87"/>
      <c r="AQ110" s="87"/>
      <c r="AV110" s="117" t="s">
        <v>350</v>
      </c>
      <c r="AW110" s="117"/>
      <c r="AX110" s="117"/>
      <c r="AY110" s="87"/>
      <c r="AZ110" s="87"/>
      <c r="BA110" s="87"/>
      <c r="BB110" s="87"/>
      <c r="BC110" s="87"/>
      <c r="BD110" s="87"/>
      <c r="BE110" s="87"/>
      <c r="BF110" s="87"/>
      <c r="BG110" s="87"/>
      <c r="BH110" s="87"/>
      <c r="BI110" s="87"/>
      <c r="BJ110" s="87"/>
      <c r="BK110" s="491"/>
      <c r="BL110" s="491"/>
      <c r="BM110" s="491"/>
      <c r="BN110" s="491"/>
      <c r="BO110" s="491"/>
      <c r="BP110" s="491"/>
      <c r="BQ110" s="87"/>
      <c r="BR110" s="87"/>
      <c r="BS110" s="87"/>
      <c r="BT110" s="87"/>
      <c r="BU110" s="87"/>
      <c r="BV110" s="87"/>
      <c r="BW110" s="87"/>
      <c r="BX110" s="87"/>
      <c r="BY110" s="87"/>
      <c r="BZ110" s="87"/>
      <c r="CA110" s="87"/>
      <c r="CB110" s="87"/>
      <c r="CC110" s="87"/>
      <c r="CD110" s="87"/>
      <c r="CE110" s="87"/>
      <c r="CF110" s="87"/>
      <c r="CG110" s="87"/>
      <c r="CH110" s="87"/>
      <c r="CI110" s="87"/>
      <c r="CJ110" s="87"/>
    </row>
    <row r="111" spans="2:88" x14ac:dyDescent="0.35">
      <c r="B111" s="480">
        <f>DP!S18</f>
        <v>1</v>
      </c>
      <c r="C111" s="480" t="str">
        <f>DP!T18</f>
        <v xml:space="preserve">PALMITO ENTERO 800 </v>
      </c>
      <c r="D111" s="480">
        <f>DP!U18</f>
        <v>800</v>
      </c>
      <c r="E111" s="480">
        <f>DP!V18</f>
        <v>500</v>
      </c>
      <c r="F111" s="412">
        <f>IFERROR((H111*1000)/E111,0*1)</f>
        <v>0</v>
      </c>
      <c r="G111" s="470">
        <f>DP!Z18</f>
        <v>0</v>
      </c>
      <c r="H111" s="98">
        <f>$D$106*G111</f>
        <v>0</v>
      </c>
      <c r="I111" s="97"/>
      <c r="J111" s="101">
        <f t="shared" ref="J111:J129" si="100">IF(F111&gt;0,L111/F111,0*1)</f>
        <v>0</v>
      </c>
      <c r="K111" s="122">
        <f t="shared" ref="K111:K129" si="101">IF(F111&gt;0,M111/F111,0*1)</f>
        <v>0</v>
      </c>
      <c r="L111" s="140">
        <f t="shared" ref="L111:L129" si="102">IF(F111&gt;0,M111+AQ111,0*1)</f>
        <v>0</v>
      </c>
      <c r="M111" s="123">
        <f t="shared" ref="M111:M129" si="103">IF(F111&gt;0,(S111+V111+Y111+AC111+AF111+AI111+AL111+AN111),0*1)</f>
        <v>0</v>
      </c>
      <c r="N111" s="100"/>
      <c r="O111" s="102">
        <f>($E111/DP!$N$29)*F111</f>
        <v>0</v>
      </c>
      <c r="P111" s="102">
        <f>IF(O111&gt;0,(DP!$N$31),0*1)</f>
        <v>0</v>
      </c>
      <c r="Q111" s="102">
        <f>O111*P111</f>
        <v>0</v>
      </c>
      <c r="R111" s="102">
        <f>IF(O111&gt;0,S111/O111,0*1)</f>
        <v>0</v>
      </c>
      <c r="S111" s="418">
        <f>IFERROR(IF(B111=1,(S$133+70%*S$134)/(SUMIF($B$111:$B$129,1,$H$111:$H$129))*H111,(30%*S$134)/(SUMIF($B$111:$B$129,0,$H$111:$H$129))*H111),0*1)</f>
        <v>0</v>
      </c>
      <c r="T111" s="475">
        <f>H111*DP!$Q$44</f>
        <v>0</v>
      </c>
      <c r="U111" s="475">
        <f>IF(H111&gt;0,DP!$R$44,0*1)</f>
        <v>0</v>
      </c>
      <c r="V111" s="475">
        <f>T111*U111</f>
        <v>0</v>
      </c>
      <c r="W111" s="475">
        <f>H111*DP!$Q$45</f>
        <v>0</v>
      </c>
      <c r="X111" s="475">
        <f>IF(H111&gt;0,DP!$R$45,0*1)</f>
        <v>0</v>
      </c>
      <c r="Y111" s="475">
        <f>W111*X111</f>
        <v>0</v>
      </c>
      <c r="Z111" s="100"/>
      <c r="AA111" s="93">
        <f>IF(D111=DP!$L$15,F111*(1+DP!$N$15),IF(D111=DP!$L$16,F111*(1+DP!$N$16),IF(D111=DP!$L$17,F111*(1+DP!$N$17),IF(D111=DP!$L$18,F111*(1+DP!$N$18),0*1))))</f>
        <v>0</v>
      </c>
      <c r="AB111" s="102">
        <f>IF(D111=DP!$L$22,(DP!$M$22),IF(D111=DP!$L$23,(DP!$M$23),IF(D111=DP!$L$24,(DP!$M$24),IF(D111=DP!$L$25,(DP!$M$25),((0*1))))))</f>
        <v>0</v>
      </c>
      <c r="AC111" s="93">
        <f>AA111*AB111</f>
        <v>0</v>
      </c>
      <c r="AD111" s="93">
        <f>IF(D111=DP!$L$15,F111*(1+DP!$N$15),IF(D111=DP!$L$16,F111*(1+DP!$N$16),IF(D111=DP!$L$17,F111*(1+DP!$N$17),IF(D111=DP!$L$18,F111*(1+DP!$N$18),0*1))))</f>
        <v>0</v>
      </c>
      <c r="AE111" s="102">
        <f>IF(D111=DP!$L$22,(DP!$N$22),IF(D111=DP!$L$23,(DP!$N$23),IF(D111=DP!$L$24,(DP!$N$24),IF(D111=DP!$L$25,(DP!$N$25),((0*1))))))</f>
        <v>0</v>
      </c>
      <c r="AF111" s="93">
        <f>AD111*AE111</f>
        <v>0</v>
      </c>
      <c r="AG111" s="93">
        <f>IF(D111=DP!$L$15,(F111/DP!$K$15)*(1+DP!$N$15),IF(D111=DP!$L$16,(F111/DP!$K$16)*(1+DP!$N$16),IF(D111=DP!$L$17,(F111/DP!$K$17)*(1+DP!$N$17),IF(D111=DP!$L$18,(F111/DP!$K$18)*(1+DP!$N$18),0*1))))</f>
        <v>0</v>
      </c>
      <c r="AH111" s="102">
        <f>IF(D111=DP!$L$22,(DP!$O$22),IF(D111=DP!$L$23,(DP!$O$23),IF(D111=DP!$L$24,(DP!$O$24),IF(D111=DP!$L$25,(DP!$O$25),((0*1))))))</f>
        <v>0</v>
      </c>
      <c r="AI111" s="93">
        <f>AG111*AH111</f>
        <v>0</v>
      </c>
      <c r="AJ111" s="93">
        <f>IF(D111=DP!$L$15,F111*(1+DP!$N$15),IF(D111=DP!$L$16,F111*(1+DP!$N$16),IF(D111=DP!$L$17,F111*(1+DP!$N$17),IF(D111=DP!$L$18,F111*(1+DP!$N$18),0*1))))</f>
        <v>0</v>
      </c>
      <c r="AK111" s="102">
        <f>IF(D111=DP!$L$22,(DP!$P$22),IF(D111=DP!$L$23,(DP!$P$23),IF(D111=DP!$L$24,(DP!$P$24),IF(D111=DP!$L$25,(DP!$P$25),((0*1))))))</f>
        <v>0</v>
      </c>
      <c r="AL111" s="93">
        <f>AJ111*AK111</f>
        <v>0</v>
      </c>
      <c r="AM111" s="100"/>
      <c r="AN111" s="149">
        <f t="shared" ref="AN111:AN129" si="104">IF(F111&gt;0,AN$131/H$130*H111,0*1)</f>
        <v>0</v>
      </c>
      <c r="AO111" s="149">
        <f>DP!$N$35*H111</f>
        <v>0</v>
      </c>
      <c r="AP111" s="149">
        <f>DP!$O$35*H111</f>
        <v>0</v>
      </c>
      <c r="AQ111" s="149">
        <f>DP!$P$35*H111</f>
        <v>0</v>
      </c>
      <c r="AV111" s="489" t="str">
        <f>DP!AV18</f>
        <v>PIÑA RODAJA 850</v>
      </c>
      <c r="AW111" s="489">
        <f>DP!AW18</f>
        <v>850</v>
      </c>
      <c r="AX111" s="489">
        <f>DP!AX18</f>
        <v>425</v>
      </c>
      <c r="AY111" s="412">
        <f>IFERROR((BA111*1000)/AX111,0*1)</f>
        <v>0</v>
      </c>
      <c r="AZ111" s="470">
        <f>DP!BB18</f>
        <v>0</v>
      </c>
      <c r="BA111" s="98">
        <f>$AW$106*AZ111</f>
        <v>0</v>
      </c>
      <c r="BB111" s="97"/>
      <c r="BC111" s="101">
        <f t="shared" ref="BC111:BC129" si="105">IF(AY111&gt;0,BE111/AY111,0*1)</f>
        <v>0</v>
      </c>
      <c r="BD111" s="122">
        <f t="shared" ref="BD111:BD129" si="106">IF(AY111&gt;0,BF111/AY111,0*1)</f>
        <v>0</v>
      </c>
      <c r="BE111" s="140">
        <f t="shared" ref="BE111:BE129" si="107">IF(AY111&gt;0,BF111+CJ111,0*1)</f>
        <v>0</v>
      </c>
      <c r="BF111" s="123">
        <f t="shared" ref="BF111:BF129" si="108">IF(AY111&gt;0,(BJ111+BM111+BP111+BV111+BY111+CB111+CE111+CG111),0*1)</f>
        <v>0</v>
      </c>
      <c r="BG111" s="100"/>
      <c r="BH111" s="102">
        <f>IFERROR((BA111*100%)/DP!$AP$29,(0*1))</f>
        <v>0</v>
      </c>
      <c r="BI111" s="102">
        <f>IF(BH111&gt;0,(DP!$AP$31),0*1)</f>
        <v>0</v>
      </c>
      <c r="BJ111" s="435">
        <f>BH111*BI111</f>
        <v>0</v>
      </c>
      <c r="BK111" s="475">
        <f>BA111*DP!$AS$44</f>
        <v>0</v>
      </c>
      <c r="BL111" s="475">
        <f>IF(BA111&gt;0,DP!$AT$44,0*1)</f>
        <v>0</v>
      </c>
      <c r="BM111" s="475">
        <f>BK111*BL111</f>
        <v>0</v>
      </c>
      <c r="BN111" s="102">
        <f>BA111*DP!$AS$45</f>
        <v>0</v>
      </c>
      <c r="BO111" s="102">
        <f>IF(BA111&gt;0,DP!$AT$45,0*1)</f>
        <v>0</v>
      </c>
      <c r="BP111" s="475">
        <f>BN111*BO111</f>
        <v>0</v>
      </c>
      <c r="BQ111" s="100"/>
      <c r="BR111" s="100"/>
      <c r="BS111" s="100"/>
      <c r="BT111" s="93">
        <f>IF(AW111=DP!$AN$15,AY111*(1+DP!$AP$15),IF(AW111=DP!$AN$16,AY111*(1+DP!$AP$16),IF(AW111=DP!$AN$17,AY111*(1+DP!$AP$17),IF(AW111=DP!$AN$18,AY111*(1+DP!$AP$18),0*1))))</f>
        <v>0</v>
      </c>
      <c r="BU111" s="102">
        <f>IF(AW111=DP!$AN$22,(DP!$AO$22),IF(AW111=DP!$AN$23,(DP!$AO$23),IF(AW111=DP!$AN$24,(DP!$AO$24),IF(AW111=DP!$AN$25,(DP!$AO$25),((0*1))))))</f>
        <v>0</v>
      </c>
      <c r="BV111" s="93">
        <f>BT111*BU111</f>
        <v>0</v>
      </c>
      <c r="BW111" s="93">
        <f>IF(AW111=DP!$AN$15,AY111*(1+DP!$AP$15),IF(AW111=DP!$AN$16,AY111*(1+DP!$AP$16),IF(AW111=DP!$AN$17,AY111*(1+DP!$AP$17),IF(AW111=DP!$AN$18,AY111*(1+DP!$AP$18),0*1))))</f>
        <v>0</v>
      </c>
      <c r="BX111" s="102">
        <f>IF(AW111=DP!$AN$22,(DP!$AP$22),IF(AW111=DP!$AN$23,(DP!$AP$23),IF(AW111=DP!$AN$24,(DP!$AP$24),IF(AW111=DP!$AN$25,(DP!$AP$25),((0*1))))))</f>
        <v>0</v>
      </c>
      <c r="BY111" s="93">
        <f>BW111*BX111</f>
        <v>0</v>
      </c>
      <c r="BZ111" s="93">
        <f>IF(AW111=DP!$AN$15,(AY111/DP!$AM$15)*(1+DP!$AP$15),IF(AW111=DP!$AN$16,(AY111/DP!$AM$16)*(1+DP!$AP$16),IF(AW111=DP!$AN$17,(AY111/DP!$AM$17)*(1+DP!$AP$17),IF(AW111=DP!$AN$18,(AY111/DP!$AM$18)*(1+DP!$AP$18),0*1))))</f>
        <v>0</v>
      </c>
      <c r="CA111" s="102">
        <f>IF(AW111=DP!$AN$22,(DP!$AQ$22),IF(AW111=DP!$AN$23,(DP!$AQ$23),IF(AW111=DP!$AN$24,(DP!$AQ$24),IF(AW111=DP!$AN$25,(DP!$AQ$25),((0*1))))))</f>
        <v>0</v>
      </c>
      <c r="CB111" s="93">
        <f>BZ111*CA111</f>
        <v>0</v>
      </c>
      <c r="CC111" s="93">
        <f>IF(AW111=DP!$AN$15,AY111*(1+DP!$AP$15),IF(AW111=DP!$AN$16,AY111*(1+DP!$AP$16),IF(AW111=DP!$AN$17,AY111*(1+DP!$AP$17),IF(AW111=DP!$AN$18,AY111*(1+DP!$AP$18),0*1))))</f>
        <v>0</v>
      </c>
      <c r="CD111" s="102">
        <f>IF(AW111=DP!$AN$22,(DP!$AR$22),IF(AW111=DP!$AN$23,(DP!$AR$23),IF(AW111=DP!$AN$24,(DP!$AR$24),IF(AW111=DP!$AN$25,(DP!$AR$25),((0*1))))))</f>
        <v>0</v>
      </c>
      <c r="CE111" s="93">
        <f>CC111*CD111</f>
        <v>0</v>
      </c>
      <c r="CF111" s="100"/>
      <c r="CG111" s="149">
        <f t="shared" ref="CG111:CG129" si="109">IF(AY111&gt;0,CG$131/BA$130*BA111,0*1)</f>
        <v>0</v>
      </c>
      <c r="CH111" s="149">
        <f>DP!$N$35*BA111</f>
        <v>0</v>
      </c>
      <c r="CI111" s="149">
        <f>DP!$O$35*BA111</f>
        <v>0</v>
      </c>
      <c r="CJ111" s="149">
        <f>DP!$P$35*BA111</f>
        <v>0</v>
      </c>
    </row>
    <row r="112" spans="2:88" x14ac:dyDescent="0.35">
      <c r="B112" s="480">
        <f>DP!S19</f>
        <v>0</v>
      </c>
      <c r="C112" s="480" t="str">
        <f>DP!T19</f>
        <v>PALMITO RODAJA 800</v>
      </c>
      <c r="D112" s="480">
        <f>DP!U19</f>
        <v>800</v>
      </c>
      <c r="E112" s="480">
        <f>DP!V19</f>
        <v>500</v>
      </c>
      <c r="F112" s="412">
        <f t="shared" ref="F112:F129" si="110">IFERROR((H112*1000)/E112,0*1)</f>
        <v>0</v>
      </c>
      <c r="G112" s="470">
        <f>DP!Z19</f>
        <v>0</v>
      </c>
      <c r="H112" s="98">
        <f t="shared" ref="H112:H129" si="111">$D$106*G112</f>
        <v>0</v>
      </c>
      <c r="I112" s="97"/>
      <c r="J112" s="102">
        <f t="shared" si="100"/>
        <v>0</v>
      </c>
      <c r="K112" s="98">
        <f t="shared" si="101"/>
        <v>0</v>
      </c>
      <c r="L112" s="93">
        <f t="shared" si="102"/>
        <v>0</v>
      </c>
      <c r="M112" s="99">
        <f t="shared" si="103"/>
        <v>0</v>
      </c>
      <c r="N112" s="100"/>
      <c r="O112" s="102">
        <f>($E112/DP!$N$29)*F112</f>
        <v>0</v>
      </c>
      <c r="P112" s="102">
        <f>IF(O112&gt;0,(DP!$N$31),0*1)</f>
        <v>0</v>
      </c>
      <c r="Q112" s="102">
        <f t="shared" ref="Q112:Q129" si="112">O112*P112</f>
        <v>0</v>
      </c>
      <c r="R112" s="102">
        <f t="shared" ref="R112:R129" si="113">IF(O112&gt;0,S112/O112,0*1)</f>
        <v>0</v>
      </c>
      <c r="S112" s="418">
        <f t="shared" ref="S112:S129" si="114">IFERROR(IF(B112=1,(S$133+70%*S$134)/(SUMIF($B$111:$B$129,1,$H$111:$H$129))*H112,(30%*S$134)/(SUMIF($B$111:$B$129,0,$H$111:$H$129))*H112),0*1)</f>
        <v>0</v>
      </c>
      <c r="T112" s="475">
        <f>H112*DP!$Q$44</f>
        <v>0</v>
      </c>
      <c r="U112" s="475">
        <f>IF(H112&gt;0,DP!$R$44,0*1)</f>
        <v>0</v>
      </c>
      <c r="V112" s="475">
        <f t="shared" ref="V112:V129" si="115">T112*U112</f>
        <v>0</v>
      </c>
      <c r="W112" s="475">
        <f>H112*DP!$Q$45</f>
        <v>0</v>
      </c>
      <c r="X112" s="475">
        <f>IF(H112&gt;0,DP!$R$45,0*1)</f>
        <v>0</v>
      </c>
      <c r="Y112" s="475">
        <f t="shared" ref="Y112:Y129" si="116">W112*X112</f>
        <v>0</v>
      </c>
      <c r="Z112" s="100"/>
      <c r="AA112" s="93">
        <f>IF(D112=DP!$L$15,F112*(1+DP!$N$15),IF(D112=DP!$L$16,F112*(1+DP!$N$16),IF(D112=DP!$L$17,F112*(1+DP!$N$17),IF(D112=DP!$L$18,F112*(1+DP!$N$18),0*1))))</f>
        <v>0</v>
      </c>
      <c r="AB112" s="102">
        <f>IF(D112=DP!$L$22,(DP!$M$22),IF(D112=DP!$L$23,(DP!$M$23),IF(D112=DP!$L$24,(DP!$M$24),IF(D112=DP!$L$25,(DP!$M$25),((0*1))))))</f>
        <v>0</v>
      </c>
      <c r="AC112" s="93">
        <f t="shared" ref="AC112:AC129" si="117">AA112*AB112</f>
        <v>0</v>
      </c>
      <c r="AD112" s="93">
        <f>IF(D112=DP!$L$15,F112*(1+DP!$N$15),IF(D112=DP!$L$16,F112*(1+DP!$N$16),IF(D112=DP!$L$17,F112*(1+DP!$N$17),IF(D112=DP!$L$18,F112*(1+DP!$N$18),0*1))))</f>
        <v>0</v>
      </c>
      <c r="AE112" s="102">
        <f>IF(D112=DP!$L$22,(DP!$N$22),IF(D112=DP!$L$23,(DP!$N$23),IF(D112=DP!$L$24,(DP!$N$24),IF(D112=DP!$L$25,(DP!$N$25),((0*1))))))</f>
        <v>0</v>
      </c>
      <c r="AF112" s="93">
        <f t="shared" ref="AF112:AF129" si="118">AD112*AE112</f>
        <v>0</v>
      </c>
      <c r="AG112" s="93">
        <f>IF(D112=DP!$L$15,(F112/DP!$K$15)*(1+DP!$N$15),IF(D112=DP!$L$16,(F112/DP!$K$16)*(1+DP!$N$16),IF(D112=DP!$L$17,(F112/DP!$K$17)*(1+DP!$N$17),IF(D112=DP!$L$18,(F112/DP!$K$18)*(1+DP!$N$18),0*1))))</f>
        <v>0</v>
      </c>
      <c r="AH112" s="102">
        <f>IF(D112=DP!$L$22,(DP!$O$22),IF(D112=DP!$L$23,(DP!$O$23),IF(D112=DP!$L$24,(DP!$O$24),IF(D112=DP!$L$25,(DP!$O$25),((0*1))))))</f>
        <v>0</v>
      </c>
      <c r="AI112" s="93">
        <f t="shared" ref="AI112:AI129" si="119">AG112*AH112</f>
        <v>0</v>
      </c>
      <c r="AJ112" s="93">
        <f>IF(D112=DP!$L$15,F112*(1+DP!$N$15),IF(D112=DP!$L$16,F112*(1+DP!$N$16),IF(D112=DP!$L$17,F112*(1+DP!$N$17),IF(D112=DP!$L$18,F112*(1+DP!$N$18),0*1))))</f>
        <v>0</v>
      </c>
      <c r="AK112" s="102">
        <f>IF(D112=DP!$L$22,(DP!$P$22),IF(D112=DP!$L$23,(DP!$P$23),IF(D112=DP!$L$24,(DP!$P$24),IF(D112=DP!$L$25,(DP!$P$25),((0*1))))))</f>
        <v>0</v>
      </c>
      <c r="AL112" s="93">
        <f t="shared" ref="AL112:AL129" si="120">AJ112*AK112</f>
        <v>0</v>
      </c>
      <c r="AM112" s="100"/>
      <c r="AN112" s="149">
        <f t="shared" si="104"/>
        <v>0</v>
      </c>
      <c r="AO112" s="149">
        <f>DP!$N$35*H112</f>
        <v>0</v>
      </c>
      <c r="AP112" s="149">
        <f>DP!$O$35*H112</f>
        <v>0</v>
      </c>
      <c r="AQ112" s="149">
        <f>DP!$P$35*H112</f>
        <v>0</v>
      </c>
      <c r="AV112" s="489" t="str">
        <f>DP!AV19</f>
        <v>PIÑA TROZO 850</v>
      </c>
      <c r="AW112" s="489">
        <f>DP!AW19</f>
        <v>850</v>
      </c>
      <c r="AX112" s="489">
        <f>DP!AX19</f>
        <v>440</v>
      </c>
      <c r="AY112" s="412">
        <f t="shared" ref="AY112:AY129" si="121">IFERROR((BA112*1000)/AX112,0*1)</f>
        <v>0</v>
      </c>
      <c r="AZ112" s="470">
        <f>DP!BB19</f>
        <v>0</v>
      </c>
      <c r="BA112" s="98">
        <f t="shared" ref="BA112:BA129" si="122">$AW$106*AZ112</f>
        <v>0</v>
      </c>
      <c r="BB112" s="97"/>
      <c r="BC112" s="102">
        <f t="shared" si="105"/>
        <v>0</v>
      </c>
      <c r="BD112" s="98">
        <f t="shared" si="106"/>
        <v>0</v>
      </c>
      <c r="BE112" s="93">
        <f t="shared" si="107"/>
        <v>0</v>
      </c>
      <c r="BF112" s="99">
        <f t="shared" si="108"/>
        <v>0</v>
      </c>
      <c r="BG112" s="100"/>
      <c r="BH112" s="102">
        <f>IFERROR((BA112*100%)/DP!$AP$29,(0*1))</f>
        <v>0</v>
      </c>
      <c r="BI112" s="102">
        <f>IF(BH112&gt;0,(DP!$AP$31),0*1)</f>
        <v>0</v>
      </c>
      <c r="BJ112" s="435">
        <f t="shared" ref="BJ112:BJ129" si="123">BH112*BI112</f>
        <v>0</v>
      </c>
      <c r="BK112" s="475">
        <f>BA112*DP!$AS$44</f>
        <v>0</v>
      </c>
      <c r="BL112" s="475">
        <f>IF(BA112&gt;0,DP!$AT$44,0*1)</f>
        <v>0</v>
      </c>
      <c r="BM112" s="475">
        <f t="shared" ref="BM112:BM129" si="124">BK112*BL112</f>
        <v>0</v>
      </c>
      <c r="BN112" s="102">
        <f>BA112*DP!$AS$45</f>
        <v>0</v>
      </c>
      <c r="BO112" s="102">
        <f>IF(BA112&gt;0,DP!$AT$45,0*1)</f>
        <v>0</v>
      </c>
      <c r="BP112" s="475">
        <f t="shared" ref="BP112:BP129" si="125">BN112*BO112</f>
        <v>0</v>
      </c>
      <c r="BQ112" s="100"/>
      <c r="BR112" s="100"/>
      <c r="BS112" s="100"/>
      <c r="BT112" s="93">
        <f>IF(AW112=DP!$AN$15,AY112*(1+DP!$AP$15),IF(AW112=DP!$AN$16,AY112*(1+DP!$AP$16),IF(AW112=DP!$AN$17,AY112*(1+DP!$AP$17),IF(AW112=DP!$AN$18,AY112*(1+DP!$AP$18),0*1))))</f>
        <v>0</v>
      </c>
      <c r="BU112" s="102">
        <f>IF(AW112=DP!$AN$22,(DP!$AO$22),IF(AW112=DP!$AN$23,(DP!$AO$23),IF(AW112=DP!$AN$24,(DP!$AO$24),IF(AW112=DP!$AN$25,(DP!$AO$25),((0*1))))))</f>
        <v>0</v>
      </c>
      <c r="BV112" s="93">
        <f t="shared" ref="BV112:BV129" si="126">BT112*BU112</f>
        <v>0</v>
      </c>
      <c r="BW112" s="93">
        <f>IF(AW112=DP!$AN$15,AY112*(1+DP!$AP$15),IF(AW112=DP!$AN$16,AY112*(1+DP!$AP$16),IF(AW112=DP!$AN$17,AY112*(1+DP!$AP$17),IF(AW112=DP!$AN$18,AY112*(1+DP!$AP$18),0*1))))</f>
        <v>0</v>
      </c>
      <c r="BX112" s="102">
        <f>IF(AW112=DP!$AN$22,(DP!$AP$22),IF(AW112=DP!$AN$23,(DP!$AP$23),IF(AW112=DP!$AN$24,(DP!$AP$24),IF(AW112=DP!$AN$25,(DP!$AP$25),((0*1))))))</f>
        <v>0</v>
      </c>
      <c r="BY112" s="93">
        <f t="shared" ref="BY112:BY122" si="127">BW112*BX112</f>
        <v>0</v>
      </c>
      <c r="BZ112" s="93">
        <f>IF(AW112=DP!$AN$15,(AY112/DP!$AM$15)*(1+DP!$AP$15),IF(AW112=DP!$AN$16,(AY112/DP!$AM$16)*(1+DP!$AP$16),IF(AW112=DP!$AN$17,(AY112/DP!$AM$17)*(1+DP!$AP$17),IF(AW112=DP!$AN$18,(AY112/DP!$AM$18)*(1+DP!$AP$18),0*1))))</f>
        <v>0</v>
      </c>
      <c r="CA112" s="102">
        <f>IF(AW112=DP!$AN$22,(DP!$AQ$22),IF(AW112=DP!$AN$23,(DP!$AQ$23),IF(AW112=DP!$AN$24,(DP!$AQ$24),IF(AW112=DP!$AN$25,(DP!$AQ$25),((0*1))))))</f>
        <v>0</v>
      </c>
      <c r="CB112" s="93">
        <f t="shared" ref="CB112:CB129" si="128">BZ112*CA112</f>
        <v>0</v>
      </c>
      <c r="CC112" s="93">
        <f>IF(AW112=DP!$AN$15,AY112*(1+DP!$AP$15),IF(AW112=DP!$AN$16,AY112*(1+DP!$AP$16),IF(AW112=DP!$AN$17,AY112*(1+DP!$AP$17),IF(AW112=DP!$AN$18,AY112*(1+DP!$AP$18),0*1))))</f>
        <v>0</v>
      </c>
      <c r="CD112" s="102">
        <f>IF(AW112=DP!$AN$22,(DP!$AR$22),IF(AW112=DP!$AN$23,(DP!$AR$23),IF(AW112=DP!$AN$24,(DP!$AR$24),IF(AW112=DP!$AN$25,(DP!$AR$25),((0*1))))))</f>
        <v>0</v>
      </c>
      <c r="CE112" s="93">
        <f t="shared" ref="CE112:CE129" si="129">CC112*CD112</f>
        <v>0</v>
      </c>
      <c r="CF112" s="100"/>
      <c r="CG112" s="149">
        <f t="shared" si="109"/>
        <v>0</v>
      </c>
      <c r="CH112" s="149">
        <f>DP!$N$35*BA112</f>
        <v>0</v>
      </c>
      <c r="CI112" s="149">
        <f>DP!$O$35*BA112</f>
        <v>0</v>
      </c>
      <c r="CJ112" s="149">
        <f>DP!$P$35*BA112</f>
        <v>0</v>
      </c>
    </row>
    <row r="113" spans="2:88" x14ac:dyDescent="0.35">
      <c r="B113" s="480">
        <f>DP!S20</f>
        <v>0</v>
      </c>
      <c r="C113" s="480" t="str">
        <f>DP!T20</f>
        <v>PALMITO TROZO 800</v>
      </c>
      <c r="D113" s="480">
        <f>DP!U20</f>
        <v>800</v>
      </c>
      <c r="E113" s="480">
        <f>DP!V20</f>
        <v>500</v>
      </c>
      <c r="F113" s="412">
        <f t="shared" si="110"/>
        <v>0</v>
      </c>
      <c r="G113" s="470">
        <f>DP!Z20</f>
        <v>0</v>
      </c>
      <c r="H113" s="98">
        <f t="shared" si="111"/>
        <v>0</v>
      </c>
      <c r="I113" s="97"/>
      <c r="J113" s="102">
        <f t="shared" si="100"/>
        <v>0</v>
      </c>
      <c r="K113" s="98">
        <f t="shared" si="101"/>
        <v>0</v>
      </c>
      <c r="L113" s="93">
        <f t="shared" si="102"/>
        <v>0</v>
      </c>
      <c r="M113" s="99">
        <f t="shared" si="103"/>
        <v>0</v>
      </c>
      <c r="N113" s="100"/>
      <c r="O113" s="102">
        <f>($E113/DP!$N$29)*F113</f>
        <v>0</v>
      </c>
      <c r="P113" s="102">
        <f>IF(O113&gt;0,(DP!$N$31),0*1)</f>
        <v>0</v>
      </c>
      <c r="Q113" s="102">
        <f t="shared" si="112"/>
        <v>0</v>
      </c>
      <c r="R113" s="102">
        <f t="shared" si="113"/>
        <v>0</v>
      </c>
      <c r="S113" s="418">
        <f t="shared" si="114"/>
        <v>0</v>
      </c>
      <c r="T113" s="475">
        <f>H113*DP!$Q$44</f>
        <v>0</v>
      </c>
      <c r="U113" s="475">
        <f>IF(H113&gt;0,DP!$R$44,0*1)</f>
        <v>0</v>
      </c>
      <c r="V113" s="475">
        <f t="shared" si="115"/>
        <v>0</v>
      </c>
      <c r="W113" s="475">
        <f>H113*DP!$Q$45</f>
        <v>0</v>
      </c>
      <c r="X113" s="475">
        <f>IF(H113&gt;0,DP!$R$45,0*1)</f>
        <v>0</v>
      </c>
      <c r="Y113" s="475">
        <f t="shared" si="116"/>
        <v>0</v>
      </c>
      <c r="Z113" s="100"/>
      <c r="AA113" s="93">
        <f>IF(D113=DP!$L$15,F113*(1+DP!$N$15),IF(D113=DP!$L$16,F113*(1+DP!$N$16),IF(D113=DP!$L$17,F113*(1+DP!$N$17),IF(D113=DP!$L$18,F113*(1+DP!$N$18),0*1))))</f>
        <v>0</v>
      </c>
      <c r="AB113" s="102">
        <f>IF(D113=DP!$L$22,(DP!$M$22),IF(D113=DP!$L$23,(DP!$M$23),IF(D113=DP!$L$24,(DP!$M$24),IF(D113=DP!$L$25,(DP!$M$25),((0*1))))))</f>
        <v>0</v>
      </c>
      <c r="AC113" s="93">
        <f t="shared" si="117"/>
        <v>0</v>
      </c>
      <c r="AD113" s="93">
        <f>IF(D113=DP!$L$15,F113*(1+DP!$N$15),IF(D113=DP!$L$16,F113*(1+DP!$N$16),IF(D113=DP!$L$17,F113*(1+DP!$N$17),IF(D113=DP!$L$18,F113*(1+DP!$N$18),0*1))))</f>
        <v>0</v>
      </c>
      <c r="AE113" s="102">
        <f>IF(D113=DP!$L$22,(DP!$N$22),IF(D113=DP!$L$23,(DP!$N$23),IF(D113=DP!$L$24,(DP!$N$24),IF(D113=DP!$L$25,(DP!$N$25),((0*1))))))</f>
        <v>0</v>
      </c>
      <c r="AF113" s="93">
        <f t="shared" si="118"/>
        <v>0</v>
      </c>
      <c r="AG113" s="93">
        <f>IF(D113=DP!$L$15,(F113/DP!$K$15)*(1+DP!$N$15),IF(D113=DP!$L$16,(F113/DP!$K$16)*(1+DP!$N$16),IF(D113=DP!$L$17,(F113/DP!$K$17)*(1+DP!$N$17),IF(D113=DP!$L$18,(F113/DP!$K$18)*(1+DP!$N$18),0*1))))</f>
        <v>0</v>
      </c>
      <c r="AH113" s="102">
        <f>IF(D113=DP!$L$22,(DP!$O$22),IF(D113=DP!$L$23,(DP!$O$23),IF(D113=DP!$L$24,(DP!$O$24),IF(D113=DP!$L$25,(DP!$O$25),((0*1))))))</f>
        <v>0</v>
      </c>
      <c r="AI113" s="93">
        <f t="shared" si="119"/>
        <v>0</v>
      </c>
      <c r="AJ113" s="93">
        <f>IF(D113=DP!$L$15,F113*(1+DP!$N$15),IF(D113=DP!$L$16,F113*(1+DP!$N$16),IF(D113=DP!$L$17,F113*(1+DP!$N$17),IF(D113=DP!$L$18,F113*(1+DP!$N$18),0*1))))</f>
        <v>0</v>
      </c>
      <c r="AK113" s="102">
        <f>IF(D113=DP!$L$22,(DP!$P$22),IF(D113=DP!$L$23,(DP!$P$23),IF(D113=DP!$L$24,(DP!$P$24),IF(D113=DP!$L$25,(DP!$P$25),((0*1))))))</f>
        <v>0</v>
      </c>
      <c r="AL113" s="93">
        <f t="shared" si="120"/>
        <v>0</v>
      </c>
      <c r="AM113" s="100"/>
      <c r="AN113" s="149">
        <f t="shared" si="104"/>
        <v>0</v>
      </c>
      <c r="AO113" s="149">
        <f>DP!$N$35*H113</f>
        <v>0</v>
      </c>
      <c r="AP113" s="149">
        <f>DP!$O$35*H113</f>
        <v>0</v>
      </c>
      <c r="AQ113" s="149">
        <f>DP!$P$35*H113</f>
        <v>0</v>
      </c>
      <c r="AV113" s="489" t="str">
        <f>DP!AV20</f>
        <v>PIÑA TROZO A-10</v>
      </c>
      <c r="AW113" s="489">
        <f>DP!AW20</f>
        <v>2920</v>
      </c>
      <c r="AX113" s="489">
        <f>DP!AX20</f>
        <v>1825</v>
      </c>
      <c r="AY113" s="412">
        <f t="shared" si="121"/>
        <v>0</v>
      </c>
      <c r="AZ113" s="470">
        <f>DP!BB20</f>
        <v>0</v>
      </c>
      <c r="BA113" s="98">
        <f t="shared" si="122"/>
        <v>0</v>
      </c>
      <c r="BB113" s="97"/>
      <c r="BC113" s="102">
        <f t="shared" si="105"/>
        <v>0</v>
      </c>
      <c r="BD113" s="98">
        <f t="shared" si="106"/>
        <v>0</v>
      </c>
      <c r="BE113" s="93">
        <f t="shared" si="107"/>
        <v>0</v>
      </c>
      <c r="BF113" s="99">
        <f t="shared" si="108"/>
        <v>0</v>
      </c>
      <c r="BG113" s="100"/>
      <c r="BH113" s="102">
        <f>IFERROR((BA113*100%)/DP!$AP$29,(0*1))</f>
        <v>0</v>
      </c>
      <c r="BI113" s="102">
        <f>IF(BH113&gt;0,(DP!$AP$31),0*1)</f>
        <v>0</v>
      </c>
      <c r="BJ113" s="435">
        <f t="shared" si="123"/>
        <v>0</v>
      </c>
      <c r="BK113" s="475">
        <f>BA113*DP!$AS$44</f>
        <v>0</v>
      </c>
      <c r="BL113" s="475">
        <f>IF(BA113&gt;0,DP!$AT$44,0*1)</f>
        <v>0</v>
      </c>
      <c r="BM113" s="475">
        <f t="shared" si="124"/>
        <v>0</v>
      </c>
      <c r="BN113" s="102">
        <f>BA113*DP!$AS$45</f>
        <v>0</v>
      </c>
      <c r="BO113" s="102">
        <f>IF(BA113&gt;0,DP!$AT$45,0*1)</f>
        <v>0</v>
      </c>
      <c r="BP113" s="475">
        <f t="shared" si="125"/>
        <v>0</v>
      </c>
      <c r="BQ113" s="100"/>
      <c r="BR113" s="100"/>
      <c r="BS113" s="100"/>
      <c r="BT113" s="93">
        <f>IF(AW113=DP!$AN$15,AY113*(1+DP!$AP$15),IF(AW113=DP!$AN$16,AY113*(1+DP!$AP$16),IF(AW113=DP!$AN$17,AY113*(1+DP!$AP$17),IF(AW113=DP!$AN$18,AY113*(1+DP!$AP$18),0*1))))</f>
        <v>0</v>
      </c>
      <c r="BU113" s="102">
        <f>IF(AW113=DP!$AN$22,(DP!$AO$22),IF(AW113=DP!$AN$23,(DP!$AO$23),IF(AW113=DP!$AN$24,(DP!$AO$24),IF(AW113=DP!$AN$25,(DP!$AO$25),((0*1))))))</f>
        <v>0</v>
      </c>
      <c r="BV113" s="93">
        <f t="shared" si="126"/>
        <v>0</v>
      </c>
      <c r="BW113" s="93">
        <f>IF(AW113=DP!$AN$15,AY113*(1+DP!$AP$15),IF(AW113=DP!$AN$16,AY113*(1+DP!$AP$16),IF(AW113=DP!$AN$17,AY113*(1+DP!$AP$17),IF(AW113=DP!$AN$18,AY113*(1+DP!$AP$18),0*1))))</f>
        <v>0</v>
      </c>
      <c r="BX113" s="102">
        <f>IF(AW113=DP!$AN$22,(DP!$AP$22),IF(AW113=DP!$AN$23,(DP!$AP$23),IF(AW113=DP!$AN$24,(DP!$AP$24),IF(AW113=DP!$AN$25,(DP!$AP$25),((0*1))))))</f>
        <v>0</v>
      </c>
      <c r="BY113" s="93">
        <f t="shared" si="127"/>
        <v>0</v>
      </c>
      <c r="BZ113" s="93">
        <f>IF(AW113=DP!$AN$15,(AY113/DP!$AM$15)*(1+DP!$AP$15),IF(AW113=DP!$AN$16,(AY113/DP!$AM$16)*(1+DP!$AP$16),IF(AW113=DP!$AN$17,(AY113/DP!$AM$17)*(1+DP!$AP$17),IF(AW113=DP!$AN$18,(AY113/DP!$AM$18)*(1+DP!$AP$18),0*1))))</f>
        <v>0</v>
      </c>
      <c r="CA113" s="102">
        <f>IF(AW113=DP!$AN$22,(DP!$AQ$22),IF(AW113=DP!$AN$23,(DP!$AQ$23),IF(AW113=DP!$AN$24,(DP!$AQ$24),IF(AW113=DP!$AN$25,(DP!$AQ$25),((0*1))))))</f>
        <v>0</v>
      </c>
      <c r="CB113" s="93">
        <f t="shared" si="128"/>
        <v>0</v>
      </c>
      <c r="CC113" s="93">
        <f>IF(AW113=DP!$AN$15,AY113*(1+DP!$AP$15),IF(AW113=DP!$AN$16,AY113*(1+DP!$AP$16),IF(AW113=DP!$AN$17,AY113*(1+DP!$AP$17),IF(AW113=DP!$AN$18,AY113*(1+DP!$AP$18),0*1))))</f>
        <v>0</v>
      </c>
      <c r="CD113" s="102">
        <f>IF(AW113=DP!$AN$22,(DP!$AR$22),IF(AW113=DP!$AN$23,(DP!$AR$23),IF(AW113=DP!$AN$24,(DP!$AR$24),IF(AW113=DP!$AN$25,(DP!$AR$25),((0*1))))))</f>
        <v>0</v>
      </c>
      <c r="CE113" s="93">
        <f t="shared" si="129"/>
        <v>0</v>
      </c>
      <c r="CF113" s="100"/>
      <c r="CG113" s="149">
        <f t="shared" si="109"/>
        <v>0</v>
      </c>
      <c r="CH113" s="149">
        <f>DP!$N$35*BA113</f>
        <v>0</v>
      </c>
      <c r="CI113" s="149">
        <f>DP!$O$35*BA113</f>
        <v>0</v>
      </c>
      <c r="CJ113" s="149">
        <f>DP!$P$35*BA113</f>
        <v>0</v>
      </c>
    </row>
    <row r="114" spans="2:88" x14ac:dyDescent="0.35">
      <c r="B114" s="480">
        <f>DP!S21</f>
        <v>1</v>
      </c>
      <c r="C114" s="480" t="str">
        <f>DP!T21</f>
        <v>PALMITO ENTERO 400</v>
      </c>
      <c r="D114" s="480">
        <f>DP!U21</f>
        <v>400</v>
      </c>
      <c r="E114" s="480">
        <f>DP!V21</f>
        <v>220</v>
      </c>
      <c r="F114" s="412">
        <f t="shared" si="110"/>
        <v>0</v>
      </c>
      <c r="G114" s="470">
        <f>DP!Z21</f>
        <v>0</v>
      </c>
      <c r="H114" s="98">
        <f t="shared" si="111"/>
        <v>0</v>
      </c>
      <c r="I114" s="97"/>
      <c r="J114" s="102">
        <f t="shared" si="100"/>
        <v>0</v>
      </c>
      <c r="K114" s="98">
        <f t="shared" si="101"/>
        <v>0</v>
      </c>
      <c r="L114" s="93">
        <f t="shared" si="102"/>
        <v>0</v>
      </c>
      <c r="M114" s="99">
        <f t="shared" si="103"/>
        <v>0</v>
      </c>
      <c r="N114" s="100"/>
      <c r="O114" s="102">
        <f>($E114/DP!$N$29)*F114</f>
        <v>0</v>
      </c>
      <c r="P114" s="102">
        <f>IF(O114&gt;0,(DP!$N$31),0*1)</f>
        <v>0</v>
      </c>
      <c r="Q114" s="102">
        <f t="shared" si="112"/>
        <v>0</v>
      </c>
      <c r="R114" s="102">
        <f t="shared" si="113"/>
        <v>0</v>
      </c>
      <c r="S114" s="418">
        <f t="shared" si="114"/>
        <v>0</v>
      </c>
      <c r="T114" s="475">
        <f>H114*DP!$Q$44</f>
        <v>0</v>
      </c>
      <c r="U114" s="475">
        <f>IF(H114&gt;0,DP!$R$44,0*1)</f>
        <v>0</v>
      </c>
      <c r="V114" s="475">
        <f t="shared" si="115"/>
        <v>0</v>
      </c>
      <c r="W114" s="475">
        <f>H114*DP!$Q$45</f>
        <v>0</v>
      </c>
      <c r="X114" s="475">
        <f>IF(H114&gt;0,DP!$R$45,0*1)</f>
        <v>0</v>
      </c>
      <c r="Y114" s="475">
        <f t="shared" si="116"/>
        <v>0</v>
      </c>
      <c r="Z114" s="100"/>
      <c r="AA114" s="93">
        <f>IF(D114=DP!$L$15,F114*(1+DP!$N$15),IF(D114=DP!$L$16,F114*(1+DP!$N$16),IF(D114=DP!$L$17,F114*(1+DP!$N$17),IF(D114=DP!$L$18,F114*(1+DP!$N$18),0*1))))</f>
        <v>0</v>
      </c>
      <c r="AB114" s="102">
        <f>IF(D114=DP!$L$22,(DP!$M$22),IF(D114=DP!$L$23,(DP!$M$23),IF(D114=DP!$L$24,(DP!$M$24),IF(D114=DP!$L$25,(DP!$M$25),((0*1))))))</f>
        <v>0</v>
      </c>
      <c r="AC114" s="93">
        <f t="shared" si="117"/>
        <v>0</v>
      </c>
      <c r="AD114" s="93">
        <f>IF(D114=DP!$L$15,F114*(1+DP!$N$15),IF(D114=DP!$L$16,F114*(1+DP!$N$16),IF(D114=DP!$L$17,F114*(1+DP!$N$17),IF(D114=DP!$L$18,F114*(1+DP!$N$18),0*1))))</f>
        <v>0</v>
      </c>
      <c r="AE114" s="102">
        <f>IF(D114=DP!$L$22,(DP!$N$22),IF(D114=DP!$L$23,(DP!$N$23),IF(D114=DP!$L$24,(DP!$N$24),IF(D114=DP!$L$25,(DP!$N$25),((0*1))))))</f>
        <v>0</v>
      </c>
      <c r="AF114" s="93">
        <f t="shared" si="118"/>
        <v>0</v>
      </c>
      <c r="AG114" s="93">
        <f>IF(D114=DP!$L$15,(F114/DP!$K$15)*(1+DP!$N$15),IF(D114=DP!$L$16,(F114/DP!$K$16)*(1+DP!$N$16),IF(D114=DP!$L$17,(F114/DP!$K$17)*(1+DP!$N$17),IF(D114=DP!$L$18,(F114/DP!$K$18)*(1+DP!$N$18),0*1))))</f>
        <v>0</v>
      </c>
      <c r="AH114" s="102">
        <f>IF(D114=DP!$L$22,(DP!$O$22),IF(D114=DP!$L$23,(DP!$O$23),IF(D114=DP!$L$24,(DP!$O$24),IF(D114=DP!$L$25,(DP!$O$25),((0*1))))))</f>
        <v>0</v>
      </c>
      <c r="AI114" s="93">
        <f t="shared" si="119"/>
        <v>0</v>
      </c>
      <c r="AJ114" s="93">
        <f>IF(D114=DP!$L$15,F114*(1+DP!$N$15),IF(D114=DP!$L$16,F114*(1+DP!$N$16),IF(D114=DP!$L$17,F114*(1+DP!$N$17),IF(D114=DP!$L$18,F114*(1+DP!$N$18),0*1))))</f>
        <v>0</v>
      </c>
      <c r="AK114" s="102">
        <f>IF(D114=DP!$L$22,(DP!$P$22),IF(D114=DP!$L$23,(DP!$P$23),IF(D114=DP!$L$24,(DP!$P$24),IF(D114=DP!$L$25,(DP!$P$25),((0*1))))))</f>
        <v>0</v>
      </c>
      <c r="AL114" s="93">
        <f t="shared" si="120"/>
        <v>0</v>
      </c>
      <c r="AM114" s="100"/>
      <c r="AN114" s="149">
        <f t="shared" si="104"/>
        <v>0</v>
      </c>
      <c r="AO114" s="149">
        <f>DP!$N$35*H114</f>
        <v>0</v>
      </c>
      <c r="AP114" s="149">
        <f>DP!$O$35*H114</f>
        <v>0</v>
      </c>
      <c r="AQ114" s="149">
        <f>DP!$P$35*H114</f>
        <v>0</v>
      </c>
      <c r="AV114" s="489" t="str">
        <f>DP!AV21</f>
        <v>PIÑA RODAJA A-10</v>
      </c>
      <c r="AW114" s="489">
        <f>DP!AW21</f>
        <v>2920</v>
      </c>
      <c r="AX114" s="489">
        <f>DP!AX21</f>
        <v>1825</v>
      </c>
      <c r="AY114" s="412">
        <f t="shared" si="121"/>
        <v>0</v>
      </c>
      <c r="AZ114" s="470">
        <f>DP!BB21</f>
        <v>0</v>
      </c>
      <c r="BA114" s="98">
        <f t="shared" si="122"/>
        <v>0</v>
      </c>
      <c r="BB114" s="97"/>
      <c r="BC114" s="102">
        <f t="shared" si="105"/>
        <v>0</v>
      </c>
      <c r="BD114" s="98">
        <f t="shared" si="106"/>
        <v>0</v>
      </c>
      <c r="BE114" s="93">
        <f t="shared" si="107"/>
        <v>0</v>
      </c>
      <c r="BF114" s="99">
        <f t="shared" si="108"/>
        <v>0</v>
      </c>
      <c r="BG114" s="100"/>
      <c r="BH114" s="102">
        <f>IFERROR((BA114*100%)/DP!$AP$29,(0*1))</f>
        <v>0</v>
      </c>
      <c r="BI114" s="102">
        <f>IF(BH114&gt;0,(DP!$AP$31),0*1)</f>
        <v>0</v>
      </c>
      <c r="BJ114" s="435">
        <f t="shared" si="123"/>
        <v>0</v>
      </c>
      <c r="BK114" s="475">
        <f>BA114*DP!$AS$44</f>
        <v>0</v>
      </c>
      <c r="BL114" s="475">
        <f>IF(BA114&gt;0,DP!$AT$44,0*1)</f>
        <v>0</v>
      </c>
      <c r="BM114" s="475">
        <f t="shared" si="124"/>
        <v>0</v>
      </c>
      <c r="BN114" s="102">
        <f>BA114*DP!$AS$45</f>
        <v>0</v>
      </c>
      <c r="BO114" s="102">
        <f>IF(BA114&gt;0,DP!$AT$45,0*1)</f>
        <v>0</v>
      </c>
      <c r="BP114" s="475">
        <f t="shared" si="125"/>
        <v>0</v>
      </c>
      <c r="BQ114" s="100"/>
      <c r="BR114" s="100"/>
      <c r="BS114" s="100"/>
      <c r="BT114" s="93">
        <f>IF(AW114=DP!$AN$15,AY114*(1+DP!$AP$15),IF(AW114=DP!$AN$16,AY114*(1+DP!$AP$16),IF(AW114=DP!$AN$17,AY114*(1+DP!$AP$17),IF(AW114=DP!$AN$18,AY114*(1+DP!$AP$18),0*1))))</f>
        <v>0</v>
      </c>
      <c r="BU114" s="102">
        <f>IF(AW114=DP!$AN$22,(DP!$AO$22),IF(AW114=DP!$AN$23,(DP!$AO$23),IF(AW114=DP!$AN$24,(DP!$AO$24),IF(AW114=DP!$AN$25,(DP!$AO$25),((0*1))))))</f>
        <v>0</v>
      </c>
      <c r="BV114" s="93">
        <f t="shared" si="126"/>
        <v>0</v>
      </c>
      <c r="BW114" s="93">
        <f>IF(AW114=DP!$AN$15,AY114*(1+DP!$AP$15),IF(AW114=DP!$AN$16,AY114*(1+DP!$AP$16),IF(AW114=DP!$AN$17,AY114*(1+DP!$AP$17),IF(AW114=DP!$AN$18,AY114*(1+DP!$AP$18),0*1))))</f>
        <v>0</v>
      </c>
      <c r="BX114" s="102">
        <f>IF(AW114=DP!$AN$22,(DP!$AP$22),IF(AW114=DP!$AN$23,(DP!$AP$23),IF(AW114=DP!$AN$24,(DP!$AP$24),IF(AW114=DP!$AN$25,(DP!$AP$25),((0*1))))))</f>
        <v>0</v>
      </c>
      <c r="BY114" s="93">
        <f t="shared" si="127"/>
        <v>0</v>
      </c>
      <c r="BZ114" s="93">
        <f>IF(AW114=DP!$AN$15,(AY114/DP!$AM$15)*(1+DP!$AP$15),IF(AW114=DP!$AN$16,(AY114/DP!$AM$16)*(1+DP!$AP$16),IF(AW114=DP!$AN$17,(AY114/DP!$AM$17)*(1+DP!$AP$17),IF(AW114=DP!$AN$18,(AY114/DP!$AM$18)*(1+DP!$AP$18),0*1))))</f>
        <v>0</v>
      </c>
      <c r="CA114" s="102">
        <f>IF(AW114=DP!$AN$22,(DP!$AQ$22),IF(AW114=DP!$AN$23,(DP!$AQ$23),IF(AW114=DP!$AN$24,(DP!$AQ$24),IF(AW114=DP!$AN$25,(DP!$AQ$25),((0*1))))))</f>
        <v>0</v>
      </c>
      <c r="CB114" s="93">
        <f t="shared" si="128"/>
        <v>0</v>
      </c>
      <c r="CC114" s="93">
        <f>IF(AW114=DP!$AN$15,AY114*(1+DP!$AP$15),IF(AW114=DP!$AN$16,AY114*(1+DP!$AP$16),IF(AW114=DP!$AN$17,AY114*(1+DP!$AP$17),IF(AW114=DP!$AN$18,AY114*(1+DP!$AP$18),0*1))))</f>
        <v>0</v>
      </c>
      <c r="CD114" s="102">
        <f>IF(AW114=DP!$AN$22,(DP!$AR$22),IF(AW114=DP!$AN$23,(DP!$AR$23),IF(AW114=DP!$AN$24,(DP!$AR$24),IF(AW114=DP!$AN$25,(DP!$AR$25),((0*1))))))</f>
        <v>0</v>
      </c>
      <c r="CE114" s="93">
        <f t="shared" si="129"/>
        <v>0</v>
      </c>
      <c r="CF114" s="100"/>
      <c r="CG114" s="149">
        <f t="shared" si="109"/>
        <v>0</v>
      </c>
      <c r="CH114" s="149">
        <f>DP!$N$35*BA114</f>
        <v>0</v>
      </c>
      <c r="CI114" s="149">
        <f>DP!$O$35*BA114</f>
        <v>0</v>
      </c>
      <c r="CJ114" s="149">
        <f>DP!$P$35*BA114</f>
        <v>0</v>
      </c>
    </row>
    <row r="115" spans="2:88" x14ac:dyDescent="0.35">
      <c r="B115" s="480">
        <f>DP!S22</f>
        <v>0</v>
      </c>
      <c r="C115" s="480" t="str">
        <f>DP!T22</f>
        <v>PALMITO RODAJA 400</v>
      </c>
      <c r="D115" s="480">
        <f>DP!U22</f>
        <v>400</v>
      </c>
      <c r="E115" s="480">
        <f>DP!V22</f>
        <v>220</v>
      </c>
      <c r="F115" s="412">
        <f t="shared" si="110"/>
        <v>0</v>
      </c>
      <c r="G115" s="470">
        <f>DP!Z22</f>
        <v>0</v>
      </c>
      <c r="H115" s="98">
        <f t="shared" si="111"/>
        <v>0</v>
      </c>
      <c r="I115" s="97"/>
      <c r="J115" s="102">
        <f t="shared" si="100"/>
        <v>0</v>
      </c>
      <c r="K115" s="98">
        <f t="shared" si="101"/>
        <v>0</v>
      </c>
      <c r="L115" s="93">
        <f t="shared" si="102"/>
        <v>0</v>
      </c>
      <c r="M115" s="99">
        <f t="shared" si="103"/>
        <v>0</v>
      </c>
      <c r="N115" s="100"/>
      <c r="O115" s="102">
        <f>($E115/DP!$N$29)*F115</f>
        <v>0</v>
      </c>
      <c r="P115" s="102">
        <f>IF(O115&gt;0,(DP!$N$31),0*1)</f>
        <v>0</v>
      </c>
      <c r="Q115" s="102">
        <f t="shared" si="112"/>
        <v>0</v>
      </c>
      <c r="R115" s="102">
        <f t="shared" si="113"/>
        <v>0</v>
      </c>
      <c r="S115" s="418">
        <f t="shared" si="114"/>
        <v>0</v>
      </c>
      <c r="T115" s="475">
        <f>H115*DP!$Q$44</f>
        <v>0</v>
      </c>
      <c r="U115" s="475">
        <f>IF(H115&gt;0,DP!$R$44,0*1)</f>
        <v>0</v>
      </c>
      <c r="V115" s="475">
        <f t="shared" si="115"/>
        <v>0</v>
      </c>
      <c r="W115" s="475">
        <f>H115*DP!$Q$45</f>
        <v>0</v>
      </c>
      <c r="X115" s="475">
        <f>IF(H115&gt;0,DP!$R$45,0*1)</f>
        <v>0</v>
      </c>
      <c r="Y115" s="475">
        <f t="shared" si="116"/>
        <v>0</v>
      </c>
      <c r="Z115" s="100"/>
      <c r="AA115" s="93">
        <f>IF(D115=DP!$L$15,F115*(1+DP!$N$15),IF(D115=DP!$L$16,F115*(1+DP!$N$16),IF(D115=DP!$L$17,F115*(1+DP!$N$17),IF(D115=DP!$L$18,F115*(1+DP!$N$18),0*1))))</f>
        <v>0</v>
      </c>
      <c r="AB115" s="102">
        <f>IF(D115=DP!$L$22,(DP!$M$22),IF(D115=DP!$L$23,(DP!$M$23),IF(D115=DP!$L$24,(DP!$M$24),IF(D115=DP!$L$25,(DP!$M$25),((0*1))))))</f>
        <v>0</v>
      </c>
      <c r="AC115" s="93">
        <f t="shared" si="117"/>
        <v>0</v>
      </c>
      <c r="AD115" s="93">
        <f>IF(D115=DP!$L$15,F115*(1+DP!$N$15),IF(D115=DP!$L$16,F115*(1+DP!$N$16),IF(D115=DP!$L$17,F115*(1+DP!$N$17),IF(D115=DP!$L$18,F115*(1+DP!$N$18),0*1))))</f>
        <v>0</v>
      </c>
      <c r="AE115" s="102">
        <f>IF(D115=DP!$L$22,(DP!$N$22),IF(D115=DP!$L$23,(DP!$N$23),IF(D115=DP!$L$24,(DP!$N$24),IF(D115=DP!$L$25,(DP!$N$25),((0*1))))))</f>
        <v>0</v>
      </c>
      <c r="AF115" s="93">
        <f t="shared" si="118"/>
        <v>0</v>
      </c>
      <c r="AG115" s="93">
        <f>IF(D115=DP!$L$15,(F115/DP!$K$15)*(1+DP!$N$15),IF(D115=DP!$L$16,(F115/DP!$K$16)*(1+DP!$N$16),IF(D115=DP!$L$17,(F115/DP!$K$17)*(1+DP!$N$17),IF(D115=DP!$L$18,(F115/DP!$K$18)*(1+DP!$N$18),0*1))))</f>
        <v>0</v>
      </c>
      <c r="AH115" s="102">
        <f>IF(D115=DP!$L$22,(DP!$O$22),IF(D115=DP!$L$23,(DP!$O$23),IF(D115=DP!$L$24,(DP!$O$24),IF(D115=DP!$L$25,(DP!$O$25),((0*1))))))</f>
        <v>0</v>
      </c>
      <c r="AI115" s="93">
        <f t="shared" si="119"/>
        <v>0</v>
      </c>
      <c r="AJ115" s="93">
        <f>IF(D115=DP!$L$15,F115*(1+DP!$N$15),IF(D115=DP!$L$16,F115*(1+DP!$N$16),IF(D115=DP!$L$17,F115*(1+DP!$N$17),IF(D115=DP!$L$18,F115*(1+DP!$N$18),0*1))))</f>
        <v>0</v>
      </c>
      <c r="AK115" s="102">
        <f>IF(D115=DP!$L$22,(DP!$P$22),IF(D115=DP!$L$23,(DP!$P$23),IF(D115=DP!$L$24,(DP!$P$24),IF(D115=DP!$L$25,(DP!$P$25),((0*1))))))</f>
        <v>0</v>
      </c>
      <c r="AL115" s="93">
        <f t="shared" si="120"/>
        <v>0</v>
      </c>
      <c r="AM115" s="100"/>
      <c r="AN115" s="149">
        <f t="shared" si="104"/>
        <v>0</v>
      </c>
      <c r="AO115" s="149">
        <f>DP!$N$35*H115</f>
        <v>0</v>
      </c>
      <c r="AP115" s="149">
        <f>DP!$O$35*H115</f>
        <v>0</v>
      </c>
      <c r="AQ115" s="149">
        <f>DP!$P$35*H115</f>
        <v>0</v>
      </c>
      <c r="AV115" s="489" t="str">
        <f>DP!AV22</f>
        <v>PIÑA RODAJA 567</v>
      </c>
      <c r="AW115" s="489">
        <f>DP!AW22</f>
        <v>567</v>
      </c>
      <c r="AX115" s="489">
        <f>DP!AX22</f>
        <v>340</v>
      </c>
      <c r="AY115" s="412">
        <f t="shared" si="121"/>
        <v>270000</v>
      </c>
      <c r="AZ115" s="470">
        <f>DP!BB22</f>
        <v>0.5</v>
      </c>
      <c r="BA115" s="98">
        <f t="shared" si="122"/>
        <v>91800</v>
      </c>
      <c r="BB115" s="97"/>
      <c r="BC115" s="102">
        <f t="shared" si="105"/>
        <v>0.96041166831383962</v>
      </c>
      <c r="BD115" s="98">
        <f t="shared" si="106"/>
        <v>0.83461166831383959</v>
      </c>
      <c r="BE115" s="93">
        <f t="shared" si="107"/>
        <v>259311.1504447367</v>
      </c>
      <c r="BF115" s="99">
        <f t="shared" si="108"/>
        <v>225345.1504447367</v>
      </c>
      <c r="BG115" s="100"/>
      <c r="BH115" s="102">
        <f>IFERROR((BA115*100%)/DP!$AP$29,(0*1))</f>
        <v>204000</v>
      </c>
      <c r="BI115" s="102">
        <f>IF(BH115&gt;0,(DP!$AP$31),0*1)</f>
        <v>0.45</v>
      </c>
      <c r="BJ115" s="435">
        <f t="shared" si="123"/>
        <v>91800</v>
      </c>
      <c r="BK115" s="475">
        <f>BA115*DP!$AS$44</f>
        <v>229.5</v>
      </c>
      <c r="BL115" s="475">
        <f>IF(BA115&gt;0,DP!$AT$44,0*1)</f>
        <v>0.95</v>
      </c>
      <c r="BM115" s="475">
        <f t="shared" si="124"/>
        <v>218.02499999999998</v>
      </c>
      <c r="BN115" s="102">
        <f>BA115*DP!$AS$45</f>
        <v>15238.800000000001</v>
      </c>
      <c r="BO115" s="102">
        <f>IF(BA115&gt;0,DP!$AT$45,0*1)</f>
        <v>0.76919999999999999</v>
      </c>
      <c r="BP115" s="475">
        <f t="shared" si="125"/>
        <v>11721.684960000001</v>
      </c>
      <c r="BQ115" s="100"/>
      <c r="BR115" s="100"/>
      <c r="BS115" s="100"/>
      <c r="BT115" s="93">
        <f>IF(AW115=DP!$AN$15,AY115*(1+DP!$AP$15),IF(AW115=DP!$AN$16,AY115*(1+DP!$AP$16),IF(AW115=DP!$AN$17,AY115*(1+DP!$AP$17),IF(AW115=DP!$AN$18,AY115*(1+DP!$AP$18),0*1))))</f>
        <v>271350</v>
      </c>
      <c r="BU115" s="102">
        <f>IF(AW115=DP!$AN$22,(DP!$AO$22),IF(AW115=DP!$AN$23,(DP!$AO$23),IF(AW115=DP!$AN$24,(DP!$AO$24),IF(AW115=DP!$AN$25,(DP!$AO$25),((0*1))))))</f>
        <v>0.23</v>
      </c>
      <c r="BV115" s="93">
        <f t="shared" si="126"/>
        <v>62410.5</v>
      </c>
      <c r="BW115" s="93">
        <f>IF(AW115=DP!$AN$15,AY115*(1+DP!$AP$15),IF(AW115=DP!$AN$16,AY115*(1+DP!$AP$16),IF(AW115=DP!$AN$17,AY115*(1+DP!$AP$17),IF(AW115=DP!$AN$18,AY115*(1+DP!$AP$18),0*1))))</f>
        <v>271350</v>
      </c>
      <c r="BX115" s="102">
        <f>IF(AW115=DP!$AN$22,(DP!$AP$22),IF(AW115=DP!$AN$23,(DP!$AP$23),IF(AW115=DP!$AN$24,(DP!$AP$24),IF(AW115=DP!$AN$25,(DP!$AP$25),((0*1))))))</f>
        <v>5.5E-2</v>
      </c>
      <c r="BY115" s="93">
        <f t="shared" si="127"/>
        <v>14924.25</v>
      </c>
      <c r="BZ115" s="93">
        <f>IF(AW115=DP!$AN$15,(AY115/DP!$AM$15)*(1+DP!$AP$15),IF(AW115=DP!$AN$16,(AY115/DP!$AM$16)*(1+DP!$AP$16),IF(AW115=DP!$AN$17,(AY115/DP!$AM$17)*(1+DP!$AP$17),IF(AW115=DP!$AN$18,(AY115/DP!$AM$18)*(1+DP!$AP$18),0*1))))</f>
        <v>11306.249999999998</v>
      </c>
      <c r="CA115" s="102">
        <f>IF(AW115=DP!$AN$22,(DP!$AQ$22),IF(AW115=DP!$AN$23,(DP!$AQ$23),IF(AW115=DP!$AN$24,(DP!$AQ$24),IF(AW115=DP!$AN$25,(DP!$AQ$25),((0*1))))))</f>
        <v>0.51199999999999923</v>
      </c>
      <c r="CB115" s="93">
        <f t="shared" si="128"/>
        <v>5788.7999999999902</v>
      </c>
      <c r="CC115" s="93">
        <f>IF(AW115=DP!$AN$15,AY115*(1+DP!$AP$15),IF(AW115=DP!$AN$16,AY115*(1+DP!$AP$16),IF(AW115=DP!$AN$17,AY115*(1+DP!$AP$17),IF(AW115=DP!$AN$18,AY115*(1+DP!$AP$18),0*1))))</f>
        <v>271350</v>
      </c>
      <c r="CD115" s="102">
        <f>IF(AW115=DP!$AN$22,(DP!$AR$22),IF(AW115=DP!$AN$23,(DP!$AR$23),IF(AW115=DP!$AN$24,(DP!$AR$24),IF(AW115=DP!$AN$25,(DP!$AR$25),((0*1))))))</f>
        <v>3.3045977011494254E-2</v>
      </c>
      <c r="CE115" s="93">
        <f t="shared" si="129"/>
        <v>8967.0258620689656</v>
      </c>
      <c r="CF115" s="100"/>
      <c r="CG115" s="149">
        <f t="shared" si="109"/>
        <v>29514.864622667745</v>
      </c>
      <c r="CH115" s="149">
        <f>DP!$N$35*BA115</f>
        <v>1318.9655172413795</v>
      </c>
      <c r="CI115" s="149">
        <f>DP!$O$35*BA115</f>
        <v>5012.0689655172418</v>
      </c>
      <c r="CJ115" s="149">
        <f>DP!$P$35*BA115</f>
        <v>33966</v>
      </c>
    </row>
    <row r="116" spans="2:88" x14ac:dyDescent="0.35">
      <c r="B116" s="480">
        <f>DP!S23</f>
        <v>0</v>
      </c>
      <c r="C116" s="480" t="str">
        <f>DP!T23</f>
        <v>PALMITO TROZO 400</v>
      </c>
      <c r="D116" s="480">
        <f>DP!U23</f>
        <v>400</v>
      </c>
      <c r="E116" s="480">
        <f>DP!V23</f>
        <v>236</v>
      </c>
      <c r="F116" s="412">
        <f t="shared" si="110"/>
        <v>0</v>
      </c>
      <c r="G116" s="470">
        <f>DP!Z23</f>
        <v>0</v>
      </c>
      <c r="H116" s="98">
        <f t="shared" si="111"/>
        <v>0</v>
      </c>
      <c r="I116" s="97"/>
      <c r="J116" s="102">
        <f t="shared" si="100"/>
        <v>0</v>
      </c>
      <c r="K116" s="98">
        <f t="shared" si="101"/>
        <v>0</v>
      </c>
      <c r="L116" s="93">
        <f t="shared" si="102"/>
        <v>0</v>
      </c>
      <c r="M116" s="99">
        <f t="shared" si="103"/>
        <v>0</v>
      </c>
      <c r="N116" s="100"/>
      <c r="O116" s="102">
        <f>($E116/DP!$N$29)*F116</f>
        <v>0</v>
      </c>
      <c r="P116" s="102">
        <f>IF(O116&gt;0,(DP!$N$31),0*1)</f>
        <v>0</v>
      </c>
      <c r="Q116" s="102">
        <f t="shared" si="112"/>
        <v>0</v>
      </c>
      <c r="R116" s="102">
        <f t="shared" si="113"/>
        <v>0</v>
      </c>
      <c r="S116" s="418">
        <f t="shared" si="114"/>
        <v>0</v>
      </c>
      <c r="T116" s="475">
        <f>H116*DP!$Q$44</f>
        <v>0</v>
      </c>
      <c r="U116" s="475">
        <f>IF(H116&gt;0,DP!$R$44,0*1)</f>
        <v>0</v>
      </c>
      <c r="V116" s="475">
        <f t="shared" si="115"/>
        <v>0</v>
      </c>
      <c r="W116" s="475">
        <f>H116*DP!$Q$45</f>
        <v>0</v>
      </c>
      <c r="X116" s="475">
        <f>IF(H116&gt;0,DP!$R$45,0*1)</f>
        <v>0</v>
      </c>
      <c r="Y116" s="475">
        <f t="shared" si="116"/>
        <v>0</v>
      </c>
      <c r="Z116" s="100"/>
      <c r="AA116" s="93">
        <f>IF(D116=DP!$L$15,F116*(1+DP!$N$15),IF(D116=DP!$L$16,F116*(1+DP!$N$16),IF(D116=DP!$L$17,F116*(1+DP!$N$17),IF(D116=DP!$L$18,F116*(1+DP!$N$18),0*1))))</f>
        <v>0</v>
      </c>
      <c r="AB116" s="102">
        <f>IF(D116=DP!$L$22,(DP!$M$22),IF(D116=DP!$L$23,(DP!$M$23),IF(D116=DP!$L$24,(DP!$M$24),IF(D116=DP!$L$25,(DP!$M$25),((0*1))))))</f>
        <v>0</v>
      </c>
      <c r="AC116" s="93">
        <f t="shared" si="117"/>
        <v>0</v>
      </c>
      <c r="AD116" s="93">
        <f>IF(D116=DP!$L$15,F116*(1+DP!$N$15),IF(D116=DP!$L$16,F116*(1+DP!$N$16),IF(D116=DP!$L$17,F116*(1+DP!$N$17),IF(D116=DP!$L$18,F116*(1+DP!$N$18),0*1))))</f>
        <v>0</v>
      </c>
      <c r="AE116" s="102">
        <f>IF(D116=DP!$L$22,(DP!$N$22),IF(D116=DP!$L$23,(DP!$N$23),IF(D116=DP!$L$24,(DP!$N$24),IF(D116=DP!$L$25,(DP!$N$25),((0*1))))))</f>
        <v>0</v>
      </c>
      <c r="AF116" s="93">
        <f t="shared" si="118"/>
        <v>0</v>
      </c>
      <c r="AG116" s="93">
        <f>IF(D116=DP!$L$15,(F116/DP!$K$15)*(1+DP!$N$15),IF(D116=DP!$L$16,(F116/DP!$K$16)*(1+DP!$N$16),IF(D116=DP!$L$17,(F116/DP!$K$17)*(1+DP!$N$17),IF(D116=DP!$L$18,(F116/DP!$K$18)*(1+DP!$N$18),0*1))))</f>
        <v>0</v>
      </c>
      <c r="AH116" s="102">
        <f>IF(D116=DP!$L$22,(DP!$O$22),IF(D116=DP!$L$23,(DP!$O$23),IF(D116=DP!$L$24,(DP!$O$24),IF(D116=DP!$L$25,(DP!$O$25),((0*1))))))</f>
        <v>0</v>
      </c>
      <c r="AI116" s="93">
        <f t="shared" si="119"/>
        <v>0</v>
      </c>
      <c r="AJ116" s="93">
        <f>IF(D116=DP!$L$15,F116*(1+DP!$N$15),IF(D116=DP!$L$16,F116*(1+DP!$N$16),IF(D116=DP!$L$17,F116*(1+DP!$N$17),IF(D116=DP!$L$18,F116*(1+DP!$N$18),0*1))))</f>
        <v>0</v>
      </c>
      <c r="AK116" s="102">
        <f>IF(D116=DP!$L$22,(DP!$P$22),IF(D116=DP!$L$23,(DP!$P$23),IF(D116=DP!$L$24,(DP!$P$24),IF(D116=DP!$L$25,(DP!$P$25),((0*1))))))</f>
        <v>0</v>
      </c>
      <c r="AL116" s="93">
        <f t="shared" si="120"/>
        <v>0</v>
      </c>
      <c r="AM116" s="100"/>
      <c r="AN116" s="149">
        <f t="shared" si="104"/>
        <v>0</v>
      </c>
      <c r="AO116" s="149">
        <f>DP!$N$35*H116</f>
        <v>0</v>
      </c>
      <c r="AP116" s="149">
        <f>DP!$O$35*H116</f>
        <v>0</v>
      </c>
      <c r="AQ116" s="149">
        <f>DP!$P$35*H116</f>
        <v>0</v>
      </c>
      <c r="AV116" s="489" t="str">
        <f>DP!AV23</f>
        <v>PIÑA TROZO 567</v>
      </c>
      <c r="AW116" s="489">
        <f>DP!AW23</f>
        <v>567</v>
      </c>
      <c r="AX116" s="489">
        <f>DP!AX23</f>
        <v>340</v>
      </c>
      <c r="AY116" s="412">
        <f t="shared" si="121"/>
        <v>108000</v>
      </c>
      <c r="AZ116" s="470">
        <f>DP!BB23</f>
        <v>0.2</v>
      </c>
      <c r="BA116" s="98">
        <f t="shared" si="122"/>
        <v>36720</v>
      </c>
      <c r="BB116" s="97"/>
      <c r="BC116" s="102">
        <f t="shared" si="105"/>
        <v>0.9604116683138394</v>
      </c>
      <c r="BD116" s="98">
        <f t="shared" si="106"/>
        <v>0.83461166831383948</v>
      </c>
      <c r="BE116" s="93">
        <f t="shared" si="107"/>
        <v>103724.46017789465</v>
      </c>
      <c r="BF116" s="99">
        <f t="shared" si="108"/>
        <v>90138.060177894658</v>
      </c>
      <c r="BG116" s="100"/>
      <c r="BH116" s="102">
        <f>IFERROR((BA116*100%)/DP!$AP$29,(0*1))</f>
        <v>81600</v>
      </c>
      <c r="BI116" s="102">
        <f>IF(BH116&gt;0,(DP!$AP$31),0*1)</f>
        <v>0.45</v>
      </c>
      <c r="BJ116" s="435">
        <f t="shared" si="123"/>
        <v>36720</v>
      </c>
      <c r="BK116" s="475">
        <f>BA116*DP!$AS$44</f>
        <v>91.8</v>
      </c>
      <c r="BL116" s="475">
        <f>IF(BA116&gt;0,DP!$AT$44,0*1)</f>
        <v>0.95</v>
      </c>
      <c r="BM116" s="475">
        <f t="shared" si="124"/>
        <v>87.21</v>
      </c>
      <c r="BN116" s="102">
        <f>BA116*DP!$AS$45</f>
        <v>6095.52</v>
      </c>
      <c r="BO116" s="102">
        <f>IF(BA116&gt;0,DP!$AT$45,0*1)</f>
        <v>0.76919999999999999</v>
      </c>
      <c r="BP116" s="475">
        <f t="shared" si="125"/>
        <v>4688.673984</v>
      </c>
      <c r="BQ116" s="100"/>
      <c r="BR116" s="100"/>
      <c r="BS116" s="100"/>
      <c r="BT116" s="93">
        <f>IF(AW116=DP!$AN$15,AY116*(1+DP!$AP$15),IF(AW116=DP!$AN$16,AY116*(1+DP!$AP$16),IF(AW116=DP!$AN$17,AY116*(1+DP!$AP$17),IF(AW116=DP!$AN$18,AY116*(1+DP!$AP$18),0*1))))</f>
        <v>108539.99999999999</v>
      </c>
      <c r="BU116" s="102">
        <f>IF(AW116=DP!$AN$22,(DP!$AO$22),IF(AW116=DP!$AN$23,(DP!$AO$23),IF(AW116=DP!$AN$24,(DP!$AO$24),IF(AW116=DP!$AN$25,(DP!$AO$25),((0*1))))))</f>
        <v>0.23</v>
      </c>
      <c r="BV116" s="93">
        <f t="shared" si="126"/>
        <v>24964.199999999997</v>
      </c>
      <c r="BW116" s="93">
        <f>IF(AW116=DP!$AN$15,AY116*(1+DP!$AP$15),IF(AW116=DP!$AN$16,AY116*(1+DP!$AP$16),IF(AW116=DP!$AN$17,AY116*(1+DP!$AP$17),IF(AW116=DP!$AN$18,AY116*(1+DP!$AP$18),0*1))))</f>
        <v>108539.99999999999</v>
      </c>
      <c r="BX116" s="102">
        <f>IF(AW116=DP!$AN$22,(DP!$AP$22),IF(AW116=DP!$AN$23,(DP!$AP$23),IF(AW116=DP!$AN$24,(DP!$AP$24),IF(AW116=DP!$AN$25,(DP!$AP$25),((0*1))))))</f>
        <v>5.5E-2</v>
      </c>
      <c r="BY116" s="93">
        <f t="shared" si="127"/>
        <v>5969.6999999999989</v>
      </c>
      <c r="BZ116" s="93">
        <f>IF(AW116=DP!$AN$15,(AY116/DP!$AM$15)*(1+DP!$AP$15),IF(AW116=DP!$AN$16,(AY116/DP!$AM$16)*(1+DP!$AP$16),IF(AW116=DP!$AN$17,(AY116/DP!$AM$17)*(1+DP!$AP$17),IF(AW116=DP!$AN$18,(AY116/DP!$AM$18)*(1+DP!$AP$18),0*1))))</f>
        <v>4522.4999999999991</v>
      </c>
      <c r="CA116" s="102">
        <f>IF(AW116=DP!$AN$22,(DP!$AQ$22),IF(AW116=DP!$AN$23,(DP!$AQ$23),IF(AW116=DP!$AN$24,(DP!$AQ$24),IF(AW116=DP!$AN$25,(DP!$AQ$25),((0*1))))))</f>
        <v>0.51199999999999923</v>
      </c>
      <c r="CB116" s="93">
        <f t="shared" si="128"/>
        <v>2315.5199999999959</v>
      </c>
      <c r="CC116" s="93">
        <f>IF(AW116=DP!$AN$15,AY116*(1+DP!$AP$15),IF(AW116=DP!$AN$16,AY116*(1+DP!$AP$16),IF(AW116=DP!$AN$17,AY116*(1+DP!$AP$17),IF(AW116=DP!$AN$18,AY116*(1+DP!$AP$18),0*1))))</f>
        <v>108539.99999999999</v>
      </c>
      <c r="CD116" s="102">
        <f>IF(AW116=DP!$AN$22,(DP!$AR$22),IF(AW116=DP!$AN$23,(DP!$AR$23),IF(AW116=DP!$AN$24,(DP!$AR$24),IF(AW116=DP!$AN$25,(DP!$AR$25),((0*1))))))</f>
        <v>3.3045977011494254E-2</v>
      </c>
      <c r="CE116" s="93">
        <f t="shared" si="129"/>
        <v>3586.8103448275861</v>
      </c>
      <c r="CF116" s="100"/>
      <c r="CG116" s="149">
        <f t="shared" si="109"/>
        <v>11805.945849067097</v>
      </c>
      <c r="CH116" s="149">
        <f>DP!$N$35*BA116</f>
        <v>527.58620689655174</v>
      </c>
      <c r="CI116" s="149">
        <f>DP!$O$35*BA116</f>
        <v>2004.8275862068967</v>
      </c>
      <c r="CJ116" s="149">
        <f>DP!$P$35*BA116</f>
        <v>13586.4</v>
      </c>
    </row>
    <row r="117" spans="2:88" x14ac:dyDescent="0.35">
      <c r="B117" s="480">
        <f>DP!S24</f>
        <v>0</v>
      </c>
      <c r="C117" s="480" t="str">
        <f>DP!T24</f>
        <v>PALMITO TROZO  A-10</v>
      </c>
      <c r="D117" s="480">
        <f>DP!U24</f>
        <v>2920</v>
      </c>
      <c r="E117" s="480">
        <f>DP!V24</f>
        <v>1825</v>
      </c>
      <c r="F117" s="412">
        <f t="shared" si="110"/>
        <v>0</v>
      </c>
      <c r="G117" s="470">
        <f>DP!Z24</f>
        <v>0</v>
      </c>
      <c r="H117" s="98">
        <f t="shared" si="111"/>
        <v>0</v>
      </c>
      <c r="I117" s="97"/>
      <c r="J117" s="102">
        <f t="shared" si="100"/>
        <v>0</v>
      </c>
      <c r="K117" s="98">
        <f t="shared" si="101"/>
        <v>0</v>
      </c>
      <c r="L117" s="93">
        <f t="shared" si="102"/>
        <v>0</v>
      </c>
      <c r="M117" s="99">
        <f t="shared" si="103"/>
        <v>0</v>
      </c>
      <c r="N117" s="100"/>
      <c r="O117" s="102">
        <f>($E117/DP!$N$29)*F117</f>
        <v>0</v>
      </c>
      <c r="P117" s="102">
        <f>IF(O117&gt;0,(DP!$N$31),0*1)</f>
        <v>0</v>
      </c>
      <c r="Q117" s="102">
        <f t="shared" si="112"/>
        <v>0</v>
      </c>
      <c r="R117" s="102">
        <f t="shared" si="113"/>
        <v>0</v>
      </c>
      <c r="S117" s="418">
        <f t="shared" si="114"/>
        <v>0</v>
      </c>
      <c r="T117" s="475">
        <f>H117*DP!$Q$44</f>
        <v>0</v>
      </c>
      <c r="U117" s="475">
        <f>IF(H117&gt;0,DP!$R$44,0*1)</f>
        <v>0</v>
      </c>
      <c r="V117" s="475">
        <f t="shared" si="115"/>
        <v>0</v>
      </c>
      <c r="W117" s="475">
        <f>H117*DP!$Q$45</f>
        <v>0</v>
      </c>
      <c r="X117" s="475">
        <f>IF(H117&gt;0,DP!$R$45,0*1)</f>
        <v>0</v>
      </c>
      <c r="Y117" s="475">
        <f t="shared" si="116"/>
        <v>0</v>
      </c>
      <c r="Z117" s="100"/>
      <c r="AA117" s="93">
        <f>IF(D117=DP!$L$15,F117*(1+DP!$N$15),IF(D117=DP!$L$16,F117*(1+DP!$N$16),IF(D117=DP!$L$17,F117*(1+DP!$N$17),IF(D117=DP!$L$18,F117*(1+DP!$N$18),0*1))))</f>
        <v>0</v>
      </c>
      <c r="AB117" s="102">
        <f>IF(D117=DP!$L$22,(DP!$M$22),IF(D117=DP!$L$23,(DP!$M$23),IF(D117=DP!$L$24,(DP!$M$24),IF(D117=DP!$L$25,(DP!$M$25),((0*1))))))</f>
        <v>0</v>
      </c>
      <c r="AC117" s="93">
        <f t="shared" si="117"/>
        <v>0</v>
      </c>
      <c r="AD117" s="93">
        <f>IF(D117=DP!$L$15,F117*(1+DP!$N$15),IF(D117=DP!$L$16,F117*(1+DP!$N$16),IF(D117=DP!$L$17,F117*(1+DP!$N$17),IF(D117=DP!$L$18,F117*(1+DP!$N$18),0*1))))</f>
        <v>0</v>
      </c>
      <c r="AE117" s="102">
        <f>IF(D117=DP!$L$22,(DP!$N$22),IF(D117=DP!$L$23,(DP!$N$23),IF(D117=DP!$L$24,(DP!$N$24),IF(D117=DP!$L$25,(DP!$N$25),((0*1))))))</f>
        <v>0</v>
      </c>
      <c r="AF117" s="93">
        <f t="shared" si="118"/>
        <v>0</v>
      </c>
      <c r="AG117" s="93">
        <f>IF(D117=DP!$L$15,(F117/DP!$K$15)*(1+DP!$N$15),IF(D117=DP!$L$16,(F117/DP!$K$16)*(1+DP!$N$16),IF(D117=DP!$L$17,(F117/DP!$K$17)*(1+DP!$N$17),IF(D117=DP!$L$18,(F117/DP!$K$18)*(1+DP!$N$18),0*1))))</f>
        <v>0</v>
      </c>
      <c r="AH117" s="102">
        <f>IF(D117=DP!$L$22,(DP!$O$22),IF(D117=DP!$L$23,(DP!$O$23),IF(D117=DP!$L$24,(DP!$O$24),IF(D117=DP!$L$25,(DP!$O$25),((0*1))))))</f>
        <v>0</v>
      </c>
      <c r="AI117" s="93">
        <f t="shared" si="119"/>
        <v>0</v>
      </c>
      <c r="AJ117" s="93">
        <f>IF(D117=DP!$L$15,F117*(1+DP!$N$15),IF(D117=DP!$L$16,F117*(1+DP!$N$16),IF(D117=DP!$L$17,F117*(1+DP!$N$17),IF(D117=DP!$L$18,F117*(1+DP!$N$18),0*1))))</f>
        <v>0</v>
      </c>
      <c r="AK117" s="102">
        <f>IF(D117=DP!$L$22,(DP!$P$22),IF(D117=DP!$L$23,(DP!$P$23),IF(D117=DP!$L$24,(DP!$P$24),IF(D117=DP!$L$25,(DP!$P$25),((0*1))))))</f>
        <v>0</v>
      </c>
      <c r="AL117" s="93">
        <f t="shared" si="120"/>
        <v>0</v>
      </c>
      <c r="AM117" s="100"/>
      <c r="AN117" s="149">
        <f t="shared" si="104"/>
        <v>0</v>
      </c>
      <c r="AO117" s="149">
        <f>DP!$N$35*H117</f>
        <v>0</v>
      </c>
      <c r="AP117" s="149">
        <f>DP!$O$35*H117</f>
        <v>0</v>
      </c>
      <c r="AQ117" s="149">
        <f>DP!$P$35*H117</f>
        <v>0</v>
      </c>
      <c r="AV117" s="489" t="str">
        <f>DP!AV24</f>
        <v>PIÑA RODAJA 822</v>
      </c>
      <c r="AW117" s="489">
        <f>DP!AW24</f>
        <v>822</v>
      </c>
      <c r="AX117" s="489">
        <f>DP!AX24</f>
        <v>500</v>
      </c>
      <c r="AY117" s="412">
        <f t="shared" si="121"/>
        <v>73440</v>
      </c>
      <c r="AZ117" s="470">
        <f>DP!BB24</f>
        <v>0.2</v>
      </c>
      <c r="BA117" s="98">
        <f t="shared" si="122"/>
        <v>36720</v>
      </c>
      <c r="BB117" s="97"/>
      <c r="BC117" s="102">
        <f t="shared" si="105"/>
        <v>1.2984286501572693</v>
      </c>
      <c r="BD117" s="98">
        <f t="shared" si="106"/>
        <v>1.1134286501572692</v>
      </c>
      <c r="BE117" s="93">
        <f t="shared" si="107"/>
        <v>95356.600067549851</v>
      </c>
      <c r="BF117" s="99">
        <f t="shared" si="108"/>
        <v>81770.200067549857</v>
      </c>
      <c r="BG117" s="100"/>
      <c r="BH117" s="102">
        <f>IFERROR((BA117*100%)/DP!$AP$29,(0*1))</f>
        <v>81600</v>
      </c>
      <c r="BI117" s="102">
        <f>IF(BH117&gt;0,(DP!$AP$31),0*1)</f>
        <v>0.45</v>
      </c>
      <c r="BJ117" s="435">
        <f t="shared" si="123"/>
        <v>36720</v>
      </c>
      <c r="BK117" s="475">
        <f>BA117*DP!$AS$44</f>
        <v>91.8</v>
      </c>
      <c r="BL117" s="475">
        <f>IF(BA117&gt;0,DP!$AT$44,0*1)</f>
        <v>0.95</v>
      </c>
      <c r="BM117" s="475">
        <f t="shared" si="124"/>
        <v>87.21</v>
      </c>
      <c r="BN117" s="102">
        <f>BA117*DP!$AS$45</f>
        <v>6095.52</v>
      </c>
      <c r="BO117" s="102">
        <f>IF(BA117&gt;0,DP!$AT$45,0*1)</f>
        <v>0.76919999999999999</v>
      </c>
      <c r="BP117" s="475">
        <f t="shared" si="125"/>
        <v>4688.673984</v>
      </c>
      <c r="BQ117" s="100"/>
      <c r="BR117" s="100"/>
      <c r="BS117" s="100"/>
      <c r="BT117" s="93">
        <f>IF(AW117=DP!$AN$15,AY117*(1+DP!$AP$15),IF(AW117=DP!$AN$16,AY117*(1+DP!$AP$16),IF(AW117=DP!$AN$17,AY117*(1+DP!$AP$17),IF(AW117=DP!$AN$18,AY117*(1+DP!$AP$18),0*1))))</f>
        <v>73807.199999999997</v>
      </c>
      <c r="BU117" s="102">
        <f>IF(AW117=DP!$AN$22,(DP!$AO$22),IF(AW117=DP!$AN$23,(DP!$AO$23),IF(AW117=DP!$AN$24,(DP!$AO$24),IF(AW117=DP!$AN$25,(DP!$AO$25),((0*1))))))</f>
        <v>0.24</v>
      </c>
      <c r="BV117" s="93">
        <f t="shared" si="126"/>
        <v>17713.727999999999</v>
      </c>
      <c r="BW117" s="93">
        <f>IF(AW117=DP!$AN$15,AY117*(1+DP!$AP$15),IF(AW117=DP!$AN$16,AY117*(1+DP!$AP$16),IF(AW117=DP!$AN$17,AY117*(1+DP!$AP$17),IF(AW117=DP!$AN$18,AY117*(1+DP!$AP$18),0*1))))</f>
        <v>73807.199999999997</v>
      </c>
      <c r="BX117" s="102">
        <f>IF(AW117=DP!$AN$22,(DP!$AP$22),IF(AW117=DP!$AN$23,(DP!$AP$23),IF(AW117=DP!$AN$24,(DP!$AP$24),IF(AW117=DP!$AN$25,(DP!$AP$25),((0*1))))))</f>
        <v>7.0000000000000007E-2</v>
      </c>
      <c r="BY117" s="93">
        <f t="shared" si="127"/>
        <v>5166.5039999999999</v>
      </c>
      <c r="BZ117" s="93">
        <f>IF(AW117=DP!$AN$15,(AY117/DP!$AM$15)*(1+DP!$AP$15),IF(AW117=DP!$AN$16,(AY117/DP!$AM$16)*(1+DP!$AP$16),IF(AW117=DP!$AN$17,(AY117/DP!$AM$17)*(1+DP!$AP$17),IF(AW117=DP!$AN$18,(AY117/DP!$AM$18)*(1+DP!$AP$18),0*1))))</f>
        <v>6150.5999999999995</v>
      </c>
      <c r="CA117" s="102">
        <f>IF(AW117=DP!$AN$22,(DP!$AQ$22),IF(AW117=DP!$AN$23,(DP!$AQ$23),IF(AW117=DP!$AN$24,(DP!$AQ$24),IF(AW117=DP!$AN$25,(DP!$AQ$25),((0*1))))))</f>
        <v>0.51200000000000045</v>
      </c>
      <c r="CB117" s="93">
        <f t="shared" si="128"/>
        <v>3149.1072000000026</v>
      </c>
      <c r="CC117" s="93">
        <f>IF(AW117=DP!$AN$15,AY117*(1+DP!$AP$15),IF(AW117=DP!$AN$16,AY117*(1+DP!$AP$16),IF(AW117=DP!$AN$17,AY117*(1+DP!$AP$17),IF(AW117=DP!$AN$18,AY117*(1+DP!$AP$18),0*1))))</f>
        <v>73807.199999999997</v>
      </c>
      <c r="CD117" s="102">
        <f>IF(AW117=DP!$AN$22,(DP!$AR$22),IF(AW117=DP!$AN$23,(DP!$AR$23),IF(AW117=DP!$AN$24,(DP!$AR$24),IF(AW117=DP!$AN$25,(DP!$AR$25),((0*1))))))</f>
        <v>3.3045977011494254E-2</v>
      </c>
      <c r="CE117" s="93">
        <f t="shared" si="129"/>
        <v>2439.0310344827585</v>
      </c>
      <c r="CF117" s="100"/>
      <c r="CG117" s="149">
        <f t="shared" si="109"/>
        <v>11805.945849067097</v>
      </c>
      <c r="CH117" s="149">
        <f>DP!$N$35*BA117</f>
        <v>527.58620689655174</v>
      </c>
      <c r="CI117" s="149">
        <f>DP!$O$35*BA117</f>
        <v>2004.8275862068967</v>
      </c>
      <c r="CJ117" s="149">
        <f>DP!$P$35*BA117</f>
        <v>13586.4</v>
      </c>
    </row>
    <row r="118" spans="2:88" x14ac:dyDescent="0.35">
      <c r="B118" s="480">
        <f>DP!S25</f>
        <v>0</v>
      </c>
      <c r="C118" s="480" t="str">
        <f>DP!T25</f>
        <v>PALMITO RODAJA  A-10</v>
      </c>
      <c r="D118" s="480">
        <f>DP!U25</f>
        <v>2920</v>
      </c>
      <c r="E118" s="480">
        <f>DP!V25</f>
        <v>1825</v>
      </c>
      <c r="F118" s="412">
        <f t="shared" si="110"/>
        <v>0</v>
      </c>
      <c r="G118" s="470">
        <f>DP!Z25</f>
        <v>0</v>
      </c>
      <c r="H118" s="98">
        <f t="shared" si="111"/>
        <v>0</v>
      </c>
      <c r="I118" s="97"/>
      <c r="J118" s="102">
        <f t="shared" si="100"/>
        <v>0</v>
      </c>
      <c r="K118" s="98">
        <f t="shared" si="101"/>
        <v>0</v>
      </c>
      <c r="L118" s="93">
        <f t="shared" si="102"/>
        <v>0</v>
      </c>
      <c r="M118" s="99">
        <f t="shared" si="103"/>
        <v>0</v>
      </c>
      <c r="N118" s="100"/>
      <c r="O118" s="102">
        <f>($E118/DP!$N$29)*F118</f>
        <v>0</v>
      </c>
      <c r="P118" s="102">
        <f>IF(O118&gt;0,(DP!$N$31),0*1)</f>
        <v>0</v>
      </c>
      <c r="Q118" s="102">
        <f t="shared" si="112"/>
        <v>0</v>
      </c>
      <c r="R118" s="102">
        <f t="shared" si="113"/>
        <v>0</v>
      </c>
      <c r="S118" s="418">
        <f t="shared" si="114"/>
        <v>0</v>
      </c>
      <c r="T118" s="475">
        <f>H118*DP!$Q$44</f>
        <v>0</v>
      </c>
      <c r="U118" s="475">
        <f>IF(H118&gt;0,DP!$R$44,0*1)</f>
        <v>0</v>
      </c>
      <c r="V118" s="475">
        <f t="shared" si="115"/>
        <v>0</v>
      </c>
      <c r="W118" s="475">
        <f>H118*DP!$Q$45</f>
        <v>0</v>
      </c>
      <c r="X118" s="475">
        <f>IF(H118&gt;0,DP!$R$45,0*1)</f>
        <v>0</v>
      </c>
      <c r="Y118" s="475">
        <f t="shared" si="116"/>
        <v>0</v>
      </c>
      <c r="Z118" s="100"/>
      <c r="AA118" s="93">
        <f>IF(D118=DP!$L$15,F118*(1+DP!$N$15),IF(D118=DP!$L$16,F118*(1+DP!$N$16),IF(D118=DP!$L$17,F118*(1+DP!$N$17),IF(D118=DP!$L$18,F118*(1+DP!$N$18),0*1))))</f>
        <v>0</v>
      </c>
      <c r="AB118" s="102">
        <f>IF(D118=DP!$L$22,(DP!$M$22),IF(D118=DP!$L$23,(DP!$M$23),IF(D118=DP!$L$24,(DP!$M$24),IF(D118=DP!$L$25,(DP!$M$25),((0*1))))))</f>
        <v>0</v>
      </c>
      <c r="AC118" s="93">
        <f t="shared" si="117"/>
        <v>0</v>
      </c>
      <c r="AD118" s="93">
        <f>IF(D118=DP!$L$15,F118*(1+DP!$N$15),IF(D118=DP!$L$16,F118*(1+DP!$N$16),IF(D118=DP!$L$17,F118*(1+DP!$N$17),IF(D118=DP!$L$18,F118*(1+DP!$N$18),0*1))))</f>
        <v>0</v>
      </c>
      <c r="AE118" s="102">
        <f>IF(D118=DP!$L$22,(DP!$N$22),IF(D118=DP!$L$23,(DP!$N$23),IF(D118=DP!$L$24,(DP!$N$24),IF(D118=DP!$L$25,(DP!$N$25),((0*1))))))</f>
        <v>0</v>
      </c>
      <c r="AF118" s="93">
        <f t="shared" si="118"/>
        <v>0</v>
      </c>
      <c r="AG118" s="93">
        <f>IF(D118=DP!$L$15,(F118/DP!$K$15)*(1+DP!$N$15),IF(D118=DP!$L$16,(F118/DP!$K$16)*(1+DP!$N$16),IF(D118=DP!$L$17,(F118/DP!$K$17)*(1+DP!$N$17),IF(D118=DP!$L$18,(F118/DP!$K$18)*(1+DP!$N$18),0*1))))</f>
        <v>0</v>
      </c>
      <c r="AH118" s="102">
        <f>IF(D118=DP!$L$22,(DP!$O$22),IF(D118=DP!$L$23,(DP!$O$23),IF(D118=DP!$L$24,(DP!$O$24),IF(D118=DP!$L$25,(DP!$O$25),((0*1))))))</f>
        <v>0</v>
      </c>
      <c r="AI118" s="93">
        <f t="shared" si="119"/>
        <v>0</v>
      </c>
      <c r="AJ118" s="93">
        <f>IF(D118=DP!$L$15,F118*(1+DP!$N$15),IF(D118=DP!$L$16,F118*(1+DP!$N$16),IF(D118=DP!$L$17,F118*(1+DP!$N$17),IF(D118=DP!$L$18,F118*(1+DP!$N$18),0*1))))</f>
        <v>0</v>
      </c>
      <c r="AK118" s="102">
        <f>IF(D118=DP!$L$22,(DP!$P$22),IF(D118=DP!$L$23,(DP!$P$23),IF(D118=DP!$L$24,(DP!$P$24),IF(D118=DP!$L$25,(DP!$P$25),((0*1))))))</f>
        <v>0</v>
      </c>
      <c r="AL118" s="93">
        <f t="shared" si="120"/>
        <v>0</v>
      </c>
      <c r="AM118" s="100"/>
      <c r="AN118" s="149">
        <f t="shared" si="104"/>
        <v>0</v>
      </c>
      <c r="AO118" s="149">
        <f>DP!$N$35*H118</f>
        <v>0</v>
      </c>
      <c r="AP118" s="149">
        <f>DP!$O$35*H118</f>
        <v>0</v>
      </c>
      <c r="AQ118" s="149">
        <f>DP!$P$35*H118</f>
        <v>0</v>
      </c>
      <c r="AV118" s="489" t="str">
        <f>DP!AV25</f>
        <v>PIÑA TROZO 822</v>
      </c>
      <c r="AW118" s="489">
        <f>DP!AW25</f>
        <v>822</v>
      </c>
      <c r="AX118" s="489">
        <f>DP!AX25</f>
        <v>500</v>
      </c>
      <c r="AY118" s="412">
        <f t="shared" si="121"/>
        <v>36720</v>
      </c>
      <c r="AZ118" s="470">
        <f>DP!BB25</f>
        <v>0.1</v>
      </c>
      <c r="BA118" s="98">
        <f t="shared" si="122"/>
        <v>18360</v>
      </c>
      <c r="BB118" s="97"/>
      <c r="BC118" s="102">
        <f t="shared" si="105"/>
        <v>1.2984286501572693</v>
      </c>
      <c r="BD118" s="98">
        <f t="shared" si="106"/>
        <v>1.1134286501572692</v>
      </c>
      <c r="BE118" s="93">
        <f t="shared" si="107"/>
        <v>47678.300033774925</v>
      </c>
      <c r="BF118" s="99">
        <f t="shared" si="108"/>
        <v>40885.100033774928</v>
      </c>
      <c r="BG118" s="100"/>
      <c r="BH118" s="102">
        <f>IFERROR((BA118*100%)/DP!$AP$29,(0*1))</f>
        <v>40800</v>
      </c>
      <c r="BI118" s="102">
        <f>IF(BH118&gt;0,(DP!$AP$31),0*1)</f>
        <v>0.45</v>
      </c>
      <c r="BJ118" s="435">
        <f t="shared" si="123"/>
        <v>18360</v>
      </c>
      <c r="BK118" s="475">
        <f>BA118*DP!$AS$44</f>
        <v>45.9</v>
      </c>
      <c r="BL118" s="475">
        <f>IF(BA118&gt;0,DP!$AT$44,0*1)</f>
        <v>0.95</v>
      </c>
      <c r="BM118" s="475">
        <f t="shared" si="124"/>
        <v>43.604999999999997</v>
      </c>
      <c r="BN118" s="102">
        <f>BA118*DP!$AS$45</f>
        <v>3047.76</v>
      </c>
      <c r="BO118" s="102">
        <f>IF(BA118&gt;0,DP!$AT$45,0*1)</f>
        <v>0.76919999999999999</v>
      </c>
      <c r="BP118" s="475">
        <f t="shared" si="125"/>
        <v>2344.336992</v>
      </c>
      <c r="BQ118" s="100"/>
      <c r="BR118" s="100"/>
      <c r="BS118" s="100"/>
      <c r="BT118" s="93">
        <f>IF(AW118=DP!$AN$15,AY118*(1+DP!$AP$15),IF(AW118=DP!$AN$16,AY118*(1+DP!$AP$16),IF(AW118=DP!$AN$17,AY118*(1+DP!$AP$17),IF(AW118=DP!$AN$18,AY118*(1+DP!$AP$18),0*1))))</f>
        <v>36903.599999999999</v>
      </c>
      <c r="BU118" s="102">
        <f>IF(AW118=DP!$AN$22,(DP!$AO$22),IF(AW118=DP!$AN$23,(DP!$AO$23),IF(AW118=DP!$AN$24,(DP!$AO$24),IF(AW118=DP!$AN$25,(DP!$AO$25),((0*1))))))</f>
        <v>0.24</v>
      </c>
      <c r="BV118" s="93">
        <f t="shared" si="126"/>
        <v>8856.8639999999996</v>
      </c>
      <c r="BW118" s="93">
        <f>IF(AW118=DP!$AN$15,AY118*(1+DP!$AP$15),IF(AW118=DP!$AN$16,AY118*(1+DP!$AP$16),IF(AW118=DP!$AN$17,AY118*(1+DP!$AP$17),IF(AW118=DP!$AN$18,AY118*(1+DP!$AP$18),0*1))))</f>
        <v>36903.599999999999</v>
      </c>
      <c r="BX118" s="102">
        <f>IF(AW118=DP!$AN$22,(DP!$AP$22),IF(AW118=DP!$AN$23,(DP!$AP$23),IF(AW118=DP!$AN$24,(DP!$AP$24),IF(AW118=DP!$AN$25,(DP!$AP$25),((0*1))))))</f>
        <v>7.0000000000000007E-2</v>
      </c>
      <c r="BY118" s="93">
        <f t="shared" si="127"/>
        <v>2583.252</v>
      </c>
      <c r="BZ118" s="93">
        <f>IF(AW118=DP!$AN$15,(AY118/DP!$AM$15)*(1+DP!$AP$15),IF(AW118=DP!$AN$16,(AY118/DP!$AM$16)*(1+DP!$AP$16),IF(AW118=DP!$AN$17,(AY118/DP!$AM$17)*(1+DP!$AP$17),IF(AW118=DP!$AN$18,(AY118/DP!$AM$18)*(1+DP!$AP$18),0*1))))</f>
        <v>3075.2999999999997</v>
      </c>
      <c r="CA118" s="102">
        <f>IF(AW118=DP!$AN$22,(DP!$AQ$22),IF(AW118=DP!$AN$23,(DP!$AQ$23),IF(AW118=DP!$AN$24,(DP!$AQ$24),IF(AW118=DP!$AN$25,(DP!$AQ$25),((0*1))))))</f>
        <v>0.51200000000000045</v>
      </c>
      <c r="CB118" s="93">
        <f t="shared" si="128"/>
        <v>1574.5536000000013</v>
      </c>
      <c r="CC118" s="93">
        <f>IF(AW118=DP!$AN$15,AY118*(1+DP!$AP$15),IF(AW118=DP!$AN$16,AY118*(1+DP!$AP$16),IF(AW118=DP!$AN$17,AY118*(1+DP!$AP$17),IF(AW118=DP!$AN$18,AY118*(1+DP!$AP$18),0*1))))</f>
        <v>36903.599999999999</v>
      </c>
      <c r="CD118" s="102">
        <f>IF(AW118=DP!$AN$22,(DP!$AR$22),IF(AW118=DP!$AN$23,(DP!$AR$23),IF(AW118=DP!$AN$24,(DP!$AR$24),IF(AW118=DP!$AN$25,(DP!$AR$25),((0*1))))))</f>
        <v>3.3045977011494254E-2</v>
      </c>
      <c r="CE118" s="93">
        <f t="shared" si="129"/>
        <v>1219.5155172413793</v>
      </c>
      <c r="CF118" s="100"/>
      <c r="CG118" s="149">
        <f t="shared" si="109"/>
        <v>5902.9729245335484</v>
      </c>
      <c r="CH118" s="149">
        <f>DP!$N$35*BA118</f>
        <v>263.79310344827587</v>
      </c>
      <c r="CI118" s="149">
        <f>DP!$O$35*BA118</f>
        <v>1002.4137931034484</v>
      </c>
      <c r="CJ118" s="149">
        <f>DP!$P$35*BA118</f>
        <v>6793.2</v>
      </c>
    </row>
    <row r="119" spans="2:88" x14ac:dyDescent="0.35">
      <c r="B119" s="480">
        <f>DP!S26</f>
        <v>0</v>
      </c>
      <c r="C119" s="480">
        <f>DP!T26</f>
        <v>0</v>
      </c>
      <c r="D119" s="480">
        <f>DP!U26</f>
        <v>0</v>
      </c>
      <c r="E119" s="480">
        <f>DP!V26</f>
        <v>0</v>
      </c>
      <c r="F119" s="412">
        <f t="shared" si="110"/>
        <v>0</v>
      </c>
      <c r="G119" s="470">
        <f>DP!Z26</f>
        <v>0</v>
      </c>
      <c r="H119" s="98">
        <f t="shared" si="111"/>
        <v>0</v>
      </c>
      <c r="I119" s="97"/>
      <c r="J119" s="102">
        <f t="shared" si="100"/>
        <v>0</v>
      </c>
      <c r="K119" s="98">
        <f t="shared" si="101"/>
        <v>0</v>
      </c>
      <c r="L119" s="93">
        <f t="shared" si="102"/>
        <v>0</v>
      </c>
      <c r="M119" s="99">
        <f t="shared" si="103"/>
        <v>0</v>
      </c>
      <c r="N119" s="100"/>
      <c r="O119" s="102">
        <f>($E119/DP!$N$29)*F119</f>
        <v>0</v>
      </c>
      <c r="P119" s="102">
        <f>IF(O119&gt;0,(DP!$N$31),0*1)</f>
        <v>0</v>
      </c>
      <c r="Q119" s="102">
        <f t="shared" si="112"/>
        <v>0</v>
      </c>
      <c r="R119" s="102">
        <f t="shared" si="113"/>
        <v>0</v>
      </c>
      <c r="S119" s="418">
        <f t="shared" si="114"/>
        <v>0</v>
      </c>
      <c r="T119" s="475">
        <f>H119*DP!$Q$44</f>
        <v>0</v>
      </c>
      <c r="U119" s="475">
        <f>IF(H119&gt;0,DP!$R$44,0*1)</f>
        <v>0</v>
      </c>
      <c r="V119" s="475">
        <f t="shared" si="115"/>
        <v>0</v>
      </c>
      <c r="W119" s="475">
        <f>H119*DP!$Q$45</f>
        <v>0</v>
      </c>
      <c r="X119" s="475">
        <f>IF(H119&gt;0,DP!$R$45,0*1)</f>
        <v>0</v>
      </c>
      <c r="Y119" s="475">
        <f t="shared" si="116"/>
        <v>0</v>
      </c>
      <c r="Z119" s="100"/>
      <c r="AA119" s="93">
        <f>IF(D119=DP!$L$15,F119*(1+DP!$N$15),IF(D119=DP!$L$16,F119*(1+DP!$N$16),IF(D119=DP!$L$17,F119*(1+DP!$N$17),IF(D119=DP!$L$18,F119*(1+DP!$N$18),0*1))))</f>
        <v>0</v>
      </c>
      <c r="AB119" s="102">
        <f>IF(D119=DP!$L$22,(DP!$M$22),IF(D119=DP!$L$23,(DP!$M$23),IF(D119=DP!$L$24,(DP!$M$24),IF(D119=DP!$L$25,(DP!$M$25),((0*1))))))</f>
        <v>0</v>
      </c>
      <c r="AC119" s="93">
        <f t="shared" si="117"/>
        <v>0</v>
      </c>
      <c r="AD119" s="93">
        <f>IF(D119=DP!$L$15,F119*(1+DP!$N$15),IF(D119=DP!$L$16,F119*(1+DP!$N$16),IF(D119=DP!$L$17,F119*(1+DP!$N$17),IF(D119=DP!$L$18,F119*(1+DP!$N$18),0*1))))</f>
        <v>0</v>
      </c>
      <c r="AE119" s="102">
        <f>IF(D119=DP!$L$22,(DP!$N$22),IF(D119=DP!$L$23,(DP!$N$23),IF(D119=DP!$L$24,(DP!$N$24),IF(D119=DP!$L$25,(DP!$N$25),((0*1))))))</f>
        <v>0</v>
      </c>
      <c r="AF119" s="93">
        <f t="shared" si="118"/>
        <v>0</v>
      </c>
      <c r="AG119" s="93">
        <f>IF(D119=DP!$L$15,(F119/DP!$K$15)*(1+DP!$N$15),IF(D119=DP!$L$16,(F119/DP!$K$16)*(1+DP!$N$16),IF(D119=DP!$L$17,(F119/DP!$K$17)*(1+DP!$N$17),IF(D119=DP!$L$18,(F119/DP!$K$18)*(1+DP!$N$18),0*1))))</f>
        <v>0</v>
      </c>
      <c r="AH119" s="102">
        <f>IF(D119=DP!$L$22,(DP!$O$22),IF(D119=DP!$L$23,(DP!$O$23),IF(D119=DP!$L$24,(DP!$O$24),IF(D119=DP!$L$25,(DP!$O$25),((0*1))))))</f>
        <v>0</v>
      </c>
      <c r="AI119" s="93">
        <f t="shared" si="119"/>
        <v>0</v>
      </c>
      <c r="AJ119" s="93">
        <f>IF(D119=DP!$L$15,F119*(1+DP!$N$15),IF(D119=DP!$L$16,F119*(1+DP!$N$16),IF(D119=DP!$L$17,F119*(1+DP!$N$17),IF(D119=DP!$L$18,F119*(1+DP!$N$18),0*1))))</f>
        <v>0</v>
      </c>
      <c r="AK119" s="102">
        <f>IF(D119=DP!$L$22,(DP!$P$22),IF(D119=DP!$L$23,(DP!$P$23),IF(D119=DP!$L$24,(DP!$P$24),IF(D119=DP!$L$25,(DP!$P$25),((0*1))))))</f>
        <v>0</v>
      </c>
      <c r="AL119" s="93">
        <f t="shared" si="120"/>
        <v>0</v>
      </c>
      <c r="AM119" s="100"/>
      <c r="AN119" s="149">
        <f t="shared" si="104"/>
        <v>0</v>
      </c>
      <c r="AO119" s="149">
        <f>DP!$N$35*H119</f>
        <v>0</v>
      </c>
      <c r="AP119" s="149">
        <f>DP!$O$35*H119</f>
        <v>0</v>
      </c>
      <c r="AQ119" s="149">
        <f>DP!$P$35*H119</f>
        <v>0</v>
      </c>
      <c r="AV119" s="489">
        <f>DP!AV26</f>
        <v>0</v>
      </c>
      <c r="AW119" s="489">
        <f>DP!AW26</f>
        <v>0</v>
      </c>
      <c r="AX119" s="489">
        <f>DP!AX26</f>
        <v>0</v>
      </c>
      <c r="AY119" s="412">
        <f t="shared" si="121"/>
        <v>0</v>
      </c>
      <c r="AZ119" s="470">
        <f>DP!BB26</f>
        <v>0</v>
      </c>
      <c r="BA119" s="98">
        <f t="shared" si="122"/>
        <v>0</v>
      </c>
      <c r="BB119" s="97"/>
      <c r="BC119" s="102">
        <f t="shared" si="105"/>
        <v>0</v>
      </c>
      <c r="BD119" s="98">
        <f t="shared" si="106"/>
        <v>0</v>
      </c>
      <c r="BE119" s="93">
        <f t="shared" si="107"/>
        <v>0</v>
      </c>
      <c r="BF119" s="99">
        <f t="shared" si="108"/>
        <v>0</v>
      </c>
      <c r="BG119" s="100"/>
      <c r="BH119" s="102">
        <f>IFERROR((BA119*100%)/DP!$AP$29,(0*1))</f>
        <v>0</v>
      </c>
      <c r="BI119" s="102">
        <f>IF(BH119&gt;0,(DP!$AP$31),0*1)</f>
        <v>0</v>
      </c>
      <c r="BJ119" s="435">
        <f t="shared" si="123"/>
        <v>0</v>
      </c>
      <c r="BK119" s="475">
        <f>BA119*DP!$AS$44</f>
        <v>0</v>
      </c>
      <c r="BL119" s="475">
        <f>IF(BA119&gt;0,DP!$AT$44,0*1)</f>
        <v>0</v>
      </c>
      <c r="BM119" s="475">
        <f t="shared" si="124"/>
        <v>0</v>
      </c>
      <c r="BN119" s="102">
        <f>BA119*DP!$AS$45</f>
        <v>0</v>
      </c>
      <c r="BO119" s="102">
        <f>IF(BA119&gt;0,DP!$AT$45,0*1)</f>
        <v>0</v>
      </c>
      <c r="BP119" s="475">
        <f t="shared" si="125"/>
        <v>0</v>
      </c>
      <c r="BQ119" s="100"/>
      <c r="BR119" s="100"/>
      <c r="BS119" s="100"/>
      <c r="BT119" s="93">
        <f>IF(AW119=DP!$AN$15,AY119*(1+DP!$AP$15),IF(AW119=DP!$AN$16,AY119*(1+DP!$AP$16),IF(AW119=DP!$AN$17,AY119*(1+DP!$AP$17),IF(AW119=DP!$AN$18,AY119*(1+DP!$AP$18),0*1))))</f>
        <v>0</v>
      </c>
      <c r="BU119" s="102">
        <f>IF(AW119=DP!$AN$22,(DP!$AO$22),IF(AW119=DP!$AN$23,(DP!$AO$23),IF(AW119=DP!$AN$24,(DP!$AO$24),IF(AW119=DP!$AN$25,(DP!$AO$25),((0*1))))))</f>
        <v>0</v>
      </c>
      <c r="BV119" s="93">
        <f t="shared" si="126"/>
        <v>0</v>
      </c>
      <c r="BW119" s="93">
        <f>IF(AW119=DP!$AN$15,AY119*(1+DP!$AP$15),IF(AW119=DP!$AN$16,AY119*(1+DP!$AP$16),IF(AW119=DP!$AN$17,AY119*(1+DP!$AP$17),IF(AW119=DP!$AN$18,AY119*(1+DP!$AP$18),0*1))))</f>
        <v>0</v>
      </c>
      <c r="BX119" s="102">
        <f>IF(AW119=DP!$AN$22,(DP!$AP$22),IF(AW119=DP!$AN$23,(DP!$AP$23),IF(AW119=DP!$AN$24,(DP!$AP$24),IF(AW119=DP!$AN$25,(DP!$AP$25),((0*1))))))</f>
        <v>0</v>
      </c>
      <c r="BY119" s="93">
        <f t="shared" si="127"/>
        <v>0</v>
      </c>
      <c r="BZ119" s="93">
        <f>IF(AW119=DP!$AN$15,(AY119/DP!$AM$15)*(1+DP!$AP$15),IF(AW119=DP!$AN$16,(AY119/DP!$AM$16)*(1+DP!$AP$16),IF(AW119=DP!$AN$17,(AY119/DP!$AM$17)*(1+DP!$AP$17),IF(AW119=DP!$AN$18,(AY119/DP!$AM$18)*(1+DP!$AP$18),0*1))))</f>
        <v>0</v>
      </c>
      <c r="CA119" s="102">
        <f>IF(AW119=DP!$AN$22,(DP!$AQ$22),IF(AW119=DP!$AN$23,(DP!$AQ$23),IF(AW119=DP!$AN$24,(DP!$AQ$24),IF(AW119=DP!$AN$25,(DP!$AQ$25),((0*1))))))</f>
        <v>0</v>
      </c>
      <c r="CB119" s="93">
        <f t="shared" si="128"/>
        <v>0</v>
      </c>
      <c r="CC119" s="93">
        <f>IF(AW119=DP!$AN$15,AY119*(1+DP!$AP$15),IF(AW119=DP!$AN$16,AY119*(1+DP!$AP$16),IF(AW119=DP!$AN$17,AY119*(1+DP!$AP$17),IF(AW119=DP!$AN$18,AY119*(1+DP!$AP$18),0*1))))</f>
        <v>0</v>
      </c>
      <c r="CD119" s="102">
        <f>IF(AW119=DP!$AN$22,(DP!$AR$22),IF(AW119=DP!$AN$23,(DP!$AR$23),IF(AW119=DP!$AN$24,(DP!$AR$24),IF(AW119=DP!$AN$25,(DP!$AR$25),((0*1))))))</f>
        <v>0</v>
      </c>
      <c r="CE119" s="93">
        <f t="shared" si="129"/>
        <v>0</v>
      </c>
      <c r="CF119" s="100"/>
      <c r="CG119" s="149">
        <f t="shared" si="109"/>
        <v>0</v>
      </c>
      <c r="CH119" s="149">
        <f>DP!$N$35*BA119</f>
        <v>0</v>
      </c>
      <c r="CI119" s="149">
        <f>DP!$O$35*BA119</f>
        <v>0</v>
      </c>
      <c r="CJ119" s="149">
        <f>DP!$P$35*BA119</f>
        <v>0</v>
      </c>
    </row>
    <row r="120" spans="2:88" x14ac:dyDescent="0.35">
      <c r="B120" s="480">
        <f>DP!S27</f>
        <v>0</v>
      </c>
      <c r="C120" s="480">
        <f>DP!T27</f>
        <v>0</v>
      </c>
      <c r="D120" s="480">
        <f>DP!U27</f>
        <v>0</v>
      </c>
      <c r="E120" s="480">
        <f>DP!V27</f>
        <v>0</v>
      </c>
      <c r="F120" s="412">
        <f t="shared" si="110"/>
        <v>0</v>
      </c>
      <c r="G120" s="470">
        <f>DP!Z27</f>
        <v>0</v>
      </c>
      <c r="H120" s="98">
        <f t="shared" si="111"/>
        <v>0</v>
      </c>
      <c r="I120" s="97"/>
      <c r="J120" s="102">
        <f t="shared" si="100"/>
        <v>0</v>
      </c>
      <c r="K120" s="98">
        <f t="shared" si="101"/>
        <v>0</v>
      </c>
      <c r="L120" s="93">
        <f t="shared" si="102"/>
        <v>0</v>
      </c>
      <c r="M120" s="99">
        <f t="shared" si="103"/>
        <v>0</v>
      </c>
      <c r="N120" s="100"/>
      <c r="O120" s="102">
        <f>($E120/DP!$N$29)*F120</f>
        <v>0</v>
      </c>
      <c r="P120" s="102">
        <f>IF(O120&gt;0,(DP!$N$31),0*1)</f>
        <v>0</v>
      </c>
      <c r="Q120" s="102">
        <f t="shared" si="112"/>
        <v>0</v>
      </c>
      <c r="R120" s="102">
        <f t="shared" si="113"/>
        <v>0</v>
      </c>
      <c r="S120" s="418">
        <f t="shared" si="114"/>
        <v>0</v>
      </c>
      <c r="T120" s="475">
        <f>H120*DP!$Q$44</f>
        <v>0</v>
      </c>
      <c r="U120" s="475">
        <f>IF(H120&gt;0,DP!$R$44,0*1)</f>
        <v>0</v>
      </c>
      <c r="V120" s="475">
        <f t="shared" si="115"/>
        <v>0</v>
      </c>
      <c r="W120" s="475">
        <f>H120*DP!$Q$45</f>
        <v>0</v>
      </c>
      <c r="X120" s="475">
        <f>IF(H120&gt;0,DP!$R$45,0*1)</f>
        <v>0</v>
      </c>
      <c r="Y120" s="475">
        <f t="shared" si="116"/>
        <v>0</v>
      </c>
      <c r="Z120" s="100"/>
      <c r="AA120" s="93">
        <f>IF(D120=DP!$L$15,F120*(1+DP!$N$15),IF(D120=DP!$L$16,F120*(1+DP!$N$16),IF(D120=DP!$L$17,F120*(1+DP!$N$17),IF(D120=DP!$L$18,F120*(1+DP!$N$18),0*1))))</f>
        <v>0</v>
      </c>
      <c r="AB120" s="102">
        <f>IF(D120=DP!$L$22,(DP!$M$22),IF(D120=DP!$L$23,(DP!$M$23),IF(D120=DP!$L$24,(DP!$M$24),IF(D120=DP!$L$25,(DP!$M$25),((0*1))))))</f>
        <v>0</v>
      </c>
      <c r="AC120" s="93">
        <f t="shared" si="117"/>
        <v>0</v>
      </c>
      <c r="AD120" s="93">
        <f>IF(D120=DP!$L$15,F120*(1+DP!$N$15),IF(D120=DP!$L$16,F120*(1+DP!$N$16),IF(D120=DP!$L$17,F120*(1+DP!$N$17),IF(D120=DP!$L$18,F120*(1+DP!$N$18),0*1))))</f>
        <v>0</v>
      </c>
      <c r="AE120" s="102">
        <f>IF(D120=DP!$L$22,(DP!$N$22),IF(D120=DP!$L$23,(DP!$N$23),IF(D120=DP!$L$24,(DP!$N$24),IF(D120=DP!$L$25,(DP!$N$25),((0*1))))))</f>
        <v>0</v>
      </c>
      <c r="AF120" s="93">
        <f t="shared" si="118"/>
        <v>0</v>
      </c>
      <c r="AG120" s="93">
        <f>IF(D120=DP!$L$15,(F120/DP!$K$15)*(1+DP!$N$15),IF(D120=DP!$L$16,(F120/DP!$K$16)*(1+DP!$N$16),IF(D120=DP!$L$17,(F120/DP!$K$17)*(1+DP!$N$17),IF(D120=DP!$L$18,(F120/DP!$K$18)*(1+DP!$N$18),0*1))))</f>
        <v>0</v>
      </c>
      <c r="AH120" s="102">
        <f>IF(D120=DP!$L$22,(DP!$O$22),IF(D120=DP!$L$23,(DP!$O$23),IF(D120=DP!$L$24,(DP!$O$24),IF(D120=DP!$L$25,(DP!$O$25),((0*1))))))</f>
        <v>0</v>
      </c>
      <c r="AI120" s="93">
        <f t="shared" si="119"/>
        <v>0</v>
      </c>
      <c r="AJ120" s="93">
        <f>IF(D120=DP!$L$15,F120*(1+DP!$N$15),IF(D120=DP!$L$16,F120*(1+DP!$N$16),IF(D120=DP!$L$17,F120*(1+DP!$N$17),IF(D120=DP!$L$18,F120*(1+DP!$N$18),0*1))))</f>
        <v>0</v>
      </c>
      <c r="AK120" s="102">
        <f>IF(D120=DP!$L$22,(DP!$P$22),IF(D120=DP!$L$23,(DP!$P$23),IF(D120=DP!$L$24,(DP!$P$24),IF(D120=DP!$L$25,(DP!$P$25),((0*1))))))</f>
        <v>0</v>
      </c>
      <c r="AL120" s="93">
        <f t="shared" si="120"/>
        <v>0</v>
      </c>
      <c r="AM120" s="100"/>
      <c r="AN120" s="149">
        <f t="shared" si="104"/>
        <v>0</v>
      </c>
      <c r="AO120" s="149">
        <f>DP!$N$35*H120</f>
        <v>0</v>
      </c>
      <c r="AP120" s="149">
        <f>DP!$O$35*H120</f>
        <v>0</v>
      </c>
      <c r="AQ120" s="149">
        <f>DP!$P$35*H120</f>
        <v>0</v>
      </c>
      <c r="AV120" s="489">
        <f>DP!AV27</f>
        <v>0</v>
      </c>
      <c r="AW120" s="489">
        <f>DP!AW27</f>
        <v>0</v>
      </c>
      <c r="AX120" s="489">
        <f>DP!AX27</f>
        <v>0</v>
      </c>
      <c r="AY120" s="412">
        <f t="shared" si="121"/>
        <v>0</v>
      </c>
      <c r="AZ120" s="470">
        <f>DP!BB27</f>
        <v>0</v>
      </c>
      <c r="BA120" s="98">
        <f t="shared" si="122"/>
        <v>0</v>
      </c>
      <c r="BB120" s="97"/>
      <c r="BC120" s="102">
        <f t="shared" si="105"/>
        <v>0</v>
      </c>
      <c r="BD120" s="98">
        <f t="shared" si="106"/>
        <v>0</v>
      </c>
      <c r="BE120" s="93">
        <f t="shared" si="107"/>
        <v>0</v>
      </c>
      <c r="BF120" s="99">
        <f t="shared" si="108"/>
        <v>0</v>
      </c>
      <c r="BG120" s="100"/>
      <c r="BH120" s="102">
        <f>IFERROR((BA120*100%)/DP!$AP$29,(0*1))</f>
        <v>0</v>
      </c>
      <c r="BI120" s="102">
        <f>IF(BH120&gt;0,(DP!$AP$31),0*1)</f>
        <v>0</v>
      </c>
      <c r="BJ120" s="435">
        <f t="shared" si="123"/>
        <v>0</v>
      </c>
      <c r="BK120" s="475">
        <f>BA120*DP!$AS$44</f>
        <v>0</v>
      </c>
      <c r="BL120" s="475">
        <f>IF(BA120&gt;0,DP!$AT$44,0*1)</f>
        <v>0</v>
      </c>
      <c r="BM120" s="475">
        <f t="shared" si="124"/>
        <v>0</v>
      </c>
      <c r="BN120" s="102">
        <f>BA120*DP!$AS$45</f>
        <v>0</v>
      </c>
      <c r="BO120" s="102">
        <f>IF(BA120&gt;0,DP!$AT$45,0*1)</f>
        <v>0</v>
      </c>
      <c r="BP120" s="475">
        <f t="shared" si="125"/>
        <v>0</v>
      </c>
      <c r="BQ120" s="100"/>
      <c r="BR120" s="100"/>
      <c r="BS120" s="100"/>
      <c r="BT120" s="93">
        <f>IF(AW120=DP!$AN$15,AY120*(1+DP!$AP$15),IF(AW120=DP!$AN$16,AY120*(1+DP!$AP$16),IF(AW120=DP!$AN$17,AY120*(1+DP!$AP$17),IF(AW120=DP!$AN$18,AY120*(1+DP!$AP$18),0*1))))</f>
        <v>0</v>
      </c>
      <c r="BU120" s="102">
        <f>IF(AW120=DP!$AN$22,(DP!$AO$22),IF(AW120=DP!$AN$23,(DP!$AO$23),IF(AW120=DP!$AN$24,(DP!$AO$24),IF(AW120=DP!$AN$25,(DP!$AO$25),((0*1))))))</f>
        <v>0</v>
      </c>
      <c r="BV120" s="93">
        <f t="shared" si="126"/>
        <v>0</v>
      </c>
      <c r="BW120" s="93">
        <f>IF(AW120=DP!$AN$15,AY120*(1+DP!$AP$15),IF(AW120=DP!$AN$16,AY120*(1+DP!$AP$16),IF(AW120=DP!$AN$17,AY120*(1+DP!$AP$17),IF(AW120=DP!$AN$18,AY120*(1+DP!$AP$18),0*1))))</f>
        <v>0</v>
      </c>
      <c r="BX120" s="102">
        <f>IF(AW120=DP!$AN$22,(DP!$AP$22),IF(AW120=DP!$AN$23,(DP!$AP$23),IF(AW120=DP!$AN$24,(DP!$AP$24),IF(AW120=DP!$AN$25,(DP!$AP$25),((0*1))))))</f>
        <v>0</v>
      </c>
      <c r="BY120" s="93">
        <f t="shared" si="127"/>
        <v>0</v>
      </c>
      <c r="BZ120" s="93">
        <f>IF(AW120=DP!$AN$15,(AY120/DP!$AM$15)*(1+DP!$AP$15),IF(AW120=DP!$AN$16,(AY120/DP!$AM$16)*(1+DP!$AP$16),IF(AW120=DP!$AN$17,(AY120/DP!$AM$17)*(1+DP!$AP$17),IF(AW120=DP!$AN$18,(AY120/DP!$AM$18)*(1+DP!$AP$18),0*1))))</f>
        <v>0</v>
      </c>
      <c r="CA120" s="102">
        <f>IF(AW120=DP!$AN$22,(DP!$AQ$22),IF(AW120=DP!$AN$23,(DP!$AQ$23),IF(AW120=DP!$AN$24,(DP!$AQ$24),IF(AW120=DP!$AN$25,(DP!$AQ$25),((0*1))))))</f>
        <v>0</v>
      </c>
      <c r="CB120" s="93">
        <f t="shared" si="128"/>
        <v>0</v>
      </c>
      <c r="CC120" s="93">
        <f>IF(AW120=DP!$AN$15,AY120*(1+DP!$AP$15),IF(AW120=DP!$AN$16,AY120*(1+DP!$AP$16),IF(AW120=DP!$AN$17,AY120*(1+DP!$AP$17),IF(AW120=DP!$AN$18,AY120*(1+DP!$AP$18),0*1))))</f>
        <v>0</v>
      </c>
      <c r="CD120" s="102">
        <f>IF(AW120=DP!$AN$22,(DP!$AR$22),IF(AW120=DP!$AN$23,(DP!$AR$23),IF(AW120=DP!$AN$24,(DP!$AR$24),IF(AW120=DP!$AN$25,(DP!$AR$25),((0*1))))))</f>
        <v>0</v>
      </c>
      <c r="CE120" s="93">
        <f t="shared" si="129"/>
        <v>0</v>
      </c>
      <c r="CF120" s="100"/>
      <c r="CG120" s="149">
        <f t="shared" si="109"/>
        <v>0</v>
      </c>
      <c r="CH120" s="149">
        <f>DP!$N$35*BA120</f>
        <v>0</v>
      </c>
      <c r="CI120" s="149">
        <f>DP!$O$35*BA120</f>
        <v>0</v>
      </c>
      <c r="CJ120" s="149">
        <f>DP!$P$35*BA120</f>
        <v>0</v>
      </c>
    </row>
    <row r="121" spans="2:88" x14ac:dyDescent="0.35">
      <c r="B121" s="480">
        <f>DP!S28</f>
        <v>0</v>
      </c>
      <c r="C121" s="480">
        <f>DP!T28</f>
        <v>0</v>
      </c>
      <c r="D121" s="480">
        <f>DP!U28</f>
        <v>0</v>
      </c>
      <c r="E121" s="480">
        <f>DP!V28</f>
        <v>0</v>
      </c>
      <c r="F121" s="412">
        <f t="shared" si="110"/>
        <v>0</v>
      </c>
      <c r="G121" s="470">
        <f>DP!Z28</f>
        <v>0</v>
      </c>
      <c r="H121" s="98">
        <f t="shared" si="111"/>
        <v>0</v>
      </c>
      <c r="I121" s="97"/>
      <c r="J121" s="102">
        <f t="shared" si="100"/>
        <v>0</v>
      </c>
      <c r="K121" s="98">
        <f t="shared" si="101"/>
        <v>0</v>
      </c>
      <c r="L121" s="93">
        <f t="shared" si="102"/>
        <v>0</v>
      </c>
      <c r="M121" s="99">
        <f t="shared" si="103"/>
        <v>0</v>
      </c>
      <c r="N121" s="100"/>
      <c r="O121" s="102">
        <f>($E121/DP!$N$29)*F121</f>
        <v>0</v>
      </c>
      <c r="P121" s="102">
        <f>IF(O121&gt;0,(DP!$N$31),0*1)</f>
        <v>0</v>
      </c>
      <c r="Q121" s="102">
        <f t="shared" si="112"/>
        <v>0</v>
      </c>
      <c r="R121" s="102">
        <f t="shared" si="113"/>
        <v>0</v>
      </c>
      <c r="S121" s="418">
        <f t="shared" si="114"/>
        <v>0</v>
      </c>
      <c r="T121" s="475">
        <f>H121*DP!$Q$44</f>
        <v>0</v>
      </c>
      <c r="U121" s="475">
        <f>IF(H121&gt;0,DP!$R$44,0*1)</f>
        <v>0</v>
      </c>
      <c r="V121" s="475">
        <f t="shared" si="115"/>
        <v>0</v>
      </c>
      <c r="W121" s="475">
        <f>H121*DP!$Q$45</f>
        <v>0</v>
      </c>
      <c r="X121" s="475">
        <f>IF(H121&gt;0,DP!$R$45,0*1)</f>
        <v>0</v>
      </c>
      <c r="Y121" s="475">
        <f t="shared" si="116"/>
        <v>0</v>
      </c>
      <c r="Z121" s="100"/>
      <c r="AA121" s="93">
        <f>IF(D121=DP!$L$15,F121*(1+DP!$N$15),IF(D121=DP!$L$16,F121*(1+DP!$N$16),IF(D121=DP!$L$17,F121*(1+DP!$N$17),IF(D121=DP!$L$18,F121*(1+DP!$N$18),0*1))))</f>
        <v>0</v>
      </c>
      <c r="AB121" s="102">
        <f>IF(D121=DP!$L$22,(DP!$M$22),IF(D121=DP!$L$23,(DP!$M$23),IF(D121=DP!$L$24,(DP!$M$24),IF(D121=DP!$L$25,(DP!$M$25),((0*1))))))</f>
        <v>0</v>
      </c>
      <c r="AC121" s="93">
        <f t="shared" si="117"/>
        <v>0</v>
      </c>
      <c r="AD121" s="93">
        <f>IF(D121=DP!$L$15,F121*(1+DP!$N$15),IF(D121=DP!$L$16,F121*(1+DP!$N$16),IF(D121=DP!$L$17,F121*(1+DP!$N$17),IF(D121=DP!$L$18,F121*(1+DP!$N$18),0*1))))</f>
        <v>0</v>
      </c>
      <c r="AE121" s="102">
        <f>IF(D121=DP!$L$22,(DP!$N$22),IF(D121=DP!$L$23,(DP!$N$23),IF(D121=DP!$L$24,(DP!$N$24),IF(D121=DP!$L$25,(DP!$N$25),((0*1))))))</f>
        <v>0</v>
      </c>
      <c r="AF121" s="93">
        <f t="shared" si="118"/>
        <v>0</v>
      </c>
      <c r="AG121" s="93">
        <f>IF(D121=DP!$L$15,(F121/DP!$K$15)*(1+DP!$N$15),IF(D121=DP!$L$16,(F121/DP!$K$16)*(1+DP!$N$16),IF(D121=DP!$L$17,(F121/DP!$K$17)*(1+DP!$N$17),IF(D121=DP!$L$18,(F121/DP!$K$18)*(1+DP!$N$18),0*1))))</f>
        <v>0</v>
      </c>
      <c r="AH121" s="102">
        <f>IF(D121=DP!$L$22,(DP!$O$22),IF(D121=DP!$L$23,(DP!$O$23),IF(D121=DP!$L$24,(DP!$O$24),IF(D121=DP!$L$25,(DP!$O$25),((0*1))))))</f>
        <v>0</v>
      </c>
      <c r="AI121" s="93">
        <f t="shared" si="119"/>
        <v>0</v>
      </c>
      <c r="AJ121" s="93">
        <f>IF(D121=DP!$L$15,F121*(1+DP!$N$15),IF(D121=DP!$L$16,F121*(1+DP!$N$16),IF(D121=DP!$L$17,F121*(1+DP!$N$17),IF(D121=DP!$L$18,F121*(1+DP!$N$18),0*1))))</f>
        <v>0</v>
      </c>
      <c r="AK121" s="102">
        <f>IF(D121=DP!$L$22,(DP!$P$22),IF(D121=DP!$L$23,(DP!$P$23),IF(D121=DP!$L$24,(DP!$P$24),IF(D121=DP!$L$25,(DP!$P$25),((0*1))))))</f>
        <v>0</v>
      </c>
      <c r="AL121" s="93">
        <f t="shared" si="120"/>
        <v>0</v>
      </c>
      <c r="AM121" s="100"/>
      <c r="AN121" s="149">
        <f t="shared" si="104"/>
        <v>0</v>
      </c>
      <c r="AO121" s="149">
        <f>DP!$N$35*H121</f>
        <v>0</v>
      </c>
      <c r="AP121" s="149">
        <f>DP!$O$35*H121</f>
        <v>0</v>
      </c>
      <c r="AQ121" s="149">
        <f>DP!$P$35*H121</f>
        <v>0</v>
      </c>
      <c r="AV121" s="489">
        <f>DP!AV28</f>
        <v>0</v>
      </c>
      <c r="AW121" s="489">
        <f>DP!AW28</f>
        <v>0</v>
      </c>
      <c r="AX121" s="489">
        <f>DP!AX28</f>
        <v>0</v>
      </c>
      <c r="AY121" s="412">
        <f t="shared" si="121"/>
        <v>0</v>
      </c>
      <c r="AZ121" s="470">
        <f>DP!BB28</f>
        <v>0</v>
      </c>
      <c r="BA121" s="98">
        <f t="shared" si="122"/>
        <v>0</v>
      </c>
      <c r="BB121" s="97"/>
      <c r="BC121" s="102">
        <f t="shared" si="105"/>
        <v>0</v>
      </c>
      <c r="BD121" s="98">
        <f t="shared" si="106"/>
        <v>0</v>
      </c>
      <c r="BE121" s="93">
        <f t="shared" si="107"/>
        <v>0</v>
      </c>
      <c r="BF121" s="99">
        <f t="shared" si="108"/>
        <v>0</v>
      </c>
      <c r="BG121" s="100"/>
      <c r="BH121" s="102">
        <f>IFERROR((BA121*100%)/DP!$AP$29,(0*1))</f>
        <v>0</v>
      </c>
      <c r="BI121" s="102">
        <f>IF(BH121&gt;0,(DP!$AP$31),0*1)</f>
        <v>0</v>
      </c>
      <c r="BJ121" s="435">
        <f t="shared" si="123"/>
        <v>0</v>
      </c>
      <c r="BK121" s="475">
        <f>BA121*DP!$AS$44</f>
        <v>0</v>
      </c>
      <c r="BL121" s="475">
        <f>IF(BA121&gt;0,DP!$AT$44,0*1)</f>
        <v>0</v>
      </c>
      <c r="BM121" s="475">
        <f t="shared" si="124"/>
        <v>0</v>
      </c>
      <c r="BN121" s="102">
        <f>BA121*DP!$AS$45</f>
        <v>0</v>
      </c>
      <c r="BO121" s="102">
        <f>IF(BA121&gt;0,DP!$AT$45,0*1)</f>
        <v>0</v>
      </c>
      <c r="BP121" s="475">
        <f t="shared" si="125"/>
        <v>0</v>
      </c>
      <c r="BQ121" s="100"/>
      <c r="BR121" s="100"/>
      <c r="BS121" s="100"/>
      <c r="BT121" s="93">
        <f>IF(AW121=DP!$AN$15,AY121*(1+DP!$AP$15),IF(AW121=DP!$AN$16,AY121*(1+DP!$AP$16),IF(AW121=DP!$AN$17,AY121*(1+DP!$AP$17),IF(AW121=DP!$AN$18,AY121*(1+DP!$AP$18),0*1))))</f>
        <v>0</v>
      </c>
      <c r="BU121" s="102">
        <f>IF(AW121=DP!$AN$22,(DP!$AO$22),IF(AW121=DP!$AN$23,(DP!$AO$23),IF(AW121=DP!$AN$24,(DP!$AO$24),IF(AW121=DP!$AN$25,(DP!$AO$25),((0*1))))))</f>
        <v>0</v>
      </c>
      <c r="BV121" s="93">
        <f t="shared" si="126"/>
        <v>0</v>
      </c>
      <c r="BW121" s="93">
        <f>IF(AW121=DP!$AN$15,AY121*(1+DP!$AP$15),IF(AW121=DP!$AN$16,AY121*(1+DP!$AP$16),IF(AW121=DP!$AN$17,AY121*(1+DP!$AP$17),IF(AW121=DP!$AN$18,AY121*(1+DP!$AP$18),0*1))))</f>
        <v>0</v>
      </c>
      <c r="BX121" s="102">
        <f>IF(AW121=DP!$AN$22,(DP!$AP$22),IF(AW121=DP!$AN$23,(DP!$AP$23),IF(AW121=DP!$AN$24,(DP!$AP$24),IF(AW121=DP!$AN$25,(DP!$AP$25),((0*1))))))</f>
        <v>0</v>
      </c>
      <c r="BY121" s="93">
        <f t="shared" si="127"/>
        <v>0</v>
      </c>
      <c r="BZ121" s="93">
        <f>IF(AW121=DP!$AN$15,(AY121/DP!$AM$15)*(1+DP!$AP$15),IF(AW121=DP!$AN$16,(AY121/DP!$AM$16)*(1+DP!$AP$16),IF(AW121=DP!$AN$17,(AY121/DP!$AM$17)*(1+DP!$AP$17),IF(AW121=DP!$AN$18,(AY121/DP!$AM$18)*(1+DP!$AP$18),0*1))))</f>
        <v>0</v>
      </c>
      <c r="CA121" s="102">
        <f>IF(AW121=DP!$AN$22,(DP!$AQ$22),IF(AW121=DP!$AN$23,(DP!$AQ$23),IF(AW121=DP!$AN$24,(DP!$AQ$24),IF(AW121=DP!$AN$25,(DP!$AQ$25),((0*1))))))</f>
        <v>0</v>
      </c>
      <c r="CB121" s="93">
        <f t="shared" si="128"/>
        <v>0</v>
      </c>
      <c r="CC121" s="93">
        <f>IF(AW121=DP!$AN$15,AY121*(1+DP!$AP$15),IF(AW121=DP!$AN$16,AY121*(1+DP!$AP$16),IF(AW121=DP!$AN$17,AY121*(1+DP!$AP$17),IF(AW121=DP!$AN$18,AY121*(1+DP!$AP$18),0*1))))</f>
        <v>0</v>
      </c>
      <c r="CD121" s="102">
        <f>IF(AW121=DP!$AN$22,(DP!$AR$22),IF(AW121=DP!$AN$23,(DP!$AR$23),IF(AW121=DP!$AN$24,(DP!$AR$24),IF(AW121=DP!$AN$25,(DP!$AR$25),((0*1))))))</f>
        <v>0</v>
      </c>
      <c r="CE121" s="93">
        <f t="shared" si="129"/>
        <v>0</v>
      </c>
      <c r="CF121" s="100"/>
      <c r="CG121" s="149">
        <f t="shared" si="109"/>
        <v>0</v>
      </c>
      <c r="CH121" s="149">
        <f>DP!$N$35*BA121</f>
        <v>0</v>
      </c>
      <c r="CI121" s="149">
        <f>DP!$O$35*BA121</f>
        <v>0</v>
      </c>
      <c r="CJ121" s="149">
        <f>DP!$P$35*BA121</f>
        <v>0</v>
      </c>
    </row>
    <row r="122" spans="2:88" x14ac:dyDescent="0.35">
      <c r="B122" s="480">
        <f>DP!S29</f>
        <v>0</v>
      </c>
      <c r="C122" s="480">
        <f>DP!T29</f>
        <v>0</v>
      </c>
      <c r="D122" s="480">
        <f>DP!U29</f>
        <v>0</v>
      </c>
      <c r="E122" s="480">
        <f>DP!V29</f>
        <v>0</v>
      </c>
      <c r="F122" s="412">
        <f t="shared" si="110"/>
        <v>0</v>
      </c>
      <c r="G122" s="470">
        <f>DP!Z29</f>
        <v>0</v>
      </c>
      <c r="H122" s="98">
        <f t="shared" si="111"/>
        <v>0</v>
      </c>
      <c r="I122" s="97"/>
      <c r="J122" s="102">
        <f t="shared" si="100"/>
        <v>0</v>
      </c>
      <c r="K122" s="98">
        <f t="shared" si="101"/>
        <v>0</v>
      </c>
      <c r="L122" s="93">
        <f t="shared" si="102"/>
        <v>0</v>
      </c>
      <c r="M122" s="99">
        <f t="shared" si="103"/>
        <v>0</v>
      </c>
      <c r="N122" s="100"/>
      <c r="O122" s="102">
        <f>($E122/DP!$N$29)*F122</f>
        <v>0</v>
      </c>
      <c r="P122" s="102">
        <f>IF(O122&gt;0,(DP!$N$31),0*1)</f>
        <v>0</v>
      </c>
      <c r="Q122" s="102">
        <f t="shared" si="112"/>
        <v>0</v>
      </c>
      <c r="R122" s="102">
        <f t="shared" si="113"/>
        <v>0</v>
      </c>
      <c r="S122" s="418">
        <f t="shared" si="114"/>
        <v>0</v>
      </c>
      <c r="T122" s="475">
        <f>H122*DP!$Q$44</f>
        <v>0</v>
      </c>
      <c r="U122" s="475">
        <f>IF(H122&gt;0,DP!$R$44,0*1)</f>
        <v>0</v>
      </c>
      <c r="V122" s="475">
        <f t="shared" si="115"/>
        <v>0</v>
      </c>
      <c r="W122" s="475">
        <f>H122*DP!$Q$45</f>
        <v>0</v>
      </c>
      <c r="X122" s="475">
        <f>IF(H122&gt;0,DP!$R$45,0*1)</f>
        <v>0</v>
      </c>
      <c r="Y122" s="475">
        <f t="shared" si="116"/>
        <v>0</v>
      </c>
      <c r="Z122" s="100"/>
      <c r="AA122" s="93">
        <f>IF(D122=DP!$L$15,F122*(1+DP!$N$15),IF(D122=DP!$L$16,F122*(1+DP!$N$16),IF(D122=DP!$L$17,F122*(1+DP!$N$17),IF(D122=DP!$L$18,F122*(1+DP!$N$18),0*1))))</f>
        <v>0</v>
      </c>
      <c r="AB122" s="102">
        <f>IF(D122=DP!$L$22,(DP!$M$22),IF(D122=DP!$L$23,(DP!$M$23),IF(D122=DP!$L$24,(DP!$M$24),IF(D122=DP!$L$25,(DP!$M$25),((0*1))))))</f>
        <v>0</v>
      </c>
      <c r="AC122" s="93">
        <f t="shared" si="117"/>
        <v>0</v>
      </c>
      <c r="AD122" s="93">
        <f>IF(D122=DP!$L$15,F122*(1+DP!$N$15),IF(D122=DP!$L$16,F122*(1+DP!$N$16),IF(D122=DP!$L$17,F122*(1+DP!$N$17),IF(D122=DP!$L$18,F122*(1+DP!$N$18),0*1))))</f>
        <v>0</v>
      </c>
      <c r="AE122" s="102">
        <f>IF(D122=DP!$L$22,(DP!$N$22),IF(D122=DP!$L$23,(DP!$N$23),IF(D122=DP!$L$24,(DP!$N$24),IF(D122=DP!$L$25,(DP!$N$25),((0*1))))))</f>
        <v>0</v>
      </c>
      <c r="AF122" s="93">
        <f t="shared" si="118"/>
        <v>0</v>
      </c>
      <c r="AG122" s="93">
        <f>IF(D122=DP!$L$15,(F122/DP!$K$15)*(1+DP!$N$15),IF(D122=DP!$L$16,(F122/DP!$K$16)*(1+DP!$N$16),IF(D122=DP!$L$17,(F122/DP!$K$17)*(1+DP!$N$17),IF(D122=DP!$L$18,(F122/DP!$K$18)*(1+DP!$N$18),0*1))))</f>
        <v>0</v>
      </c>
      <c r="AH122" s="102">
        <f>IF(D122=DP!$L$22,(DP!$O$22),IF(D122=DP!$L$23,(DP!$O$23),IF(D122=DP!$L$24,(DP!$O$24),IF(D122=DP!$L$25,(DP!$O$25),((0*1))))))</f>
        <v>0</v>
      </c>
      <c r="AI122" s="93">
        <f t="shared" si="119"/>
        <v>0</v>
      </c>
      <c r="AJ122" s="93">
        <f>IF(D122=DP!$L$15,F122*(1+DP!$N$15),IF(D122=DP!$L$16,F122*(1+DP!$N$16),IF(D122=DP!$L$17,F122*(1+DP!$N$17),IF(D122=DP!$L$18,F122*(1+DP!$N$18),0*1))))</f>
        <v>0</v>
      </c>
      <c r="AK122" s="102">
        <f>IF(D122=DP!$L$22,(DP!$P$22),IF(D122=DP!$L$23,(DP!$P$23),IF(D122=DP!$L$24,(DP!$P$24),IF(D122=DP!$L$25,(DP!$P$25),((0*1))))))</f>
        <v>0</v>
      </c>
      <c r="AL122" s="93">
        <f t="shared" si="120"/>
        <v>0</v>
      </c>
      <c r="AM122" s="100"/>
      <c r="AN122" s="149">
        <f t="shared" si="104"/>
        <v>0</v>
      </c>
      <c r="AO122" s="149">
        <f>DP!$N$35*H122</f>
        <v>0</v>
      </c>
      <c r="AP122" s="149">
        <f>DP!$O$35*H122</f>
        <v>0</v>
      </c>
      <c r="AQ122" s="149">
        <f>DP!$P$35*H122</f>
        <v>0</v>
      </c>
      <c r="AV122" s="489">
        <f>DP!AV29</f>
        <v>0</v>
      </c>
      <c r="AW122" s="489">
        <f>DP!AW29</f>
        <v>0</v>
      </c>
      <c r="AX122" s="489">
        <f>DP!AX29</f>
        <v>0</v>
      </c>
      <c r="AY122" s="412">
        <f t="shared" si="121"/>
        <v>0</v>
      </c>
      <c r="AZ122" s="470">
        <f>DP!BB29</f>
        <v>0</v>
      </c>
      <c r="BA122" s="98">
        <f t="shared" si="122"/>
        <v>0</v>
      </c>
      <c r="BB122" s="97"/>
      <c r="BC122" s="102">
        <f t="shared" si="105"/>
        <v>0</v>
      </c>
      <c r="BD122" s="98">
        <f t="shared" si="106"/>
        <v>0</v>
      </c>
      <c r="BE122" s="93">
        <f t="shared" si="107"/>
        <v>0</v>
      </c>
      <c r="BF122" s="99">
        <f t="shared" si="108"/>
        <v>0</v>
      </c>
      <c r="BG122" s="100"/>
      <c r="BH122" s="102">
        <f>IFERROR((BA122*100%)/DP!$AP$29,(0*1))</f>
        <v>0</v>
      </c>
      <c r="BI122" s="102">
        <f>IF(BH122&gt;0,(DP!$AP$31),0*1)</f>
        <v>0</v>
      </c>
      <c r="BJ122" s="435">
        <f t="shared" si="123"/>
        <v>0</v>
      </c>
      <c r="BK122" s="475">
        <f>BA122*DP!$AS$44</f>
        <v>0</v>
      </c>
      <c r="BL122" s="475">
        <f>IF(BA122&gt;0,DP!$AT$44,0*1)</f>
        <v>0</v>
      </c>
      <c r="BM122" s="475">
        <f t="shared" si="124"/>
        <v>0</v>
      </c>
      <c r="BN122" s="102">
        <f>BA122*DP!$AS$45</f>
        <v>0</v>
      </c>
      <c r="BO122" s="102">
        <f>IF(BA122&gt;0,DP!$AT$45,0*1)</f>
        <v>0</v>
      </c>
      <c r="BP122" s="475">
        <f t="shared" si="125"/>
        <v>0</v>
      </c>
      <c r="BQ122" s="100"/>
      <c r="BR122" s="100"/>
      <c r="BS122" s="100"/>
      <c r="BT122" s="93">
        <f>IF(AW122=DP!$AN$15,AY122*(1+DP!$AP$15),IF(AW122=DP!$AN$16,AY122*(1+DP!$AP$16),IF(AW122=DP!$AN$17,AY122*(1+DP!$AP$17),IF(AW122=DP!$AN$18,AY122*(1+DP!$AP$18),0*1))))</f>
        <v>0</v>
      </c>
      <c r="BU122" s="102">
        <f>IF(AW122=DP!$AN$22,(DP!$AO$22),IF(AW122=DP!$AN$23,(DP!$AO$23),IF(AW122=DP!$AN$24,(DP!$AO$24),IF(AW122=DP!$AN$25,(DP!$AO$25),((0*1))))))</f>
        <v>0</v>
      </c>
      <c r="BV122" s="93">
        <f t="shared" si="126"/>
        <v>0</v>
      </c>
      <c r="BW122" s="93">
        <f>IF(AW122=DP!$AN$15,AY122*(1+DP!$AP$15),IF(AW122=DP!$AN$16,AY122*(1+DP!$AP$16),IF(AW122=DP!$AN$17,AY122*(1+DP!$AP$17),IF(AW122=DP!$AN$18,AY122*(1+DP!$AP$18),0*1))))</f>
        <v>0</v>
      </c>
      <c r="BX122" s="102">
        <f>IF(AW122=DP!$AN$22,(DP!$AP$22),IF(AW122=DP!$AN$23,(DP!$AP$23),IF(AW122=DP!$AN$24,(DP!$AP$24),IF(AW122=DP!$AN$25,(DP!$AP$25),((0*1))))))</f>
        <v>0</v>
      </c>
      <c r="BY122" s="93">
        <f t="shared" si="127"/>
        <v>0</v>
      </c>
      <c r="BZ122" s="93">
        <f>IF(AW122=DP!$AN$15,(AY122/DP!$AM$15)*(1+DP!$AP$15),IF(AW122=DP!$AN$16,(AY122/DP!$AM$16)*(1+DP!$AP$16),IF(AW122=DP!$AN$17,(AY122/DP!$AM$17)*(1+DP!$AP$17),IF(AW122=DP!$AN$18,(AY122/DP!$AM$18)*(1+DP!$AP$18),0*1))))</f>
        <v>0</v>
      </c>
      <c r="CA122" s="102">
        <f>IF(AW122=DP!$AN$22,(DP!$AQ$22),IF(AW122=DP!$AN$23,(DP!$AQ$23),IF(AW122=DP!$AN$24,(DP!$AQ$24),IF(AW122=DP!$AN$25,(DP!$AQ$25),((0*1))))))</f>
        <v>0</v>
      </c>
      <c r="CB122" s="93">
        <f t="shared" si="128"/>
        <v>0</v>
      </c>
      <c r="CC122" s="93">
        <f>IF(AW122=DP!$AN$15,AY122*(1+DP!$AP$15),IF(AW122=DP!$AN$16,AY122*(1+DP!$AP$16),IF(AW122=DP!$AN$17,AY122*(1+DP!$AP$17),IF(AW122=DP!$AN$18,AY122*(1+DP!$AP$18),0*1))))</f>
        <v>0</v>
      </c>
      <c r="CD122" s="102">
        <f>IF(AW122=DP!$AN$22,(DP!$AR$22),IF(AW122=DP!$AN$23,(DP!$AR$23),IF(AW122=DP!$AN$24,(DP!$AR$24),IF(AW122=DP!$AN$25,(DP!$AR$25),((0*1))))))</f>
        <v>0</v>
      </c>
      <c r="CE122" s="93">
        <f t="shared" si="129"/>
        <v>0</v>
      </c>
      <c r="CF122" s="100"/>
      <c r="CG122" s="149">
        <f t="shared" si="109"/>
        <v>0</v>
      </c>
      <c r="CH122" s="149">
        <f>DP!$N$35*BA122</f>
        <v>0</v>
      </c>
      <c r="CI122" s="149">
        <f>DP!$O$35*BA122</f>
        <v>0</v>
      </c>
      <c r="CJ122" s="149">
        <f>DP!$P$35*BA122</f>
        <v>0</v>
      </c>
    </row>
    <row r="123" spans="2:88" x14ac:dyDescent="0.35">
      <c r="B123" s="480">
        <f>DP!S30</f>
        <v>0</v>
      </c>
      <c r="C123" s="480">
        <f>DP!T30</f>
        <v>0</v>
      </c>
      <c r="D123" s="480">
        <f>DP!U30</f>
        <v>0</v>
      </c>
      <c r="E123" s="480">
        <f>DP!V30</f>
        <v>0</v>
      </c>
      <c r="F123" s="412">
        <f t="shared" si="110"/>
        <v>0</v>
      </c>
      <c r="G123" s="470">
        <f>DP!Z30</f>
        <v>0</v>
      </c>
      <c r="H123" s="98">
        <f t="shared" si="111"/>
        <v>0</v>
      </c>
      <c r="I123" s="97"/>
      <c r="J123" s="102">
        <f t="shared" si="100"/>
        <v>0</v>
      </c>
      <c r="K123" s="98">
        <f t="shared" si="101"/>
        <v>0</v>
      </c>
      <c r="L123" s="93">
        <f t="shared" si="102"/>
        <v>0</v>
      </c>
      <c r="M123" s="99">
        <f t="shared" si="103"/>
        <v>0</v>
      </c>
      <c r="N123" s="100"/>
      <c r="O123" s="102">
        <f>($E123/DP!$N$29)*F123</f>
        <v>0</v>
      </c>
      <c r="P123" s="102">
        <f>IF(O123&gt;0,(DP!$N$31),0*1)</f>
        <v>0</v>
      </c>
      <c r="Q123" s="102">
        <f t="shared" si="112"/>
        <v>0</v>
      </c>
      <c r="R123" s="102">
        <f t="shared" si="113"/>
        <v>0</v>
      </c>
      <c r="S123" s="418">
        <f t="shared" si="114"/>
        <v>0</v>
      </c>
      <c r="T123" s="475">
        <f>H123*DP!$Q$44</f>
        <v>0</v>
      </c>
      <c r="U123" s="475">
        <f>IF(H123&gt;0,DP!$R$44,0*1)</f>
        <v>0</v>
      </c>
      <c r="V123" s="475">
        <f t="shared" si="115"/>
        <v>0</v>
      </c>
      <c r="W123" s="475">
        <f>H123*DP!$Q$45</f>
        <v>0</v>
      </c>
      <c r="X123" s="475">
        <f>IF(H123&gt;0,DP!$R$45,0*1)</f>
        <v>0</v>
      </c>
      <c r="Y123" s="475">
        <f t="shared" si="116"/>
        <v>0</v>
      </c>
      <c r="Z123" s="100"/>
      <c r="AA123" s="93">
        <f>IF(D123=DP!$L$15,F123*(1+DP!$N$15),IF(D123=DP!$L$16,F123*(1+DP!$N$16),IF(D123=DP!$L$17,F123*(1+DP!$N$17),IF(D123=DP!$L$18,F123*(1+DP!$N$18),0*1))))</f>
        <v>0</v>
      </c>
      <c r="AB123" s="102">
        <f>IF(D123=DP!$L$22,(DP!$M$22),IF(D123=DP!$L$23,(DP!$M$23),IF(D123=DP!$L$24,(DP!$M$24),IF(D123=DP!$L$25,(DP!$M$25),((0*1))))))</f>
        <v>0</v>
      </c>
      <c r="AC123" s="93">
        <f t="shared" si="117"/>
        <v>0</v>
      </c>
      <c r="AD123" s="93">
        <f>IF(D123=DP!$L$15,F123*(1+DP!$N$15),IF(D123=DP!$L$16,F123*(1+DP!$N$16),IF(D123=DP!$L$17,F123*(1+DP!$N$17),IF(D123=DP!$L$18,F123*(1+DP!$N$18),0*1))))</f>
        <v>0</v>
      </c>
      <c r="AE123" s="102">
        <f>IF(D123=DP!$L$22,(DP!$N$22),IF(D123=DP!$L$23,(DP!$N$23),IF(D123=DP!$L$24,(DP!$N$24),IF(D123=DP!$L$25,(DP!$N$25),((0*1))))))</f>
        <v>0</v>
      </c>
      <c r="AF123" s="93">
        <f t="shared" si="118"/>
        <v>0</v>
      </c>
      <c r="AG123" s="93">
        <f>IF(D123=DP!$L$15,(F123/DP!$K$15)*(1+DP!$N$15),IF(D123=DP!$L$16,(F123/DP!$K$16)*(1+DP!$N$16),IF(D123=DP!$L$17,(F123/DP!$K$17)*(1+DP!$N$17),IF(D123=DP!$L$18,(F123/DP!$K$18)*(1+DP!$N$18),0*1))))</f>
        <v>0</v>
      </c>
      <c r="AH123" s="102">
        <f>IF(D123=DP!$L$22,(DP!$O$22),IF(D123=DP!$L$23,(DP!$O$23),IF(D123=DP!$L$24,(DP!$O$24),IF(D123=DP!$L$25,(DP!$O$25),((0*1))))))</f>
        <v>0</v>
      </c>
      <c r="AI123" s="93">
        <f t="shared" si="119"/>
        <v>0</v>
      </c>
      <c r="AJ123" s="93">
        <f>IF(D123=DP!$L$15,F123*(1+DP!$N$15),IF(D123=DP!$L$16,F123*(1+DP!$N$16),IF(D123=DP!$L$17,F123*(1+DP!$N$17),IF(D123=DP!$L$18,F123*(1+DP!$N$18),0*1))))</f>
        <v>0</v>
      </c>
      <c r="AK123" s="102">
        <f>IF(D123=DP!$L$22,(DP!$P$22),IF(D123=DP!$L$23,(DP!$P$23),IF(D123=DP!$L$24,(DP!$P$24),IF(D123=DP!$L$25,(DP!$P$25),((0*1))))))</f>
        <v>0</v>
      </c>
      <c r="AL123" s="93">
        <f t="shared" si="120"/>
        <v>0</v>
      </c>
      <c r="AM123" s="100"/>
      <c r="AN123" s="149">
        <f t="shared" si="104"/>
        <v>0</v>
      </c>
      <c r="AO123" s="149">
        <f>DP!$N$35*H123</f>
        <v>0</v>
      </c>
      <c r="AP123" s="149">
        <f>DP!$O$35*H123</f>
        <v>0</v>
      </c>
      <c r="AQ123" s="149">
        <f>DP!$P$35*H123</f>
        <v>0</v>
      </c>
      <c r="AV123" s="489">
        <f>DP!AV30</f>
        <v>0</v>
      </c>
      <c r="AW123" s="489">
        <f>DP!AW30</f>
        <v>0</v>
      </c>
      <c r="AX123" s="489">
        <f>DP!AX30</f>
        <v>0</v>
      </c>
      <c r="AY123" s="412">
        <f t="shared" si="121"/>
        <v>0</v>
      </c>
      <c r="AZ123" s="470">
        <f>DP!BB30</f>
        <v>0</v>
      </c>
      <c r="BA123" s="98">
        <f t="shared" si="122"/>
        <v>0</v>
      </c>
      <c r="BB123" s="97"/>
      <c r="BC123" s="102">
        <f t="shared" si="105"/>
        <v>0</v>
      </c>
      <c r="BD123" s="98">
        <f t="shared" si="106"/>
        <v>0</v>
      </c>
      <c r="BE123" s="93">
        <f t="shared" si="107"/>
        <v>0</v>
      </c>
      <c r="BF123" s="99">
        <f t="shared" si="108"/>
        <v>0</v>
      </c>
      <c r="BG123" s="100"/>
      <c r="BH123" s="102">
        <f>IFERROR((BA123*100%)/DP!$AP$29,(0*1))</f>
        <v>0</v>
      </c>
      <c r="BI123" s="102">
        <f>IF(BH123&gt;0,(DP!$AP$31),0*1)</f>
        <v>0</v>
      </c>
      <c r="BJ123" s="435">
        <f t="shared" si="123"/>
        <v>0</v>
      </c>
      <c r="BK123" s="475">
        <f>BA123*DP!$AS$44</f>
        <v>0</v>
      </c>
      <c r="BL123" s="475">
        <f>IF(BA123&gt;0,DP!$AT$44,0*1)</f>
        <v>0</v>
      </c>
      <c r="BM123" s="475">
        <f t="shared" si="124"/>
        <v>0</v>
      </c>
      <c r="BN123" s="102">
        <f>BA123*DP!$AS$45</f>
        <v>0</v>
      </c>
      <c r="BO123" s="102">
        <f>IF(BA123&gt;0,DP!$AT$45,0*1)</f>
        <v>0</v>
      </c>
      <c r="BP123" s="475">
        <f t="shared" si="125"/>
        <v>0</v>
      </c>
      <c r="BQ123" s="100"/>
      <c r="BR123" s="100"/>
      <c r="BS123" s="100"/>
      <c r="BT123" s="93">
        <f>IF(AW123=DP!$AN$15,AY123*(1+DP!$AP$15),IF(AW123=DP!$AN$16,AY123*(1+DP!$AP$16),IF(AW123=DP!$AN$17,AY123*(1+DP!$AP$17),IF(AW123=DP!$AN$18,AY123*(1+DP!$AP$18),0*1))))</f>
        <v>0</v>
      </c>
      <c r="BU123" s="102">
        <f>IF(AW123=DP!$AN$22,(DP!$AO$22),IF(AW123=DP!$AN$23,(DP!$AO$23),IF(AW123=DP!$AN$24,(DP!$AO$24),IF(AW123=DP!$AN$25,(DP!$AO$25),((0*1))))))</f>
        <v>0</v>
      </c>
      <c r="BV123" s="93">
        <f t="shared" si="126"/>
        <v>0</v>
      </c>
      <c r="BW123" s="93">
        <f>IF(AW123=DP!$AN$15,AY123*(1+DP!$AP$15),IF(AW123=DP!$AN$16,AY123*(1+DP!$AP$16),IF(AW123=DP!$AN$17,AY123*(1+DP!$AP$17),IF(AW123=DP!$AN$18,AY123*(1+DP!$AP$18),0*1))))</f>
        <v>0</v>
      </c>
      <c r="BX123" s="102">
        <f>IF(AW123=DP!$AN$22,(DP!$AP$22),IF(AW123=DP!$AN$23,(DP!$AP$23),IF(AW123=DP!$AN$24,(DP!$AP$24),IF(AW123=DP!$AN$25,(DP!$AP$25),((0*1))))))</f>
        <v>0</v>
      </c>
      <c r="BY123" s="93">
        <f>BW123*BX123</f>
        <v>0</v>
      </c>
      <c r="BZ123" s="93">
        <f>IF(AW123=DP!$AN$15,(AY123/DP!$AM$15)*(1+DP!$AP$15),IF(AW123=DP!$AN$16,(AY123/DP!$AM$16)*(1+DP!$AP$16),IF(AW123=DP!$AN$17,(AY123/DP!$AM$17)*(1+DP!$AP$17),IF(AW123=DP!$AN$18,(AY123/DP!$AM$18)*(1+DP!$AP$18),0*1))))</f>
        <v>0</v>
      </c>
      <c r="CA123" s="102">
        <f>IF(AW123=DP!$AN$22,(DP!$AQ$22),IF(AW123=DP!$AN$23,(DP!$AQ$23),IF(AW123=DP!$AN$24,(DP!$AQ$24),IF(AW123=DP!$AN$25,(DP!$AQ$25),((0*1))))))</f>
        <v>0</v>
      </c>
      <c r="CB123" s="93">
        <f t="shared" si="128"/>
        <v>0</v>
      </c>
      <c r="CC123" s="93">
        <f>IF(AW123=DP!$AN$15,AY123*(1+DP!$AP$15),IF(AW123=DP!$AN$16,AY123*(1+DP!$AP$16),IF(AW123=DP!$AN$17,AY123*(1+DP!$AP$17),IF(AW123=DP!$AN$18,AY123*(1+DP!$AP$18),0*1))))</f>
        <v>0</v>
      </c>
      <c r="CD123" s="102">
        <f>IF(AW123=DP!$AN$22,(DP!$AR$22),IF(AW123=DP!$AN$23,(DP!$AR$23),IF(AW123=DP!$AN$24,(DP!$AR$24),IF(AW123=DP!$AN$25,(DP!$AR$25),((0*1))))))</f>
        <v>0</v>
      </c>
      <c r="CE123" s="93">
        <f t="shared" si="129"/>
        <v>0</v>
      </c>
      <c r="CF123" s="100"/>
      <c r="CG123" s="149">
        <f t="shared" si="109"/>
        <v>0</v>
      </c>
      <c r="CH123" s="149">
        <f>DP!$N$35*BA123</f>
        <v>0</v>
      </c>
      <c r="CI123" s="149">
        <f>DP!$O$35*BA123</f>
        <v>0</v>
      </c>
      <c r="CJ123" s="149">
        <f>DP!$P$35*BA123</f>
        <v>0</v>
      </c>
    </row>
    <row r="124" spans="2:88" x14ac:dyDescent="0.35">
      <c r="B124" s="480">
        <f>DP!S31</f>
        <v>0</v>
      </c>
      <c r="C124" s="480">
        <f>DP!T31</f>
        <v>0</v>
      </c>
      <c r="D124" s="480">
        <f>DP!U31</f>
        <v>0</v>
      </c>
      <c r="E124" s="480">
        <f>DP!V31</f>
        <v>0</v>
      </c>
      <c r="F124" s="412">
        <f t="shared" si="110"/>
        <v>0</v>
      </c>
      <c r="G124" s="470">
        <f>DP!Z31</f>
        <v>0</v>
      </c>
      <c r="H124" s="98">
        <f t="shared" si="111"/>
        <v>0</v>
      </c>
      <c r="I124" s="97"/>
      <c r="J124" s="102">
        <f t="shared" si="100"/>
        <v>0</v>
      </c>
      <c r="K124" s="98">
        <f t="shared" si="101"/>
        <v>0</v>
      </c>
      <c r="L124" s="93">
        <f t="shared" si="102"/>
        <v>0</v>
      </c>
      <c r="M124" s="99">
        <f t="shared" si="103"/>
        <v>0</v>
      </c>
      <c r="N124" s="100"/>
      <c r="O124" s="102">
        <f>($E124/DP!$N$29)*F124</f>
        <v>0</v>
      </c>
      <c r="P124" s="102">
        <f>IF(O124&gt;0,(DP!$N$31),0*1)</f>
        <v>0</v>
      </c>
      <c r="Q124" s="102">
        <f t="shared" si="112"/>
        <v>0</v>
      </c>
      <c r="R124" s="102">
        <f t="shared" si="113"/>
        <v>0</v>
      </c>
      <c r="S124" s="418">
        <f t="shared" si="114"/>
        <v>0</v>
      </c>
      <c r="T124" s="475">
        <f>H124*DP!$Q$44</f>
        <v>0</v>
      </c>
      <c r="U124" s="475">
        <f>IF(H124&gt;0,DP!$R$44,0*1)</f>
        <v>0</v>
      </c>
      <c r="V124" s="475">
        <f t="shared" si="115"/>
        <v>0</v>
      </c>
      <c r="W124" s="475">
        <f>H124*DP!$Q$45</f>
        <v>0</v>
      </c>
      <c r="X124" s="475">
        <f>IF(H124&gt;0,DP!$R$45,0*1)</f>
        <v>0</v>
      </c>
      <c r="Y124" s="475">
        <f t="shared" si="116"/>
        <v>0</v>
      </c>
      <c r="Z124" s="100"/>
      <c r="AA124" s="93">
        <f>IF(D124=DP!$L$15,F124*(1+DP!$N$15),IF(D124=DP!$L$16,F124*(1+DP!$N$16),IF(D124=DP!$L$17,F124*(1+DP!$N$17),IF(D124=DP!$L$18,F124*(1+DP!$N$18),0*1))))</f>
        <v>0</v>
      </c>
      <c r="AB124" s="102">
        <f>IF(D124=DP!$L$22,(DP!$M$22),IF(D124=DP!$L$23,(DP!$M$23),IF(D124=DP!$L$24,(DP!$M$24),IF(D124=DP!$L$25,(DP!$M$25),((0*1))))))</f>
        <v>0</v>
      </c>
      <c r="AC124" s="93">
        <f t="shared" si="117"/>
        <v>0</v>
      </c>
      <c r="AD124" s="93">
        <f>IF(D124=DP!$L$15,F124*(1+DP!$N$15),IF(D124=DP!$L$16,F124*(1+DP!$N$16),IF(D124=DP!$L$17,F124*(1+DP!$N$17),IF(D124=DP!$L$18,F124*(1+DP!$N$18),0*1))))</f>
        <v>0</v>
      </c>
      <c r="AE124" s="102">
        <f>IF(D124=DP!$L$22,(DP!$N$22),IF(D124=DP!$L$23,(DP!$N$23),IF(D124=DP!$L$24,(DP!$N$24),IF(D124=DP!$L$25,(DP!$N$25),((0*1))))))</f>
        <v>0</v>
      </c>
      <c r="AF124" s="93">
        <f t="shared" si="118"/>
        <v>0</v>
      </c>
      <c r="AG124" s="93">
        <f>IF(D124=DP!$L$15,(F124/DP!$K$15)*(1+DP!$N$15),IF(D124=DP!$L$16,(F124/DP!$K$16)*(1+DP!$N$16),IF(D124=DP!$L$17,(F124/DP!$K$17)*(1+DP!$N$17),IF(D124=DP!$L$18,(F124/DP!$K$18)*(1+DP!$N$18),0*1))))</f>
        <v>0</v>
      </c>
      <c r="AH124" s="102">
        <f>IF(D124=DP!$L$22,(DP!$O$22),IF(D124=DP!$L$23,(DP!$O$23),IF(D124=DP!$L$24,(DP!$O$24),IF(D124=DP!$L$25,(DP!$O$25),((0*1))))))</f>
        <v>0</v>
      </c>
      <c r="AI124" s="93">
        <f t="shared" si="119"/>
        <v>0</v>
      </c>
      <c r="AJ124" s="93">
        <f>IF(D124=DP!$L$15,F124*(1+DP!$N$15),IF(D124=DP!$L$16,F124*(1+DP!$N$16),IF(D124=DP!$L$17,F124*(1+DP!$N$17),IF(D124=DP!$L$18,F124*(1+DP!$N$18),0*1))))</f>
        <v>0</v>
      </c>
      <c r="AK124" s="102">
        <f>IF(D124=DP!$L$22,(DP!$P$22),IF(D124=DP!$L$23,(DP!$P$23),IF(D124=DP!$L$24,(DP!$P$24),IF(D124=DP!$L$25,(DP!$P$25),((0*1))))))</f>
        <v>0</v>
      </c>
      <c r="AL124" s="93">
        <f t="shared" si="120"/>
        <v>0</v>
      </c>
      <c r="AM124" s="100"/>
      <c r="AN124" s="149">
        <f t="shared" si="104"/>
        <v>0</v>
      </c>
      <c r="AO124" s="149">
        <f>DP!$N$35*H124</f>
        <v>0</v>
      </c>
      <c r="AP124" s="149">
        <f>DP!$O$35*H124</f>
        <v>0</v>
      </c>
      <c r="AQ124" s="149">
        <f>DP!$P$35*H124</f>
        <v>0</v>
      </c>
      <c r="AV124" s="489">
        <f>DP!AV31</f>
        <v>0</v>
      </c>
      <c r="AW124" s="489">
        <f>DP!AW31</f>
        <v>0</v>
      </c>
      <c r="AX124" s="489">
        <f>DP!AX31</f>
        <v>0</v>
      </c>
      <c r="AY124" s="412">
        <f t="shared" si="121"/>
        <v>0</v>
      </c>
      <c r="AZ124" s="470">
        <f>DP!BB31</f>
        <v>0</v>
      </c>
      <c r="BA124" s="98">
        <f t="shared" si="122"/>
        <v>0</v>
      </c>
      <c r="BB124" s="97"/>
      <c r="BC124" s="102">
        <f t="shared" si="105"/>
        <v>0</v>
      </c>
      <c r="BD124" s="98">
        <f t="shared" si="106"/>
        <v>0</v>
      </c>
      <c r="BE124" s="93">
        <f t="shared" si="107"/>
        <v>0</v>
      </c>
      <c r="BF124" s="99">
        <f t="shared" si="108"/>
        <v>0</v>
      </c>
      <c r="BG124" s="100"/>
      <c r="BH124" s="102">
        <f>IFERROR((BA124*100%)/DP!$AP$29,(0*1))</f>
        <v>0</v>
      </c>
      <c r="BI124" s="102">
        <f>IF(BH124&gt;0,(DP!$AP$31),0*1)</f>
        <v>0</v>
      </c>
      <c r="BJ124" s="435">
        <f t="shared" si="123"/>
        <v>0</v>
      </c>
      <c r="BK124" s="475">
        <f>BA124*DP!$AS$44</f>
        <v>0</v>
      </c>
      <c r="BL124" s="475">
        <f>IF(BA124&gt;0,DP!$AT$44,0*1)</f>
        <v>0</v>
      </c>
      <c r="BM124" s="475">
        <f t="shared" si="124"/>
        <v>0</v>
      </c>
      <c r="BN124" s="102">
        <f>BA124*DP!$AS$45</f>
        <v>0</v>
      </c>
      <c r="BO124" s="102">
        <f>IF(BA124&gt;0,DP!$AT$45,0*1)</f>
        <v>0</v>
      </c>
      <c r="BP124" s="475">
        <f t="shared" si="125"/>
        <v>0</v>
      </c>
      <c r="BQ124" s="100"/>
      <c r="BR124" s="100"/>
      <c r="BS124" s="100"/>
      <c r="BT124" s="93">
        <f>IF(AW124=DP!$AN$15,AY124*(1+DP!$AP$15),IF(AW124=DP!$AN$16,AY124*(1+DP!$AP$16),IF(AW124=DP!$AN$17,AY124*(1+DP!$AP$17),IF(AW124=DP!$AN$18,AY124*(1+DP!$AP$18),0*1))))</f>
        <v>0</v>
      </c>
      <c r="BU124" s="102">
        <f>IF(AW124=DP!$AN$22,(DP!$AO$22),IF(AW124=DP!$AN$23,(DP!$AO$23),IF(AW124=DP!$AN$24,(DP!$AO$24),IF(AW124=DP!$AN$25,(DP!$AO$25),((0*1))))))</f>
        <v>0</v>
      </c>
      <c r="BV124" s="93">
        <f t="shared" si="126"/>
        <v>0</v>
      </c>
      <c r="BW124" s="93">
        <f>IF(AW124=DP!$AN$15,AY124*(1+DP!$AP$15),IF(AW124=DP!$AN$16,AY124*(1+DP!$AP$16),IF(AW124=DP!$AN$17,AY124*(1+DP!$AP$17),IF(AW124=DP!$AN$18,AY124*(1+DP!$AP$18),0*1))))</f>
        <v>0</v>
      </c>
      <c r="BX124" s="102">
        <f>IF(AW124=DP!$AN$22,(DP!$AP$22),IF(AW124=DP!$AN$23,(DP!$AP$23),IF(AW124=DP!$AN$24,(DP!$AP$24),IF(AW124=DP!$AN$25,(DP!$AP$25),((0*1))))))</f>
        <v>0</v>
      </c>
      <c r="BY124" s="93">
        <f t="shared" ref="BY124:BY129" si="130">BW124*BX124</f>
        <v>0</v>
      </c>
      <c r="BZ124" s="93">
        <f>IF(AW124=DP!$AN$15,(AY124/DP!$AM$15)*(1+DP!$AP$15),IF(AW124=DP!$AN$16,(AY124/DP!$AM$16)*(1+DP!$AP$16),IF(AW124=DP!$AN$17,(AY124/DP!$AM$17)*(1+DP!$AP$17),IF(AW124=DP!$AN$18,(AY124/DP!$AM$18)*(1+DP!$AP$18),0*1))))</f>
        <v>0</v>
      </c>
      <c r="CA124" s="102">
        <f>IF(AW124=DP!$AN$22,(DP!$AQ$22),IF(AW124=DP!$AN$23,(DP!$AQ$23),IF(AW124=DP!$AN$24,(DP!$AQ$24),IF(AW124=DP!$AN$25,(DP!$AQ$25),((0*1))))))</f>
        <v>0</v>
      </c>
      <c r="CB124" s="93">
        <f t="shared" si="128"/>
        <v>0</v>
      </c>
      <c r="CC124" s="93">
        <f>IF(AW124=DP!$AN$15,AY124*(1+DP!$AP$15),IF(AW124=DP!$AN$16,AY124*(1+DP!$AP$16),IF(AW124=DP!$AN$17,AY124*(1+DP!$AP$17),IF(AW124=DP!$AN$18,AY124*(1+DP!$AP$18),0*1))))</f>
        <v>0</v>
      </c>
      <c r="CD124" s="102">
        <f>IF(AW124=DP!$AN$22,(DP!$AR$22),IF(AW124=DP!$AN$23,(DP!$AR$23),IF(AW124=DP!$AN$24,(DP!$AR$24),IF(AW124=DP!$AN$25,(DP!$AR$25),((0*1))))))</f>
        <v>0</v>
      </c>
      <c r="CE124" s="93">
        <f t="shared" si="129"/>
        <v>0</v>
      </c>
      <c r="CF124" s="100"/>
      <c r="CG124" s="149">
        <f t="shared" si="109"/>
        <v>0</v>
      </c>
      <c r="CH124" s="149">
        <f>DP!$N$35*BA124</f>
        <v>0</v>
      </c>
      <c r="CI124" s="149">
        <f>DP!$O$35*BA124</f>
        <v>0</v>
      </c>
      <c r="CJ124" s="149">
        <f>DP!$P$35*BA124</f>
        <v>0</v>
      </c>
    </row>
    <row r="125" spans="2:88" x14ac:dyDescent="0.35">
      <c r="B125" s="480">
        <f>DP!S32</f>
        <v>0</v>
      </c>
      <c r="C125" s="480">
        <f>DP!T32</f>
        <v>0</v>
      </c>
      <c r="D125" s="480">
        <f>DP!U32</f>
        <v>0</v>
      </c>
      <c r="E125" s="480">
        <f>DP!V32</f>
        <v>0</v>
      </c>
      <c r="F125" s="412">
        <f t="shared" si="110"/>
        <v>0</v>
      </c>
      <c r="G125" s="470">
        <f>DP!Z32</f>
        <v>0</v>
      </c>
      <c r="H125" s="98">
        <f t="shared" si="111"/>
        <v>0</v>
      </c>
      <c r="I125" s="97"/>
      <c r="J125" s="102">
        <f t="shared" si="100"/>
        <v>0</v>
      </c>
      <c r="K125" s="98">
        <f t="shared" si="101"/>
        <v>0</v>
      </c>
      <c r="L125" s="93">
        <f t="shared" si="102"/>
        <v>0</v>
      </c>
      <c r="M125" s="99">
        <f t="shared" si="103"/>
        <v>0</v>
      </c>
      <c r="N125" s="100"/>
      <c r="O125" s="102">
        <f>($E125/DP!$N$29)*F125</f>
        <v>0</v>
      </c>
      <c r="P125" s="102">
        <f>IF(O125&gt;0,(DP!$N$31),0*1)</f>
        <v>0</v>
      </c>
      <c r="Q125" s="102">
        <f t="shared" si="112"/>
        <v>0</v>
      </c>
      <c r="R125" s="102">
        <f t="shared" si="113"/>
        <v>0</v>
      </c>
      <c r="S125" s="418">
        <f t="shared" si="114"/>
        <v>0</v>
      </c>
      <c r="T125" s="475">
        <f>H125*DP!$Q$44</f>
        <v>0</v>
      </c>
      <c r="U125" s="475">
        <f>IF(H125&gt;0,DP!$R$44,0*1)</f>
        <v>0</v>
      </c>
      <c r="V125" s="475">
        <f t="shared" si="115"/>
        <v>0</v>
      </c>
      <c r="W125" s="475">
        <f>H125*DP!$Q$45</f>
        <v>0</v>
      </c>
      <c r="X125" s="475">
        <f>IF(H125&gt;0,DP!$R$45,0*1)</f>
        <v>0</v>
      </c>
      <c r="Y125" s="475">
        <f t="shared" si="116"/>
        <v>0</v>
      </c>
      <c r="Z125" s="100"/>
      <c r="AA125" s="93">
        <f>IF(D125=DP!$L$15,F125*(1+DP!$N$15),IF(D125=DP!$L$16,F125*(1+DP!$N$16),IF(D125=DP!$L$17,F125*(1+DP!$N$17),IF(D125=DP!$L$18,F125*(1+DP!$N$18),0*1))))</f>
        <v>0</v>
      </c>
      <c r="AB125" s="102">
        <f>IF(D125=DP!$L$22,(DP!$M$22),IF(D125=DP!$L$23,(DP!$M$23),IF(D125=DP!$L$24,(DP!$M$24),IF(D125=DP!$L$25,(DP!$M$25),((0*1))))))</f>
        <v>0</v>
      </c>
      <c r="AC125" s="93">
        <f t="shared" si="117"/>
        <v>0</v>
      </c>
      <c r="AD125" s="93">
        <f>IF(D125=DP!$L$15,F125*(1+DP!$N$15),IF(D125=DP!$L$16,F125*(1+DP!$N$16),IF(D125=DP!$L$17,F125*(1+DP!$N$17),IF(D125=DP!$L$18,F125*(1+DP!$N$18),0*1))))</f>
        <v>0</v>
      </c>
      <c r="AE125" s="102">
        <f>IF(D125=DP!$L$22,(DP!$N$22),IF(D125=DP!$L$23,(DP!$N$23),IF(D125=DP!$L$24,(DP!$N$24),IF(D125=DP!$L$25,(DP!$N$25),((0*1))))))</f>
        <v>0</v>
      </c>
      <c r="AF125" s="93">
        <f t="shared" si="118"/>
        <v>0</v>
      </c>
      <c r="AG125" s="93">
        <f>IF(D125=DP!$L$15,(F125/DP!$K$15)*(1+DP!$N$15),IF(D125=DP!$L$16,(F125/DP!$K$16)*(1+DP!$N$16),IF(D125=DP!$L$17,(F125/DP!$K$17)*(1+DP!$N$17),IF(D125=DP!$L$18,(F125/DP!$K$18)*(1+DP!$N$18),0*1))))</f>
        <v>0</v>
      </c>
      <c r="AH125" s="102">
        <f>IF(D125=DP!$L$22,(DP!$O$22),IF(D125=DP!$L$23,(DP!$O$23),IF(D125=DP!$L$24,(DP!$O$24),IF(D125=DP!$L$25,(DP!$O$25),((0*1))))))</f>
        <v>0</v>
      </c>
      <c r="AI125" s="93">
        <f t="shared" si="119"/>
        <v>0</v>
      </c>
      <c r="AJ125" s="93">
        <f>IF(D125=DP!$L$15,F125*(1+DP!$N$15),IF(D125=DP!$L$16,F125*(1+DP!$N$16),IF(D125=DP!$L$17,F125*(1+DP!$N$17),IF(D125=DP!$L$18,F125*(1+DP!$N$18),0*1))))</f>
        <v>0</v>
      </c>
      <c r="AK125" s="102">
        <f>IF(D125=DP!$L$22,(DP!$P$22),IF(D125=DP!$L$23,(DP!$P$23),IF(D125=DP!$L$24,(DP!$P$24),IF(D125=DP!$L$25,(DP!$P$25),((0*1))))))</f>
        <v>0</v>
      </c>
      <c r="AL125" s="93">
        <f t="shared" si="120"/>
        <v>0</v>
      </c>
      <c r="AM125" s="100"/>
      <c r="AN125" s="149">
        <f t="shared" si="104"/>
        <v>0</v>
      </c>
      <c r="AO125" s="149">
        <f>DP!$N$35*H125</f>
        <v>0</v>
      </c>
      <c r="AP125" s="149">
        <f>DP!$O$35*H125</f>
        <v>0</v>
      </c>
      <c r="AQ125" s="149">
        <f>DP!$P$35*H125</f>
        <v>0</v>
      </c>
      <c r="AV125" s="489">
        <f>DP!AV32</f>
        <v>0</v>
      </c>
      <c r="AW125" s="489">
        <f>DP!AW32</f>
        <v>0</v>
      </c>
      <c r="AX125" s="489">
        <f>DP!AX32</f>
        <v>0</v>
      </c>
      <c r="AY125" s="412">
        <f t="shared" si="121"/>
        <v>0</v>
      </c>
      <c r="AZ125" s="470">
        <f>DP!BB32</f>
        <v>0</v>
      </c>
      <c r="BA125" s="98">
        <f t="shared" si="122"/>
        <v>0</v>
      </c>
      <c r="BB125" s="97"/>
      <c r="BC125" s="102">
        <f t="shared" si="105"/>
        <v>0</v>
      </c>
      <c r="BD125" s="98">
        <f t="shared" si="106"/>
        <v>0</v>
      </c>
      <c r="BE125" s="93">
        <f t="shared" si="107"/>
        <v>0</v>
      </c>
      <c r="BF125" s="99">
        <f t="shared" si="108"/>
        <v>0</v>
      </c>
      <c r="BG125" s="100"/>
      <c r="BH125" s="102">
        <f>IFERROR((BA125*100%)/DP!$AP$29,(0*1))</f>
        <v>0</v>
      </c>
      <c r="BI125" s="102">
        <f>IF(BH125&gt;0,(DP!$AP$31),0*1)</f>
        <v>0</v>
      </c>
      <c r="BJ125" s="435">
        <f t="shared" si="123"/>
        <v>0</v>
      </c>
      <c r="BK125" s="475">
        <f>BA125*DP!$AS$44</f>
        <v>0</v>
      </c>
      <c r="BL125" s="475">
        <f>IF(BA125&gt;0,DP!$AT$44,0*1)</f>
        <v>0</v>
      </c>
      <c r="BM125" s="475">
        <f t="shared" si="124"/>
        <v>0</v>
      </c>
      <c r="BN125" s="102">
        <f>BA125*DP!$AS$45</f>
        <v>0</v>
      </c>
      <c r="BO125" s="102">
        <f>IF(BA125&gt;0,DP!$AT$45,0*1)</f>
        <v>0</v>
      </c>
      <c r="BP125" s="475">
        <f t="shared" si="125"/>
        <v>0</v>
      </c>
      <c r="BQ125" s="100"/>
      <c r="BR125" s="100"/>
      <c r="BS125" s="100"/>
      <c r="BT125" s="93">
        <f>IF(AW125=DP!$AN$15,AY125*(1+DP!$AP$15),IF(AW125=DP!$AN$16,AY125*(1+DP!$AP$16),IF(AW125=DP!$AN$17,AY125*(1+DP!$AP$17),IF(AW125=DP!$AN$18,AY125*(1+DP!$AP$18),0*1))))</f>
        <v>0</v>
      </c>
      <c r="BU125" s="102">
        <f>IF(AW125=DP!$AN$22,(DP!$AO$22),IF(AW125=DP!$AN$23,(DP!$AO$23),IF(AW125=DP!$AN$24,(DP!$AO$24),IF(AW125=DP!$AN$25,(DP!$AO$25),((0*1))))))</f>
        <v>0</v>
      </c>
      <c r="BV125" s="93">
        <f t="shared" si="126"/>
        <v>0</v>
      </c>
      <c r="BW125" s="93">
        <f>IF(AW125=DP!$AN$15,AY125*(1+DP!$AP$15),IF(AW125=DP!$AN$16,AY125*(1+DP!$AP$16),IF(AW125=DP!$AN$17,AY125*(1+DP!$AP$17),IF(AW125=DP!$AN$18,AY125*(1+DP!$AP$18),0*1))))</f>
        <v>0</v>
      </c>
      <c r="BX125" s="102">
        <f>IF(AW125=DP!$AN$22,(DP!$AP$22),IF(AW125=DP!$AN$23,(DP!$AP$23),IF(AW125=DP!$AN$24,(DP!$AP$24),IF(AW125=DP!$AN$25,(DP!$AP$25),((0*1))))))</f>
        <v>0</v>
      </c>
      <c r="BY125" s="93">
        <f t="shared" si="130"/>
        <v>0</v>
      </c>
      <c r="BZ125" s="93">
        <f>IF(AW125=DP!$AN$15,(AY125/DP!$AM$15)*(1+DP!$AP$15),IF(AW125=DP!$AN$16,(AY125/DP!$AM$16)*(1+DP!$AP$16),IF(AW125=DP!$AN$17,(AY125/DP!$AM$17)*(1+DP!$AP$17),IF(AW125=DP!$AN$18,(AY125/DP!$AM$18)*(1+DP!$AP$18),0*1))))</f>
        <v>0</v>
      </c>
      <c r="CA125" s="102">
        <f>IF(AW125=DP!$AN$22,(DP!$AQ$22),IF(AW125=DP!$AN$23,(DP!$AQ$23),IF(AW125=DP!$AN$24,(DP!$AQ$24),IF(AW125=DP!$AN$25,(DP!$AQ$25),((0*1))))))</f>
        <v>0</v>
      </c>
      <c r="CB125" s="93">
        <f t="shared" si="128"/>
        <v>0</v>
      </c>
      <c r="CC125" s="93">
        <f>IF(AW125=DP!$AN$15,AY125*(1+DP!$AP$15),IF(AW125=DP!$AN$16,AY125*(1+DP!$AP$16),IF(AW125=DP!$AN$17,AY125*(1+DP!$AP$17),IF(AW125=DP!$AN$18,AY125*(1+DP!$AP$18),0*1))))</f>
        <v>0</v>
      </c>
      <c r="CD125" s="102">
        <f>IF(AW125=DP!$AN$22,(DP!$AR$22),IF(AW125=DP!$AN$23,(DP!$AR$23),IF(AW125=DP!$AN$24,(DP!$AR$24),IF(AW125=DP!$AN$25,(DP!$AR$25),((0*1))))))</f>
        <v>0</v>
      </c>
      <c r="CE125" s="93">
        <f t="shared" si="129"/>
        <v>0</v>
      </c>
      <c r="CF125" s="100"/>
      <c r="CG125" s="149">
        <f t="shared" si="109"/>
        <v>0</v>
      </c>
      <c r="CH125" s="149">
        <f>DP!$N$35*BA125</f>
        <v>0</v>
      </c>
      <c r="CI125" s="149">
        <f>DP!$O$35*BA125</f>
        <v>0</v>
      </c>
      <c r="CJ125" s="149">
        <f>DP!$P$35*BA125</f>
        <v>0</v>
      </c>
    </row>
    <row r="126" spans="2:88" x14ac:dyDescent="0.35">
      <c r="B126" s="480">
        <f>DP!S33</f>
        <v>0</v>
      </c>
      <c r="C126" s="480">
        <f>DP!T33</f>
        <v>0</v>
      </c>
      <c r="D126" s="480">
        <f>DP!U33</f>
        <v>0</v>
      </c>
      <c r="E126" s="480">
        <f>DP!V33</f>
        <v>0</v>
      </c>
      <c r="F126" s="412">
        <f t="shared" si="110"/>
        <v>0</v>
      </c>
      <c r="G126" s="470">
        <f>DP!Z33</f>
        <v>0</v>
      </c>
      <c r="H126" s="98">
        <f t="shared" si="111"/>
        <v>0</v>
      </c>
      <c r="I126" s="97"/>
      <c r="J126" s="102">
        <f t="shared" si="100"/>
        <v>0</v>
      </c>
      <c r="K126" s="98">
        <f t="shared" si="101"/>
        <v>0</v>
      </c>
      <c r="L126" s="93">
        <f t="shared" si="102"/>
        <v>0</v>
      </c>
      <c r="M126" s="99">
        <f t="shared" si="103"/>
        <v>0</v>
      </c>
      <c r="N126" s="100"/>
      <c r="O126" s="102">
        <f>($E126/DP!$N$29)*F126</f>
        <v>0</v>
      </c>
      <c r="P126" s="102">
        <f>IF(O126&gt;0,(DP!$N$31),0*1)</f>
        <v>0</v>
      </c>
      <c r="Q126" s="102">
        <f t="shared" si="112"/>
        <v>0</v>
      </c>
      <c r="R126" s="102">
        <f t="shared" si="113"/>
        <v>0</v>
      </c>
      <c r="S126" s="418">
        <f t="shared" si="114"/>
        <v>0</v>
      </c>
      <c r="T126" s="475">
        <f>H126*DP!$Q$44</f>
        <v>0</v>
      </c>
      <c r="U126" s="475">
        <f>IF(H126&gt;0,DP!$R$44,0*1)</f>
        <v>0</v>
      </c>
      <c r="V126" s="475">
        <f t="shared" si="115"/>
        <v>0</v>
      </c>
      <c r="W126" s="475">
        <f>H126*DP!$Q$45</f>
        <v>0</v>
      </c>
      <c r="X126" s="475">
        <f>IF(H126&gt;0,DP!$R$45,0*1)</f>
        <v>0</v>
      </c>
      <c r="Y126" s="475">
        <f t="shared" si="116"/>
        <v>0</v>
      </c>
      <c r="Z126" s="100"/>
      <c r="AA126" s="93">
        <f>IF(D126=DP!$L$15,F126*(1+DP!$N$15),IF(D126=DP!$L$16,F126*(1+DP!$N$16),IF(D126=DP!$L$17,F126*(1+DP!$N$17),IF(D126=DP!$L$18,F126*(1+DP!$N$18),0*1))))</f>
        <v>0</v>
      </c>
      <c r="AB126" s="102">
        <f>IF(D126=DP!$L$22,(DP!$M$22),IF(D126=DP!$L$23,(DP!$M$23),IF(D126=DP!$L$24,(DP!$M$24),IF(D126=DP!$L$25,(DP!$M$25),((0*1))))))</f>
        <v>0</v>
      </c>
      <c r="AC126" s="93">
        <f t="shared" si="117"/>
        <v>0</v>
      </c>
      <c r="AD126" s="93">
        <f>IF(D126=DP!$L$15,F126*(1+DP!$N$15),IF(D126=DP!$L$16,F126*(1+DP!$N$16),IF(D126=DP!$L$17,F126*(1+DP!$N$17),IF(D126=DP!$L$18,F126*(1+DP!$N$18),0*1))))</f>
        <v>0</v>
      </c>
      <c r="AE126" s="102">
        <f>IF(D126=DP!$L$22,(DP!$N$22),IF(D126=DP!$L$23,(DP!$N$23),IF(D126=DP!$L$24,(DP!$N$24),IF(D126=DP!$L$25,(DP!$N$25),((0*1))))))</f>
        <v>0</v>
      </c>
      <c r="AF126" s="93">
        <f t="shared" si="118"/>
        <v>0</v>
      </c>
      <c r="AG126" s="93">
        <f>IF(D126=DP!$L$15,(F126/DP!$K$15)*(1+DP!$N$15),IF(D126=DP!$L$16,(F126/DP!$K$16)*(1+DP!$N$16),IF(D126=DP!$L$17,(F126/DP!$K$17)*(1+DP!$N$17),IF(D126=DP!$L$18,(F126/DP!$K$18)*(1+DP!$N$18),0*1))))</f>
        <v>0</v>
      </c>
      <c r="AH126" s="102">
        <f>IF(D126=DP!$L$22,(DP!$O$22),IF(D126=DP!$L$23,(DP!$O$23),IF(D126=DP!$L$24,(DP!$O$24),IF(D126=DP!$L$25,(DP!$O$25),((0*1))))))</f>
        <v>0</v>
      </c>
      <c r="AI126" s="93">
        <f t="shared" si="119"/>
        <v>0</v>
      </c>
      <c r="AJ126" s="93">
        <f>IF(D126=DP!$L$15,F126*(1+DP!$N$15),IF(D126=DP!$L$16,F126*(1+DP!$N$16),IF(D126=DP!$L$17,F126*(1+DP!$N$17),IF(D126=DP!$L$18,F126*(1+DP!$N$18),0*1))))</f>
        <v>0</v>
      </c>
      <c r="AK126" s="102">
        <f>IF(D126=DP!$L$22,(DP!$P$22),IF(D126=DP!$L$23,(DP!$P$23),IF(D126=DP!$L$24,(DP!$P$24),IF(D126=DP!$L$25,(DP!$P$25),((0*1))))))</f>
        <v>0</v>
      </c>
      <c r="AL126" s="93">
        <f t="shared" si="120"/>
        <v>0</v>
      </c>
      <c r="AM126" s="100"/>
      <c r="AN126" s="149">
        <f t="shared" si="104"/>
        <v>0</v>
      </c>
      <c r="AO126" s="149">
        <f>DP!$N$35*H126</f>
        <v>0</v>
      </c>
      <c r="AP126" s="149">
        <f>DP!$O$35*H126</f>
        <v>0</v>
      </c>
      <c r="AQ126" s="149">
        <f>DP!$P$35*H126</f>
        <v>0</v>
      </c>
      <c r="AV126" s="489">
        <f>DP!AV33</f>
        <v>0</v>
      </c>
      <c r="AW126" s="489">
        <f>DP!AW33</f>
        <v>0</v>
      </c>
      <c r="AX126" s="489">
        <f>DP!AX33</f>
        <v>0</v>
      </c>
      <c r="AY126" s="412">
        <f t="shared" si="121"/>
        <v>0</v>
      </c>
      <c r="AZ126" s="470">
        <f>DP!BB33</f>
        <v>0</v>
      </c>
      <c r="BA126" s="98">
        <f t="shared" si="122"/>
        <v>0</v>
      </c>
      <c r="BB126" s="97"/>
      <c r="BC126" s="102">
        <f t="shared" si="105"/>
        <v>0</v>
      </c>
      <c r="BD126" s="98">
        <f t="shared" si="106"/>
        <v>0</v>
      </c>
      <c r="BE126" s="93">
        <f t="shared" si="107"/>
        <v>0</v>
      </c>
      <c r="BF126" s="99">
        <f t="shared" si="108"/>
        <v>0</v>
      </c>
      <c r="BG126" s="100"/>
      <c r="BH126" s="102">
        <f>IFERROR((BA126*100%)/DP!$AP$29,(0*1))</f>
        <v>0</v>
      </c>
      <c r="BI126" s="102">
        <f>IF(BH126&gt;0,(DP!$AP$31),0*1)</f>
        <v>0</v>
      </c>
      <c r="BJ126" s="435">
        <f t="shared" si="123"/>
        <v>0</v>
      </c>
      <c r="BK126" s="475">
        <f>BA126*DP!$AS$44</f>
        <v>0</v>
      </c>
      <c r="BL126" s="475">
        <f>IF(BA126&gt;0,DP!$AT$44,0*1)</f>
        <v>0</v>
      </c>
      <c r="BM126" s="475">
        <f t="shared" si="124"/>
        <v>0</v>
      </c>
      <c r="BN126" s="102">
        <f>BA126*DP!$AS$45</f>
        <v>0</v>
      </c>
      <c r="BO126" s="102">
        <f>IF(BA126&gt;0,DP!$AT$45,0*1)</f>
        <v>0</v>
      </c>
      <c r="BP126" s="475">
        <f t="shared" si="125"/>
        <v>0</v>
      </c>
      <c r="BQ126" s="100"/>
      <c r="BR126" s="100"/>
      <c r="BS126" s="100"/>
      <c r="BT126" s="93">
        <f>IF(AW126=DP!$AN$15,AY126*(1+DP!$AP$15),IF(AW126=DP!$AN$16,AY126*(1+DP!$AP$16),IF(AW126=DP!$AN$17,AY126*(1+DP!$AP$17),IF(AW126=DP!$AN$18,AY126*(1+DP!$AP$18),0*1))))</f>
        <v>0</v>
      </c>
      <c r="BU126" s="102">
        <f>IF(AW126=DP!$AN$22,(DP!$AO$22),IF(AW126=DP!$AN$23,(DP!$AO$23),IF(AW126=DP!$AN$24,(DP!$AO$24),IF(AW126=DP!$AN$25,(DP!$AO$25),((0*1))))))</f>
        <v>0</v>
      </c>
      <c r="BV126" s="93">
        <f t="shared" si="126"/>
        <v>0</v>
      </c>
      <c r="BW126" s="93">
        <f>IF(AW126=DP!$AN$15,AY126*(1+DP!$AP$15),IF(AW126=DP!$AN$16,AY126*(1+DP!$AP$16),IF(AW126=DP!$AN$17,AY126*(1+DP!$AP$17),IF(AW126=DP!$AN$18,AY126*(1+DP!$AP$18),0*1))))</f>
        <v>0</v>
      </c>
      <c r="BX126" s="102">
        <f>IF(AW126=DP!$AN$22,(DP!$AP$22),IF(AW126=DP!$AN$23,(DP!$AP$23),IF(AW126=DP!$AN$24,(DP!$AP$24),IF(AW126=DP!$AN$25,(DP!$AP$25),((0*1))))))</f>
        <v>0</v>
      </c>
      <c r="BY126" s="93">
        <f t="shared" si="130"/>
        <v>0</v>
      </c>
      <c r="BZ126" s="93">
        <f>IF(AW126=DP!$AN$15,(AY126/DP!$AM$15)*(1+DP!$AP$15),IF(AW126=DP!$AN$16,(AY126/DP!$AM$16)*(1+DP!$AP$16),IF(AW126=DP!$AN$17,(AY126/DP!$AM$17)*(1+DP!$AP$17),IF(AW126=DP!$AN$18,(AY126/DP!$AM$18)*(1+DP!$AP$18),0*1))))</f>
        <v>0</v>
      </c>
      <c r="CA126" s="102">
        <f>IF(AW126=DP!$AN$22,(DP!$AQ$22),IF(AW126=DP!$AN$23,(DP!$AQ$23),IF(AW126=DP!$AN$24,(DP!$AQ$24),IF(AW126=DP!$AN$25,(DP!$AQ$25),((0*1))))))</f>
        <v>0</v>
      </c>
      <c r="CB126" s="93">
        <f t="shared" si="128"/>
        <v>0</v>
      </c>
      <c r="CC126" s="93">
        <f>IF(AW126=DP!$AN$15,AY126*(1+DP!$AP$15),IF(AW126=DP!$AN$16,AY126*(1+DP!$AP$16),IF(AW126=DP!$AN$17,AY126*(1+DP!$AP$17),IF(AW126=DP!$AN$18,AY126*(1+DP!$AP$18),0*1))))</f>
        <v>0</v>
      </c>
      <c r="CD126" s="102">
        <f>IF(AW126=DP!$AN$22,(DP!$AR$22),IF(AW126=DP!$AN$23,(DP!$AR$23),IF(AW126=DP!$AN$24,(DP!$AR$24),IF(AW126=DP!$AN$25,(DP!$AR$25),((0*1))))))</f>
        <v>0</v>
      </c>
      <c r="CE126" s="93">
        <f t="shared" si="129"/>
        <v>0</v>
      </c>
      <c r="CF126" s="100"/>
      <c r="CG126" s="149">
        <f t="shared" si="109"/>
        <v>0</v>
      </c>
      <c r="CH126" s="149">
        <f>DP!$N$35*BA126</f>
        <v>0</v>
      </c>
      <c r="CI126" s="149">
        <f>DP!$O$35*BA126</f>
        <v>0</v>
      </c>
      <c r="CJ126" s="149">
        <f>DP!$P$35*BA126</f>
        <v>0</v>
      </c>
    </row>
    <row r="127" spans="2:88" x14ac:dyDescent="0.35">
      <c r="B127" s="480">
        <f>DP!S34</f>
        <v>0</v>
      </c>
      <c r="C127" s="480">
        <f>DP!T34</f>
        <v>0</v>
      </c>
      <c r="D127" s="480">
        <f>DP!U34</f>
        <v>0</v>
      </c>
      <c r="E127" s="480">
        <f>DP!V34</f>
        <v>0</v>
      </c>
      <c r="F127" s="412">
        <f t="shared" si="110"/>
        <v>0</v>
      </c>
      <c r="G127" s="470">
        <f>DP!Z34</f>
        <v>0</v>
      </c>
      <c r="H127" s="98">
        <f t="shared" si="111"/>
        <v>0</v>
      </c>
      <c r="I127" s="97"/>
      <c r="J127" s="102">
        <f t="shared" si="100"/>
        <v>0</v>
      </c>
      <c r="K127" s="98">
        <f t="shared" si="101"/>
        <v>0</v>
      </c>
      <c r="L127" s="93">
        <f t="shared" si="102"/>
        <v>0</v>
      </c>
      <c r="M127" s="99">
        <f t="shared" si="103"/>
        <v>0</v>
      </c>
      <c r="N127" s="100"/>
      <c r="O127" s="102">
        <f>($E127/DP!$N$29)*F127</f>
        <v>0</v>
      </c>
      <c r="P127" s="102">
        <f>IF(O127&gt;0,(DP!$N$31),0*1)</f>
        <v>0</v>
      </c>
      <c r="Q127" s="102">
        <f t="shared" si="112"/>
        <v>0</v>
      </c>
      <c r="R127" s="102">
        <f t="shared" si="113"/>
        <v>0</v>
      </c>
      <c r="S127" s="418">
        <f t="shared" si="114"/>
        <v>0</v>
      </c>
      <c r="T127" s="475">
        <f>H127*DP!$Q$44</f>
        <v>0</v>
      </c>
      <c r="U127" s="475">
        <f>IF(H127&gt;0,DP!$R$44,0*1)</f>
        <v>0</v>
      </c>
      <c r="V127" s="475">
        <f t="shared" si="115"/>
        <v>0</v>
      </c>
      <c r="W127" s="475">
        <f>H127*DP!$Q$45</f>
        <v>0</v>
      </c>
      <c r="X127" s="475">
        <f>IF(H127&gt;0,DP!$R$45,0*1)</f>
        <v>0</v>
      </c>
      <c r="Y127" s="475">
        <f t="shared" si="116"/>
        <v>0</v>
      </c>
      <c r="Z127" s="100"/>
      <c r="AA127" s="93">
        <f>IF(D127=DP!$L$15,F127*(1+DP!$N$15),IF(D127=DP!$L$16,F127*(1+DP!$N$16),IF(D127=DP!$L$17,F127*(1+DP!$N$17),IF(D127=DP!$L$18,F127*(1+DP!$N$18),0*1))))</f>
        <v>0</v>
      </c>
      <c r="AB127" s="102">
        <f>IF(D127=DP!$L$22,(DP!$M$22),IF(D127=DP!$L$23,(DP!$M$23),IF(D127=DP!$L$24,(DP!$M$24),IF(D127=DP!$L$25,(DP!$M$25),((0*1))))))</f>
        <v>0</v>
      </c>
      <c r="AC127" s="93">
        <f t="shared" si="117"/>
        <v>0</v>
      </c>
      <c r="AD127" s="93">
        <f>IF(D127=DP!$L$15,F127*(1+DP!$N$15),IF(D127=DP!$L$16,F127*(1+DP!$N$16),IF(D127=DP!$L$17,F127*(1+DP!$N$17),IF(D127=DP!$L$18,F127*(1+DP!$N$18),0*1))))</f>
        <v>0</v>
      </c>
      <c r="AE127" s="102">
        <f>IF(D127=DP!$L$22,(DP!$N$22),IF(D127=DP!$L$23,(DP!$N$23),IF(D127=DP!$L$24,(DP!$N$24),IF(D127=DP!$L$25,(DP!$N$25),((0*1))))))</f>
        <v>0</v>
      </c>
      <c r="AF127" s="93">
        <f t="shared" si="118"/>
        <v>0</v>
      </c>
      <c r="AG127" s="93">
        <f>IF(D127=DP!$L$15,(F127/DP!$K$15)*(1+DP!$N$15),IF(D127=DP!$L$16,(F127/DP!$K$16)*(1+DP!$N$16),IF(D127=DP!$L$17,(F127/DP!$K$17)*(1+DP!$N$17),IF(D127=DP!$L$18,(F127/DP!$K$18)*(1+DP!$N$18),0*1))))</f>
        <v>0</v>
      </c>
      <c r="AH127" s="102">
        <f>IF(D127=DP!$L$22,(DP!$O$22),IF(D127=DP!$L$23,(DP!$O$23),IF(D127=DP!$L$24,(DP!$O$24),IF(D127=DP!$L$25,(DP!$O$25),((0*1))))))</f>
        <v>0</v>
      </c>
      <c r="AI127" s="93">
        <f t="shared" si="119"/>
        <v>0</v>
      </c>
      <c r="AJ127" s="93">
        <f>IF(D127=DP!$L$15,F127*(1+DP!$N$15),IF(D127=DP!$L$16,F127*(1+DP!$N$16),IF(D127=DP!$L$17,F127*(1+DP!$N$17),IF(D127=DP!$L$18,F127*(1+DP!$N$18),0*1))))</f>
        <v>0</v>
      </c>
      <c r="AK127" s="102">
        <f>IF(D127=DP!$L$22,(DP!$P$22),IF(D127=DP!$L$23,(DP!$P$23),IF(D127=DP!$L$24,(DP!$P$24),IF(D127=DP!$L$25,(DP!$P$25),((0*1))))))</f>
        <v>0</v>
      </c>
      <c r="AL127" s="93">
        <f t="shared" si="120"/>
        <v>0</v>
      </c>
      <c r="AM127" s="100"/>
      <c r="AN127" s="149">
        <f t="shared" si="104"/>
        <v>0</v>
      </c>
      <c r="AO127" s="149">
        <f>DP!$N$35*H127</f>
        <v>0</v>
      </c>
      <c r="AP127" s="149">
        <f>DP!$O$35*H127</f>
        <v>0</v>
      </c>
      <c r="AQ127" s="149">
        <f>DP!$P$35*H127</f>
        <v>0</v>
      </c>
      <c r="AV127" s="489">
        <f>DP!AV34</f>
        <v>0</v>
      </c>
      <c r="AW127" s="489">
        <f>DP!AW34</f>
        <v>0</v>
      </c>
      <c r="AX127" s="489">
        <f>DP!AX34</f>
        <v>0</v>
      </c>
      <c r="AY127" s="412">
        <f t="shared" si="121"/>
        <v>0</v>
      </c>
      <c r="AZ127" s="470">
        <f>DP!BB34</f>
        <v>0</v>
      </c>
      <c r="BA127" s="98">
        <f t="shared" si="122"/>
        <v>0</v>
      </c>
      <c r="BB127" s="97"/>
      <c r="BC127" s="102">
        <f t="shared" si="105"/>
        <v>0</v>
      </c>
      <c r="BD127" s="98">
        <f t="shared" si="106"/>
        <v>0</v>
      </c>
      <c r="BE127" s="93">
        <f t="shared" si="107"/>
        <v>0</v>
      </c>
      <c r="BF127" s="99">
        <f t="shared" si="108"/>
        <v>0</v>
      </c>
      <c r="BG127" s="100"/>
      <c r="BH127" s="102">
        <f>IFERROR((BA127*100%)/DP!$AP$29,(0*1))</f>
        <v>0</v>
      </c>
      <c r="BI127" s="102">
        <f>IF(BH127&gt;0,(DP!$AP$31),0*1)</f>
        <v>0</v>
      </c>
      <c r="BJ127" s="435">
        <f>BH127*BI127</f>
        <v>0</v>
      </c>
      <c r="BK127" s="475">
        <f>BA127*DP!$AS$44</f>
        <v>0</v>
      </c>
      <c r="BL127" s="475">
        <f>IF(BA127&gt;0,DP!$AT$44,0*1)</f>
        <v>0</v>
      </c>
      <c r="BM127" s="475">
        <f t="shared" si="124"/>
        <v>0</v>
      </c>
      <c r="BN127" s="102">
        <f>BA127*DP!$AS$45</f>
        <v>0</v>
      </c>
      <c r="BO127" s="102">
        <f>IF(BA127&gt;0,DP!$AT$45,0*1)</f>
        <v>0</v>
      </c>
      <c r="BP127" s="475">
        <f t="shared" si="125"/>
        <v>0</v>
      </c>
      <c r="BQ127" s="100"/>
      <c r="BR127" s="100"/>
      <c r="BS127" s="100"/>
      <c r="BT127" s="93">
        <f>IF(AW127=DP!$AN$15,AY127*(1+DP!$AP$15),IF(AW127=DP!$AN$16,AY127*(1+DP!$AP$16),IF(AW127=DP!$AN$17,AY127*(1+DP!$AP$17),IF(AW127=DP!$AN$18,AY127*(1+DP!$AP$18),0*1))))</f>
        <v>0</v>
      </c>
      <c r="BU127" s="102">
        <f>IF(AW127=DP!$AN$22,(DP!$AO$22),IF(AW127=DP!$AN$23,(DP!$AO$23),IF(AW127=DP!$AN$24,(DP!$AO$24),IF(AW127=DP!$AN$25,(DP!$AO$25),((0*1))))))</f>
        <v>0</v>
      </c>
      <c r="BV127" s="93">
        <f t="shared" si="126"/>
        <v>0</v>
      </c>
      <c r="BW127" s="93">
        <f>IF(AW127=DP!$AN$15,AY127*(1+DP!$AP$15),IF(AW127=DP!$AN$16,AY127*(1+DP!$AP$16),IF(AW127=DP!$AN$17,AY127*(1+DP!$AP$17),IF(AW127=DP!$AN$18,AY127*(1+DP!$AP$18),0*1))))</f>
        <v>0</v>
      </c>
      <c r="BX127" s="102">
        <f>IF(AW127=DP!$AN$22,(DP!$AP$22),IF(AW127=DP!$AN$23,(DP!$AP$23),IF(AW127=DP!$AN$24,(DP!$AP$24),IF(AW127=DP!$AN$25,(DP!$AP$25),((0*1))))))</f>
        <v>0</v>
      </c>
      <c r="BY127" s="93">
        <f t="shared" si="130"/>
        <v>0</v>
      </c>
      <c r="BZ127" s="93">
        <f>IF(AW127=DP!$AN$15,(AY127/DP!$AM$15)*(1+DP!$AP$15),IF(AW127=DP!$AN$16,(AY127/DP!$AM$16)*(1+DP!$AP$16),IF(AW127=DP!$AN$17,(AY127/DP!$AM$17)*(1+DP!$AP$17),IF(AW127=DP!$AN$18,(AY127/DP!$AM$18)*(1+DP!$AP$18),0*1))))</f>
        <v>0</v>
      </c>
      <c r="CA127" s="102">
        <f>IF(AW127=DP!$AN$22,(DP!$AQ$22),IF(AW127=DP!$AN$23,(DP!$AQ$23),IF(AW127=DP!$AN$24,(DP!$AQ$24),IF(AW127=DP!$AN$25,(DP!$AQ$25),((0*1))))))</f>
        <v>0</v>
      </c>
      <c r="CB127" s="93">
        <f t="shared" si="128"/>
        <v>0</v>
      </c>
      <c r="CC127" s="93">
        <f>IF(AW127=DP!$AN$15,AY127*(1+DP!$AP$15),IF(AW127=DP!$AN$16,AY127*(1+DP!$AP$16),IF(AW127=DP!$AN$17,AY127*(1+DP!$AP$17),IF(AW127=DP!$AN$18,AY127*(1+DP!$AP$18),0*1))))</f>
        <v>0</v>
      </c>
      <c r="CD127" s="102">
        <f>IF(AW127=DP!$AN$22,(DP!$AR$22),IF(AW127=DP!$AN$23,(DP!$AR$23),IF(AW127=DP!$AN$24,(DP!$AR$24),IF(AW127=DP!$AN$25,(DP!$AR$25),((0*1))))))</f>
        <v>0</v>
      </c>
      <c r="CE127" s="93">
        <f t="shared" si="129"/>
        <v>0</v>
      </c>
      <c r="CF127" s="100"/>
      <c r="CG127" s="149">
        <f t="shared" si="109"/>
        <v>0</v>
      </c>
      <c r="CH127" s="149">
        <f>DP!$N$35*BA127</f>
        <v>0</v>
      </c>
      <c r="CI127" s="149">
        <f>DP!$O$35*BA127</f>
        <v>0</v>
      </c>
      <c r="CJ127" s="149">
        <f>DP!$P$35*BA127</f>
        <v>0</v>
      </c>
    </row>
    <row r="128" spans="2:88" x14ac:dyDescent="0.35">
      <c r="B128" s="480">
        <f>DP!S35</f>
        <v>0</v>
      </c>
      <c r="C128" s="480">
        <f>DP!T35</f>
        <v>0</v>
      </c>
      <c r="D128" s="480">
        <f>DP!U35</f>
        <v>0</v>
      </c>
      <c r="E128" s="480">
        <f>DP!V35</f>
        <v>0</v>
      </c>
      <c r="F128" s="412">
        <f t="shared" si="110"/>
        <v>0</v>
      </c>
      <c r="G128" s="470">
        <f>DP!Z35</f>
        <v>0</v>
      </c>
      <c r="H128" s="98">
        <f t="shared" si="111"/>
        <v>0</v>
      </c>
      <c r="I128" s="97"/>
      <c r="J128" s="102">
        <f t="shared" si="100"/>
        <v>0</v>
      </c>
      <c r="K128" s="98">
        <f t="shared" si="101"/>
        <v>0</v>
      </c>
      <c r="L128" s="93">
        <f t="shared" si="102"/>
        <v>0</v>
      </c>
      <c r="M128" s="99">
        <f t="shared" si="103"/>
        <v>0</v>
      </c>
      <c r="N128" s="100"/>
      <c r="O128" s="102">
        <f>($E128/DP!$N$29)*F128</f>
        <v>0</v>
      </c>
      <c r="P128" s="102">
        <f>IF(O128&gt;0,(DP!$N$31),0*1)</f>
        <v>0</v>
      </c>
      <c r="Q128" s="102">
        <f t="shared" si="112"/>
        <v>0</v>
      </c>
      <c r="R128" s="102">
        <f t="shared" si="113"/>
        <v>0</v>
      </c>
      <c r="S128" s="418">
        <f t="shared" si="114"/>
        <v>0</v>
      </c>
      <c r="T128" s="475">
        <f>H128*DP!$Q$44</f>
        <v>0</v>
      </c>
      <c r="U128" s="475">
        <f>IF(H128&gt;0,DP!$R$44,0*1)</f>
        <v>0</v>
      </c>
      <c r="V128" s="475">
        <f t="shared" si="115"/>
        <v>0</v>
      </c>
      <c r="W128" s="475">
        <f>H128*DP!$Q$45</f>
        <v>0</v>
      </c>
      <c r="X128" s="475">
        <f>IF(H128&gt;0,DP!$R$45,0*1)</f>
        <v>0</v>
      </c>
      <c r="Y128" s="475">
        <f t="shared" si="116"/>
        <v>0</v>
      </c>
      <c r="Z128" s="100"/>
      <c r="AA128" s="93">
        <f>IF(D128=DP!$L$15,F128*(1+DP!$N$15),IF(D128=DP!$L$16,F128*(1+DP!$N$16),IF(D128=DP!$L$17,F128*(1+DP!$N$17),IF(D128=DP!$L$18,F128*(1+DP!$N$18),0*1))))</f>
        <v>0</v>
      </c>
      <c r="AB128" s="102">
        <f>IF(D128=DP!$L$22,(DP!$M$22),IF(D128=DP!$L$23,(DP!$M$23),IF(D128=DP!$L$24,(DP!$M$24),IF(D128=DP!$L$25,(DP!$M$25),((0*1))))))</f>
        <v>0</v>
      </c>
      <c r="AC128" s="93">
        <f t="shared" si="117"/>
        <v>0</v>
      </c>
      <c r="AD128" s="93">
        <f>IF(D128=DP!$L$15,F128*(1+DP!$N$15),IF(D128=DP!$L$16,F128*(1+DP!$N$16),IF(D128=DP!$L$17,F128*(1+DP!$N$17),IF(D128=DP!$L$18,F128*(1+DP!$N$18),0*1))))</f>
        <v>0</v>
      </c>
      <c r="AE128" s="102">
        <f>IF(D128=DP!$L$22,(DP!$N$22),IF(D128=DP!$L$23,(DP!$N$23),IF(D128=DP!$L$24,(DP!$N$24),IF(D128=DP!$L$25,(DP!$N$25),((0*1))))))</f>
        <v>0</v>
      </c>
      <c r="AF128" s="93">
        <f t="shared" si="118"/>
        <v>0</v>
      </c>
      <c r="AG128" s="93">
        <f>IF(D128=DP!$L$15,(F128/DP!$K$15)*(1+DP!$N$15),IF(D128=DP!$L$16,(F128/DP!$K$16)*(1+DP!$N$16),IF(D128=DP!$L$17,(F128/DP!$K$17)*(1+DP!$N$17),IF(D128=DP!$L$18,(F128/DP!$K$18)*(1+DP!$N$18),0*1))))</f>
        <v>0</v>
      </c>
      <c r="AH128" s="102">
        <f>IF(D128=DP!$L$22,(DP!$O$22),IF(D128=DP!$L$23,(DP!$O$23),IF(D128=DP!$L$24,(DP!$O$24),IF(D128=DP!$L$25,(DP!$O$25),((0*1))))))</f>
        <v>0</v>
      </c>
      <c r="AI128" s="93">
        <f t="shared" si="119"/>
        <v>0</v>
      </c>
      <c r="AJ128" s="93">
        <f>IF(D128=DP!$L$15,F128*(1+DP!$N$15),IF(D128=DP!$L$16,F128*(1+DP!$N$16),IF(D128=DP!$L$17,F128*(1+DP!$N$17),IF(D128=DP!$L$18,F128*(1+DP!$N$18),0*1))))</f>
        <v>0</v>
      </c>
      <c r="AK128" s="102">
        <f>IF(D128=DP!$L$22,(DP!$P$22),IF(D128=DP!$L$23,(DP!$P$23),IF(D128=DP!$L$24,(DP!$P$24),IF(D128=DP!$L$25,(DP!$P$25),((0*1))))))</f>
        <v>0</v>
      </c>
      <c r="AL128" s="93">
        <f t="shared" si="120"/>
        <v>0</v>
      </c>
      <c r="AM128" s="100"/>
      <c r="AN128" s="149">
        <f t="shared" si="104"/>
        <v>0</v>
      </c>
      <c r="AO128" s="149">
        <f>DP!$N$35*H128</f>
        <v>0</v>
      </c>
      <c r="AP128" s="149">
        <f>DP!$O$35*H128</f>
        <v>0</v>
      </c>
      <c r="AQ128" s="149">
        <f>DP!$P$35*H128</f>
        <v>0</v>
      </c>
      <c r="AV128" s="489">
        <f>DP!AV35</f>
        <v>0</v>
      </c>
      <c r="AW128" s="489">
        <f>DP!AW35</f>
        <v>0</v>
      </c>
      <c r="AX128" s="489">
        <f>DP!AX35</f>
        <v>0</v>
      </c>
      <c r="AY128" s="412">
        <f t="shared" si="121"/>
        <v>0</v>
      </c>
      <c r="AZ128" s="470">
        <f>DP!BB35</f>
        <v>0</v>
      </c>
      <c r="BA128" s="98">
        <f t="shared" si="122"/>
        <v>0</v>
      </c>
      <c r="BB128" s="97"/>
      <c r="BC128" s="102">
        <f t="shared" si="105"/>
        <v>0</v>
      </c>
      <c r="BD128" s="98">
        <f t="shared" si="106"/>
        <v>0</v>
      </c>
      <c r="BE128" s="93">
        <f t="shared" si="107"/>
        <v>0</v>
      </c>
      <c r="BF128" s="99">
        <f t="shared" si="108"/>
        <v>0</v>
      </c>
      <c r="BG128" s="100"/>
      <c r="BH128" s="102">
        <f>IFERROR((BA128*100%)/DP!$AP$29,(0*1))</f>
        <v>0</v>
      </c>
      <c r="BI128" s="102">
        <f>IF(BH128&gt;0,(DP!$AP$31),0*1)</f>
        <v>0</v>
      </c>
      <c r="BJ128" s="435">
        <f t="shared" si="123"/>
        <v>0</v>
      </c>
      <c r="BK128" s="475">
        <f>BA128*DP!$AS$44</f>
        <v>0</v>
      </c>
      <c r="BL128" s="475">
        <f>IF(BA128&gt;0,DP!$AT$44,0*1)</f>
        <v>0</v>
      </c>
      <c r="BM128" s="475">
        <f t="shared" si="124"/>
        <v>0</v>
      </c>
      <c r="BN128" s="102">
        <f>BA128*DP!$AS$45</f>
        <v>0</v>
      </c>
      <c r="BO128" s="102">
        <f>IF(BA128&gt;0,DP!$AT$45,0*1)</f>
        <v>0</v>
      </c>
      <c r="BP128" s="475">
        <f t="shared" si="125"/>
        <v>0</v>
      </c>
      <c r="BQ128" s="100"/>
      <c r="BR128" s="100"/>
      <c r="BS128" s="100"/>
      <c r="BT128" s="93">
        <f>IF(AW128=DP!$AN$15,AY128*(1+DP!$AP$15),IF(AW128=DP!$AN$16,AY128*(1+DP!$AP$16),IF(AW128=DP!$AN$17,AY128*(1+DP!$AP$17),IF(AW128=DP!$AN$18,AY128*(1+DP!$AP$18),0*1))))</f>
        <v>0</v>
      </c>
      <c r="BU128" s="102">
        <f>IF(AW128=DP!$AN$22,(DP!$AO$22),IF(AW128=DP!$AN$23,(DP!$AO$23),IF(AW128=DP!$AN$24,(DP!$AO$24),IF(AW128=DP!$AN$25,(DP!$AO$25),((0*1))))))</f>
        <v>0</v>
      </c>
      <c r="BV128" s="93">
        <f t="shared" si="126"/>
        <v>0</v>
      </c>
      <c r="BW128" s="93">
        <f>IF(AW128=DP!$AN$15,AY128*(1+DP!$AP$15),IF(AW128=DP!$AN$16,AY128*(1+DP!$AP$16),IF(AW128=DP!$AN$17,AY128*(1+DP!$AP$17),IF(AW128=DP!$AN$18,AY128*(1+DP!$AP$18),0*1))))</f>
        <v>0</v>
      </c>
      <c r="BX128" s="102">
        <f>IF(AW128=DP!$AN$22,(DP!$AP$22),IF(AW128=DP!$AN$23,(DP!$AP$23),IF(AW128=DP!$AN$24,(DP!$AP$24),IF(AW128=DP!$AN$25,(DP!$AP$25),((0*1))))))</f>
        <v>0</v>
      </c>
      <c r="BY128" s="93">
        <f t="shared" si="130"/>
        <v>0</v>
      </c>
      <c r="BZ128" s="93">
        <f>IF(AW128=DP!$AN$15,(AY128/DP!$AM$15)*(1+DP!$AP$15),IF(AW128=DP!$AN$16,(AY128/DP!$AM$16)*(1+DP!$AP$16),IF(AW128=DP!$AN$17,(AY128/DP!$AM$17)*(1+DP!$AP$17),IF(AW128=DP!$AN$18,(AY128/DP!$AM$18)*(1+DP!$AP$18),0*1))))</f>
        <v>0</v>
      </c>
      <c r="CA128" s="102">
        <f>IF(AW128=DP!$AN$22,(DP!$AQ$22),IF(AW128=DP!$AN$23,(DP!$AQ$23),IF(AW128=DP!$AN$24,(DP!$AQ$24),IF(AW128=DP!$AN$25,(DP!$AQ$25),((0*1))))))</f>
        <v>0</v>
      </c>
      <c r="CB128" s="93">
        <f t="shared" si="128"/>
        <v>0</v>
      </c>
      <c r="CC128" s="93">
        <f>IF(AW128=DP!$AN$15,AY128*(1+DP!$AP$15),IF(AW128=DP!$AN$16,AY128*(1+DP!$AP$16),IF(AW128=DP!$AN$17,AY128*(1+DP!$AP$17),IF(AW128=DP!$AN$18,AY128*(1+DP!$AP$18),0*1))))</f>
        <v>0</v>
      </c>
      <c r="CD128" s="102">
        <f>IF(AW128=DP!$AN$22,(DP!$AR$22),IF(AW128=DP!$AN$23,(DP!$AR$23),IF(AW128=DP!$AN$24,(DP!$AR$24),IF(AW128=DP!$AN$25,(DP!$AR$25),((0*1))))))</f>
        <v>0</v>
      </c>
      <c r="CE128" s="93">
        <f t="shared" si="129"/>
        <v>0</v>
      </c>
      <c r="CF128" s="100"/>
      <c r="CG128" s="149">
        <f t="shared" si="109"/>
        <v>0</v>
      </c>
      <c r="CH128" s="149">
        <f>DP!$N$35*BA128</f>
        <v>0</v>
      </c>
      <c r="CI128" s="149">
        <f>DP!$O$35*BA128</f>
        <v>0</v>
      </c>
      <c r="CJ128" s="149">
        <f>DP!$P$35*BA128</f>
        <v>0</v>
      </c>
    </row>
    <row r="129" spans="2:88" ht="16" thickBot="1" x14ac:dyDescent="0.4">
      <c r="B129" s="480">
        <f>DP!S36</f>
        <v>0</v>
      </c>
      <c r="C129" s="480">
        <f>DP!T36</f>
        <v>0</v>
      </c>
      <c r="D129" s="480">
        <f>DP!U36</f>
        <v>0</v>
      </c>
      <c r="E129" s="480">
        <f>DP!V36</f>
        <v>0</v>
      </c>
      <c r="F129" s="412">
        <f t="shared" si="110"/>
        <v>0</v>
      </c>
      <c r="G129" s="470">
        <f>DP!Z36</f>
        <v>0</v>
      </c>
      <c r="H129" s="98">
        <f t="shared" si="111"/>
        <v>0</v>
      </c>
      <c r="I129" s="97"/>
      <c r="J129" s="102">
        <f t="shared" si="100"/>
        <v>0</v>
      </c>
      <c r="K129" s="98">
        <f t="shared" si="101"/>
        <v>0</v>
      </c>
      <c r="L129" s="93">
        <f t="shared" si="102"/>
        <v>0</v>
      </c>
      <c r="M129" s="99">
        <f t="shared" si="103"/>
        <v>0</v>
      </c>
      <c r="N129" s="100"/>
      <c r="O129" s="102">
        <f>($E129/DP!$N$29)*F129</f>
        <v>0</v>
      </c>
      <c r="P129" s="102">
        <f>IF(O129&gt;0,(DP!$N$31),0*1)</f>
        <v>0</v>
      </c>
      <c r="Q129" s="102">
        <f t="shared" si="112"/>
        <v>0</v>
      </c>
      <c r="R129" s="102">
        <f t="shared" si="113"/>
        <v>0</v>
      </c>
      <c r="S129" s="418">
        <f t="shared" si="114"/>
        <v>0</v>
      </c>
      <c r="T129" s="475">
        <f>H129*DP!$Q$44</f>
        <v>0</v>
      </c>
      <c r="U129" s="475">
        <f>IF(H129&gt;0,DP!$R$44,0*1)</f>
        <v>0</v>
      </c>
      <c r="V129" s="475">
        <f t="shared" si="115"/>
        <v>0</v>
      </c>
      <c r="W129" s="475">
        <f>H129*DP!$Q$45</f>
        <v>0</v>
      </c>
      <c r="X129" s="475">
        <f>IF(H129&gt;0,DP!$R$45,0*1)</f>
        <v>0</v>
      </c>
      <c r="Y129" s="475">
        <f t="shared" si="116"/>
        <v>0</v>
      </c>
      <c r="Z129" s="100"/>
      <c r="AA129" s="93">
        <f>IF(D129=DP!$L$15,F129*(1+DP!$N$15),IF(D129=DP!$L$16,F129*(1+DP!$N$16),IF(D129=DP!$L$17,F129*(1+DP!$N$17),IF(D129=DP!$L$18,F129*(1+DP!$N$18),0*1))))</f>
        <v>0</v>
      </c>
      <c r="AB129" s="102">
        <f>IF(D129=DP!$L$22,(DP!$M$22),IF(D129=DP!$L$23,(DP!$M$23),IF(D129=DP!$L$24,(DP!$M$24),IF(D129=DP!$L$25,(DP!$M$25),((0*1))))))</f>
        <v>0</v>
      </c>
      <c r="AC129" s="93">
        <f t="shared" si="117"/>
        <v>0</v>
      </c>
      <c r="AD129" s="93">
        <f>IF(D129=DP!$L$15,F129*(1+DP!$N$15),IF(D129=DP!$L$16,F129*(1+DP!$N$16),IF(D129=DP!$L$17,F129*(1+DP!$N$17),IF(D129=DP!$L$18,F129*(1+DP!$N$18),0*1))))</f>
        <v>0</v>
      </c>
      <c r="AE129" s="102">
        <f>IF(D129=DP!$L$22,(DP!$N$22),IF(D129=DP!$L$23,(DP!$N$23),IF(D129=DP!$L$24,(DP!$N$24),IF(D129=DP!$L$25,(DP!$N$25),((0*1))))))</f>
        <v>0</v>
      </c>
      <c r="AF129" s="93">
        <f t="shared" si="118"/>
        <v>0</v>
      </c>
      <c r="AG129" s="93">
        <f>IF(D129=DP!$L$15,(F129/DP!$K$15)*(1+DP!$N$15),IF(D129=DP!$L$16,(F129/DP!$K$16)*(1+DP!$N$16),IF(D129=DP!$L$17,(F129/DP!$K$17)*(1+DP!$N$17),IF(D129=DP!$L$18,(F129/DP!$K$18)*(1+DP!$N$18),0*1))))</f>
        <v>0</v>
      </c>
      <c r="AH129" s="102">
        <f>IF(D129=DP!$L$22,(DP!$O$22),IF(D129=DP!$L$23,(DP!$O$23),IF(D129=DP!$L$24,(DP!$O$24),IF(D129=DP!$L$25,(DP!$O$25),((0*1))))))</f>
        <v>0</v>
      </c>
      <c r="AI129" s="93">
        <f t="shared" si="119"/>
        <v>0</v>
      </c>
      <c r="AJ129" s="93">
        <f>IF(D129=DP!$L$15,F129*(1+DP!$N$15),IF(D129=DP!$L$16,F129*(1+DP!$N$16),IF(D129=DP!$L$17,F129*(1+DP!$N$17),IF(D129=DP!$L$18,F129*(1+DP!$N$18),0*1))))</f>
        <v>0</v>
      </c>
      <c r="AK129" s="102">
        <f>IF(D129=DP!$L$22,(DP!$P$22),IF(D129=DP!$L$23,(DP!$P$23),IF(D129=DP!$L$24,(DP!$P$24),IF(D129=DP!$L$25,(DP!$P$25),((0*1))))))</f>
        <v>0</v>
      </c>
      <c r="AL129" s="93">
        <f t="shared" si="120"/>
        <v>0</v>
      </c>
      <c r="AM129" s="100"/>
      <c r="AN129" s="149">
        <f t="shared" si="104"/>
        <v>0</v>
      </c>
      <c r="AO129" s="149">
        <f>DP!$N$35*H129</f>
        <v>0</v>
      </c>
      <c r="AP129" s="149">
        <f>DP!$O$35*H129</f>
        <v>0</v>
      </c>
      <c r="AQ129" s="149">
        <f>DP!$P$35*H129</f>
        <v>0</v>
      </c>
      <c r="AV129" s="489">
        <f>DP!AV36</f>
        <v>0</v>
      </c>
      <c r="AW129" s="489">
        <f>DP!AW36</f>
        <v>0</v>
      </c>
      <c r="AX129" s="489">
        <f>DP!AX36</f>
        <v>0</v>
      </c>
      <c r="AY129" s="412">
        <f t="shared" si="121"/>
        <v>0</v>
      </c>
      <c r="AZ129" s="470">
        <f>DP!BB36</f>
        <v>0</v>
      </c>
      <c r="BA129" s="98">
        <f t="shared" si="122"/>
        <v>0</v>
      </c>
      <c r="BB129" s="97"/>
      <c r="BC129" s="102">
        <f t="shared" si="105"/>
        <v>0</v>
      </c>
      <c r="BD129" s="98">
        <f t="shared" si="106"/>
        <v>0</v>
      </c>
      <c r="BE129" s="93">
        <f t="shared" si="107"/>
        <v>0</v>
      </c>
      <c r="BF129" s="99">
        <f t="shared" si="108"/>
        <v>0</v>
      </c>
      <c r="BG129" s="100"/>
      <c r="BH129" s="102">
        <f>IFERROR((BA129*100%)/DP!$AP$29,(0*1))</f>
        <v>0</v>
      </c>
      <c r="BI129" s="102">
        <f>IF(BH129&gt;0,(DP!$AP$31),0*1)</f>
        <v>0</v>
      </c>
      <c r="BJ129" s="435">
        <f t="shared" si="123"/>
        <v>0</v>
      </c>
      <c r="BK129" s="475">
        <f>BA129*DP!$AS$44</f>
        <v>0</v>
      </c>
      <c r="BL129" s="475">
        <f>IF(BA129&gt;0,DP!$AT$44,0*1)</f>
        <v>0</v>
      </c>
      <c r="BM129" s="475">
        <f t="shared" si="124"/>
        <v>0</v>
      </c>
      <c r="BN129" s="102">
        <f>BA129*DP!$AS$45</f>
        <v>0</v>
      </c>
      <c r="BO129" s="102">
        <f>IF(BA129&gt;0,DP!$AT$45,0*1)</f>
        <v>0</v>
      </c>
      <c r="BP129" s="475">
        <f t="shared" si="125"/>
        <v>0</v>
      </c>
      <c r="BQ129" s="100"/>
      <c r="BR129" s="100"/>
      <c r="BS129" s="100"/>
      <c r="BT129" s="93">
        <f>IF(AW129=DP!$AN$15,AY129*(1+DP!$AP$15),IF(AW129=DP!$AN$16,AY129*(1+DP!$AP$16),IF(AW129=DP!$AN$17,AY129*(1+DP!$AP$17),IF(AW129=DP!$AN$18,AY129*(1+DP!$AP$18),0*1))))</f>
        <v>0</v>
      </c>
      <c r="BU129" s="102">
        <f>IF(AW129=DP!$AN$22,(DP!$AO$22),IF(AW129=DP!$AN$23,(DP!$AO$23),IF(AW129=DP!$AN$24,(DP!$AO$24),IF(AW129=DP!$AN$25,(DP!$AO$25),((0*1))))))</f>
        <v>0</v>
      </c>
      <c r="BV129" s="93">
        <f t="shared" si="126"/>
        <v>0</v>
      </c>
      <c r="BW129" s="93">
        <f>IF(AW129=DP!$AN$15,AY129*(1+DP!$AP$15),IF(AW129=DP!$AN$16,AY129*(1+DP!$AP$16),IF(AW129=DP!$AN$17,AY129*(1+DP!$AP$17),IF(AW129=DP!$AN$18,AY129*(1+DP!$AP$18),0*1))))</f>
        <v>0</v>
      </c>
      <c r="BX129" s="102">
        <f>IF(AW129=DP!$AN$22,(DP!$AP$22),IF(AW129=DP!$AN$23,(DP!$AP$23),IF(AW129=DP!$AN$24,(DP!$AP$24),IF(AW129=DP!$AN$25,(DP!$AP$25),((0*1))))))</f>
        <v>0</v>
      </c>
      <c r="BY129" s="93">
        <f t="shared" si="130"/>
        <v>0</v>
      </c>
      <c r="BZ129" s="93">
        <f>IF(AW129=DP!$AN$15,(AY129/DP!$AM$15)*(1+DP!$AP$15),IF(AW129=DP!$AN$16,(AY129/DP!$AM$16)*(1+DP!$AP$16),IF(AW129=DP!$AN$17,(AY129/DP!$AM$17)*(1+DP!$AP$17),IF(AW129=DP!$AN$18,(AY129/DP!$AM$18)*(1+DP!$AP$18),0*1))))</f>
        <v>0</v>
      </c>
      <c r="CA129" s="102">
        <f>IF(AW129=DP!$AN$22,(DP!$AQ$22),IF(AW129=DP!$AN$23,(DP!$AQ$23),IF(AW129=DP!$AN$24,(DP!$AQ$24),IF(AW129=DP!$AN$25,(DP!$AQ$25),((0*1))))))</f>
        <v>0</v>
      </c>
      <c r="CB129" s="93">
        <f t="shared" si="128"/>
        <v>0</v>
      </c>
      <c r="CC129" s="93">
        <f>IF(AW129=DP!$AN$15,AY129*(1+DP!$AP$15),IF(AW129=DP!$AN$16,AY129*(1+DP!$AP$16),IF(AW129=DP!$AN$17,AY129*(1+DP!$AP$17),IF(AW129=DP!$AN$18,AY129*(1+DP!$AP$18),0*1))))</f>
        <v>0</v>
      </c>
      <c r="CD129" s="102">
        <f>IF(AW129=DP!$AN$22,(DP!$AR$22),IF(AW129=DP!$AN$23,(DP!$AR$23),IF(AW129=DP!$AN$24,(DP!$AR$24),IF(AW129=DP!$AN$25,(DP!$AR$25),((0*1))))))</f>
        <v>0</v>
      </c>
      <c r="CE129" s="93">
        <f t="shared" si="129"/>
        <v>0</v>
      </c>
      <c r="CF129" s="100"/>
      <c r="CG129" s="149">
        <f t="shared" si="109"/>
        <v>0</v>
      </c>
      <c r="CH129" s="149">
        <f>DP!$N$35*BA129</f>
        <v>0</v>
      </c>
      <c r="CI129" s="149">
        <f>DP!$O$35*BA129</f>
        <v>0</v>
      </c>
      <c r="CJ129" s="149">
        <f>DP!$P$35*BA129</f>
        <v>0</v>
      </c>
    </row>
    <row r="130" spans="2:88" ht="16" thickBot="1" x14ac:dyDescent="0.4">
      <c r="C130" s="103" t="s">
        <v>222</v>
      </c>
      <c r="D130" s="104"/>
      <c r="E130" s="104"/>
      <c r="F130" s="120">
        <f>SUM(F111:F129)</f>
        <v>0</v>
      </c>
      <c r="G130" s="411">
        <f>SUM(G111:G129)</f>
        <v>0</v>
      </c>
      <c r="H130" s="121">
        <f>SUM(H111:H129)</f>
        <v>0</v>
      </c>
      <c r="I130" s="87"/>
      <c r="J130" s="151"/>
      <c r="K130" s="106"/>
      <c r="L130" s="107">
        <f t="shared" ref="L130" si="131">SUM(L111:L129)</f>
        <v>0</v>
      </c>
      <c r="M130" s="105">
        <f>SUM(M111:M129)</f>
        <v>0</v>
      </c>
      <c r="N130" s="87"/>
      <c r="O130" s="152">
        <f>SUM(O111:O129)</f>
        <v>0</v>
      </c>
      <c r="P130" s="416"/>
      <c r="Q130" s="152">
        <f>SUM(Q111:Q129)</f>
        <v>0</v>
      </c>
      <c r="R130" s="126"/>
      <c r="S130" s="419">
        <f>SUM(S111:S129)</f>
        <v>0</v>
      </c>
      <c r="T130" s="476">
        <f>SUM(T111:T129)</f>
        <v>0</v>
      </c>
      <c r="U130" s="477"/>
      <c r="V130" s="478">
        <f>SUM(V111:V129)</f>
        <v>0</v>
      </c>
      <c r="W130" s="478">
        <f>SUM(W111:W129)</f>
        <v>0</v>
      </c>
      <c r="X130" s="477"/>
      <c r="Y130" s="479">
        <f>SUM(Y111:Y129)</f>
        <v>0</v>
      </c>
      <c r="Z130" s="87"/>
      <c r="AA130" s="152">
        <f>SUM(AA111:AA129)</f>
        <v>0</v>
      </c>
      <c r="AB130" s="77"/>
      <c r="AC130" s="153">
        <f>SUM(AC111:AC129)</f>
        <v>0</v>
      </c>
      <c r="AD130" s="153">
        <f>SUM(AD111:AD129)</f>
        <v>0</v>
      </c>
      <c r="AE130" s="77"/>
      <c r="AF130" s="153">
        <f>SUM(AF111:AF129)</f>
        <v>0</v>
      </c>
      <c r="AG130" s="153">
        <f>SUM(AG111:AG129)</f>
        <v>0</v>
      </c>
      <c r="AH130" s="77"/>
      <c r="AI130" s="153">
        <f>SUM(AI111:AI129)</f>
        <v>0</v>
      </c>
      <c r="AJ130" s="153">
        <f>SUM(AJ111:AJ129)</f>
        <v>0</v>
      </c>
      <c r="AK130" s="77"/>
      <c r="AL130" s="154">
        <f>SUM(AL111:AL129)</f>
        <v>0</v>
      </c>
      <c r="AM130" s="87"/>
      <c r="AN130" s="152">
        <f>SUM(AN111:AN129)</f>
        <v>0</v>
      </c>
      <c r="AO130" s="153">
        <f t="shared" ref="AO130:AQ130" si="132">SUM(AO111:AO129)</f>
        <v>0</v>
      </c>
      <c r="AP130" s="153">
        <f t="shared" si="132"/>
        <v>0</v>
      </c>
      <c r="AQ130" s="153">
        <f t="shared" si="132"/>
        <v>0</v>
      </c>
      <c r="AV130" s="103" t="s">
        <v>222</v>
      </c>
      <c r="AW130" s="104"/>
      <c r="AX130" s="104"/>
      <c r="AY130" s="120">
        <f>SUM(AY111:AY129)</f>
        <v>488160</v>
      </c>
      <c r="AZ130" s="411">
        <f>SUM(AZ111:AZ129)</f>
        <v>0.99999999999999989</v>
      </c>
      <c r="BA130" s="121">
        <f>SUM(BA111:BA129)</f>
        <v>183600</v>
      </c>
      <c r="BB130" s="87"/>
      <c r="BC130" s="151"/>
      <c r="BD130" s="106"/>
      <c r="BE130" s="107">
        <f>SUM(BE111:BE129)</f>
        <v>506070.51072395616</v>
      </c>
      <c r="BF130" s="105">
        <f>SUM(BF111:BF129)</f>
        <v>438138.5107239561</v>
      </c>
      <c r="BG130" s="87"/>
      <c r="BH130" s="152">
        <f>SUM(BH111:BH129)</f>
        <v>408000</v>
      </c>
      <c r="BI130" s="126"/>
      <c r="BJ130" s="419">
        <f>SUM(BJ111:BJ129)</f>
        <v>183600</v>
      </c>
      <c r="BK130" s="492">
        <f>SUM(BK111:BK129)</f>
        <v>459</v>
      </c>
      <c r="BL130" s="491"/>
      <c r="BM130" s="492">
        <f>SUM(BM111:BM129)</f>
        <v>436.04999999999995</v>
      </c>
      <c r="BN130" s="492">
        <f>SUM(BN111:BN129)</f>
        <v>30477.599999999999</v>
      </c>
      <c r="BO130" s="491"/>
      <c r="BP130" s="492">
        <f>SUM(BP111:BP129)</f>
        <v>23443.369920000001</v>
      </c>
      <c r="BQ130" s="87"/>
      <c r="BR130" s="87"/>
      <c r="BS130" s="87"/>
      <c r="BT130" s="152">
        <f>SUM(BT111:BT129)</f>
        <v>490600.8</v>
      </c>
      <c r="BU130" s="77"/>
      <c r="BV130" s="153">
        <f>SUM(BV111:BV129)</f>
        <v>113945.292</v>
      </c>
      <c r="BW130" s="153">
        <f>SUM(BW111:BW129)</f>
        <v>490600.8</v>
      </c>
      <c r="BX130" s="77"/>
      <c r="BY130" s="153">
        <f>SUM(BY111:BY129)</f>
        <v>28643.705999999998</v>
      </c>
      <c r="BZ130" s="153">
        <f>SUM(BZ111:BZ129)</f>
        <v>25054.649999999994</v>
      </c>
      <c r="CA130" s="77"/>
      <c r="CB130" s="153">
        <f>SUM(CB111:CB129)</f>
        <v>12827.98079999999</v>
      </c>
      <c r="CC130" s="153">
        <f>SUM(CC111:CC129)</f>
        <v>490600.8</v>
      </c>
      <c r="CD130" s="77"/>
      <c r="CE130" s="154">
        <f>SUM(CE111:CE129)</f>
        <v>16212.38275862069</v>
      </c>
      <c r="CF130" s="87"/>
      <c r="CG130" s="152">
        <f>SUM(CG111:CG129)</f>
        <v>59029.729245335482</v>
      </c>
      <c r="CH130" s="153">
        <f t="shared" ref="CH130:CJ130" si="133">SUM(CH111:CH129)</f>
        <v>2637.9310344827586</v>
      </c>
      <c r="CI130" s="153">
        <f t="shared" si="133"/>
        <v>10024.137931034486</v>
      </c>
      <c r="CJ130" s="153">
        <f t="shared" si="133"/>
        <v>67932</v>
      </c>
    </row>
    <row r="131" spans="2:88" x14ac:dyDescent="0.35">
      <c r="C131" s="108"/>
      <c r="D131" s="108"/>
      <c r="E131" s="108"/>
      <c r="F131" s="87"/>
      <c r="G131" s="87"/>
      <c r="H131" s="87"/>
      <c r="I131" s="109"/>
      <c r="J131" s="87"/>
      <c r="K131" s="87"/>
      <c r="L131" s="87"/>
      <c r="M131" s="87"/>
      <c r="N131" s="87"/>
      <c r="O131" s="220"/>
      <c r="P131" s="220"/>
      <c r="Q131" s="220"/>
      <c r="R131" s="87"/>
      <c r="S131" s="422">
        <f>Q130</f>
        <v>0</v>
      </c>
      <c r="T131"/>
      <c r="U131"/>
      <c r="V131"/>
      <c r="W131"/>
      <c r="X131"/>
      <c r="Y131"/>
      <c r="Z131" s="87"/>
      <c r="AA131" s="87"/>
      <c r="AB131" s="87"/>
      <c r="AC131" s="87"/>
      <c r="AD131" s="87"/>
      <c r="AM131" s="87"/>
      <c r="AN131" s="420">
        <f>IFERROR(IF(DP!$C$16=PS!$B$3,PS!$K$23*D106/(D106+AW106),IF(DP!$C$16=PS!$N$3,PS!$AC$23*D106/(D106+AW106),IF(DP!$C$16=PS!$AF$3,PS!$AP$23*D106/(D106+AW106)))),0*1)</f>
        <v>0</v>
      </c>
      <c r="AO131" s="220"/>
      <c r="AP131" s="220"/>
      <c r="AQ131" s="433"/>
      <c r="AV131" s="108"/>
      <c r="AW131" s="108"/>
      <c r="AX131" s="108"/>
      <c r="AY131" s="87"/>
      <c r="AZ131" s="87"/>
      <c r="BA131" s="87"/>
      <c r="BB131" s="109"/>
      <c r="BC131" s="87"/>
      <c r="BD131" s="87"/>
      <c r="BE131" s="87"/>
      <c r="BF131" s="87"/>
      <c r="BG131" s="87"/>
      <c r="BH131" s="87"/>
      <c r="BI131" s="87"/>
      <c r="BJ131" s="87"/>
      <c r="BK131"/>
      <c r="BL131"/>
      <c r="BM131"/>
      <c r="BN131"/>
      <c r="BO131"/>
      <c r="BP131"/>
      <c r="BQ131" s="87"/>
      <c r="BR131" s="87"/>
      <c r="BS131" s="87"/>
      <c r="BT131" s="87"/>
      <c r="BU131" s="87"/>
      <c r="BV131" s="87"/>
      <c r="BW131" s="87"/>
      <c r="CF131" s="87"/>
      <c r="CG131" s="420">
        <f>IFERROR(IF(DP!$C$16=PS!$B$3,PS!$K$23*AW106/(AW106+D106),IF(DP!$C$16=PS!$N$3,PS!$AC$23*AW106/(AW106+D106),IF(DP!$C$16=PS!$AF$3,PS!$AP$23*AW106/(AW106+D106)))),0*1)</f>
        <v>59029.729245335482</v>
      </c>
      <c r="CH131" s="220"/>
      <c r="CI131" s="220"/>
      <c r="CJ131" s="433"/>
    </row>
    <row r="132" spans="2:88" x14ac:dyDescent="0.35">
      <c r="C132" s="108"/>
      <c r="D132" s="108"/>
      <c r="E132" s="108"/>
      <c r="F132" s="87"/>
      <c r="G132" s="87"/>
      <c r="H132" s="87"/>
      <c r="I132" s="109"/>
      <c r="J132" s="87"/>
      <c r="K132" s="87"/>
      <c r="L132" s="87"/>
      <c r="M132" s="87"/>
      <c r="N132" s="87"/>
      <c r="O132" s="87"/>
      <c r="P132" s="87"/>
      <c r="Q132" s="87"/>
      <c r="T132" s="87"/>
      <c r="U132" s="87"/>
      <c r="V132" s="87"/>
      <c r="W132" s="87"/>
      <c r="X132" s="87"/>
      <c r="Y132" s="87"/>
      <c r="Z132" s="87"/>
      <c r="AM132" s="87"/>
      <c r="AV132" s="108"/>
      <c r="AW132" s="108"/>
      <c r="AX132" s="108"/>
      <c r="AY132" s="87"/>
      <c r="AZ132" s="87"/>
      <c r="BA132" s="87"/>
      <c r="BB132" s="109"/>
      <c r="BC132" s="87"/>
      <c r="BD132" s="87"/>
      <c r="BE132" s="87"/>
      <c r="BF132" s="87"/>
      <c r="BG132" s="87"/>
      <c r="BH132" s="87"/>
      <c r="BK132" s="87"/>
      <c r="BL132" s="87"/>
      <c r="BM132" s="87"/>
      <c r="BN132" s="87"/>
      <c r="BO132" s="87"/>
      <c r="BP132" s="87"/>
      <c r="BQ132" s="87"/>
      <c r="BR132" s="87"/>
      <c r="BS132" s="87"/>
      <c r="BT132"/>
      <c r="BU132"/>
      <c r="BV132"/>
      <c r="BW132"/>
      <c r="BX132"/>
      <c r="BY132"/>
      <c r="BZ132"/>
      <c r="CA132"/>
      <c r="CB132"/>
      <c r="CC132"/>
      <c r="CF132" s="87"/>
    </row>
    <row r="133" spans="2:88" x14ac:dyDescent="0.35">
      <c r="C133" s="108"/>
      <c r="D133" s="108"/>
      <c r="E133" s="108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116" t="s">
        <v>228</v>
      </c>
      <c r="S133" s="94">
        <f>IFERROR((SUMIF(B111:B129,1,H111:H129))/H130*S131,0*1)</f>
        <v>0</v>
      </c>
      <c r="T133" s="109"/>
      <c r="U133" s="87"/>
      <c r="V133" s="87"/>
      <c r="W133" s="87"/>
      <c r="X133" s="87"/>
      <c r="Y133" s="87"/>
      <c r="Z133" s="87"/>
      <c r="AM133" s="87"/>
      <c r="AV133" s="108"/>
      <c r="AW133" s="108"/>
      <c r="AX133" s="108"/>
      <c r="AY133" s="87"/>
      <c r="AZ133" s="87"/>
      <c r="BA133" s="87"/>
      <c r="BB133" s="87"/>
      <c r="BC133" s="87"/>
      <c r="BD133" s="87"/>
      <c r="BE133" s="87"/>
      <c r="BF133" s="87"/>
      <c r="BG133" s="87"/>
      <c r="BK133" s="109"/>
      <c r="BL133" s="87"/>
      <c r="BM133" s="87"/>
      <c r="BN133" s="87"/>
      <c r="BO133" s="87"/>
      <c r="BP133" s="87"/>
      <c r="BQ133" s="87"/>
      <c r="BR133" s="87"/>
      <c r="BS133" s="87"/>
      <c r="BT133"/>
      <c r="BU133"/>
      <c r="BV133"/>
      <c r="BW133"/>
      <c r="BX133"/>
      <c r="BY133"/>
      <c r="BZ133"/>
      <c r="CA133"/>
      <c r="CB133"/>
      <c r="CC133"/>
      <c r="CF133" s="87"/>
    </row>
    <row r="134" spans="2:88" x14ac:dyDescent="0.35">
      <c r="C134" s="108"/>
      <c r="D134" s="108"/>
      <c r="E134" s="108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116" t="s">
        <v>229</v>
      </c>
      <c r="S134" s="94">
        <f>S131-S133</f>
        <v>0</v>
      </c>
      <c r="T134" s="109"/>
      <c r="U134" s="87"/>
      <c r="V134" s="87"/>
      <c r="W134" s="87"/>
      <c r="X134" s="87"/>
      <c r="Y134" s="87"/>
      <c r="Z134" s="87"/>
      <c r="AM134" s="87"/>
      <c r="AV134" s="108"/>
      <c r="AW134" s="108"/>
      <c r="AX134" s="108"/>
      <c r="AY134" s="87"/>
      <c r="AZ134" s="87"/>
      <c r="BA134" s="87"/>
      <c r="BB134" s="87"/>
      <c r="BC134" s="87"/>
      <c r="BD134" s="87"/>
      <c r="BE134" s="87"/>
      <c r="BF134" s="87"/>
      <c r="BG134" s="87"/>
      <c r="BK134" s="109"/>
      <c r="BL134" s="87"/>
      <c r="BM134" s="87"/>
      <c r="BN134" s="87"/>
      <c r="BO134" s="87"/>
      <c r="BP134" s="87"/>
      <c r="BQ134" s="87"/>
      <c r="BR134" s="87"/>
      <c r="BS134" s="87"/>
      <c r="BT134"/>
      <c r="BU134"/>
      <c r="BV134"/>
      <c r="BW134"/>
      <c r="BX134"/>
      <c r="BY134"/>
      <c r="BZ134"/>
      <c r="CA134"/>
      <c r="CB134"/>
      <c r="CC134"/>
      <c r="CF134" s="87"/>
    </row>
    <row r="135" spans="2:88" x14ac:dyDescent="0.35">
      <c r="C135" s="108"/>
      <c r="D135" s="108"/>
      <c r="E135" s="108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T135" s="87"/>
      <c r="U135" s="87"/>
      <c r="V135" s="87"/>
      <c r="W135" s="87"/>
      <c r="X135" s="87"/>
      <c r="Y135" s="87"/>
      <c r="Z135" s="87"/>
      <c r="AM135" s="87"/>
      <c r="AV135" s="108"/>
      <c r="AW135" s="108"/>
      <c r="AX135" s="108"/>
      <c r="AY135" s="87"/>
      <c r="AZ135" s="87"/>
      <c r="BA135" s="87"/>
      <c r="BB135" s="87"/>
      <c r="BC135" s="87"/>
      <c r="BD135" s="87"/>
      <c r="BE135" s="87"/>
      <c r="BF135" s="87"/>
      <c r="BG135" s="87"/>
      <c r="BK135" s="87"/>
      <c r="BL135" s="87"/>
      <c r="BM135" s="87"/>
      <c r="BN135" s="87"/>
      <c r="BO135" s="87"/>
      <c r="BP135" s="87"/>
      <c r="BQ135" s="87"/>
      <c r="BR135" s="87"/>
      <c r="BS135" s="87"/>
      <c r="BT135"/>
      <c r="BU135"/>
      <c r="BV135"/>
      <c r="BW135"/>
      <c r="BX135"/>
      <c r="BY135"/>
      <c r="BZ135"/>
      <c r="CA135"/>
      <c r="CB135"/>
      <c r="CC135"/>
      <c r="CF135" s="87"/>
    </row>
    <row r="136" spans="2:88" x14ac:dyDescent="0.35">
      <c r="C136" s="108"/>
      <c r="D136" s="108"/>
      <c r="E136" s="108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T136" s="87"/>
      <c r="U136" s="87"/>
      <c r="V136" s="87"/>
      <c r="W136" s="87"/>
      <c r="X136" s="87"/>
      <c r="Y136" s="87"/>
      <c r="Z136" s="87"/>
      <c r="AM136" s="87"/>
      <c r="AV136" s="108"/>
      <c r="AW136" s="108"/>
      <c r="AX136" s="108"/>
      <c r="AY136" s="87"/>
      <c r="AZ136" s="87"/>
      <c r="BA136" s="87"/>
      <c r="BB136" s="87"/>
      <c r="BC136" s="87"/>
      <c r="BD136" s="87"/>
      <c r="BE136" s="87"/>
      <c r="BF136" s="87"/>
      <c r="BG136" s="87"/>
      <c r="BH136" s="87"/>
      <c r="BK136" s="87"/>
      <c r="BL136" s="87"/>
      <c r="BM136" s="87"/>
      <c r="BN136" s="87"/>
      <c r="BO136" s="87"/>
      <c r="BP136" s="87"/>
      <c r="BQ136" s="87"/>
      <c r="BR136" s="87"/>
      <c r="BS136" s="87"/>
      <c r="BT136"/>
      <c r="BU136"/>
      <c r="BV136"/>
      <c r="BW136"/>
      <c r="BX136"/>
      <c r="BY136"/>
      <c r="BZ136"/>
      <c r="CA136"/>
      <c r="CB136"/>
      <c r="CC136"/>
      <c r="CF136" s="87"/>
    </row>
    <row r="137" spans="2:88" x14ac:dyDescent="0.35">
      <c r="C137" s="108"/>
      <c r="D137" s="108"/>
      <c r="E137" s="108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T137" s="87"/>
      <c r="U137" s="87"/>
      <c r="V137" s="87"/>
      <c r="W137" s="87"/>
      <c r="X137" s="87"/>
      <c r="Y137" s="87"/>
      <c r="Z137" s="87"/>
      <c r="AM137" s="87"/>
      <c r="AV137" s="108"/>
      <c r="AW137" s="108"/>
      <c r="AX137" s="108"/>
      <c r="AY137" s="87"/>
      <c r="AZ137" s="87"/>
      <c r="BA137" s="87"/>
      <c r="BB137" s="87"/>
      <c r="BC137" s="87"/>
      <c r="BD137" s="87"/>
      <c r="BE137" s="87"/>
      <c r="BF137" s="87"/>
      <c r="BG137" s="87"/>
      <c r="BH137" s="87"/>
      <c r="BK137" s="87"/>
      <c r="BL137" s="87"/>
      <c r="BM137" s="87"/>
      <c r="BN137" s="87"/>
      <c r="BO137" s="87"/>
      <c r="BP137" s="87"/>
      <c r="BQ137" s="87"/>
      <c r="BR137" s="87"/>
      <c r="BS137" s="87"/>
      <c r="BT137"/>
      <c r="BU137"/>
      <c r="BV137"/>
      <c r="BW137"/>
      <c r="BX137"/>
      <c r="BY137"/>
      <c r="BZ137"/>
      <c r="CA137"/>
      <c r="CB137"/>
      <c r="CC137"/>
      <c r="CF137" s="87"/>
    </row>
    <row r="138" spans="2:88" x14ac:dyDescent="0.35">
      <c r="C138" s="108"/>
      <c r="D138" s="108"/>
      <c r="E138" s="108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T138" s="87"/>
      <c r="U138" s="87"/>
      <c r="V138" s="87"/>
      <c r="W138" s="87"/>
      <c r="X138" s="87"/>
      <c r="Y138" s="87"/>
      <c r="Z138" s="87"/>
      <c r="AB138" s="87"/>
      <c r="AC138" s="87"/>
      <c r="AD138" s="87"/>
      <c r="AM138" s="87"/>
      <c r="AW138" s="108"/>
      <c r="AX138" s="108"/>
    </row>
    <row r="139" spans="2:88" ht="16" thickBot="1" x14ac:dyDescent="0.4">
      <c r="C139" s="421" t="s">
        <v>340</v>
      </c>
      <c r="D139" s="482">
        <f>DP!AA14</f>
        <v>0</v>
      </c>
      <c r="E139" s="110"/>
      <c r="AV139" s="421" t="s">
        <v>351</v>
      </c>
      <c r="AW139" s="482">
        <f>DP!BC14</f>
        <v>183600</v>
      </c>
      <c r="AX139" s="110"/>
    </row>
    <row r="140" spans="2:88" ht="15.5" customHeight="1" x14ac:dyDescent="0.35">
      <c r="C140" s="1026" t="s">
        <v>78</v>
      </c>
      <c r="D140" s="1009" t="s">
        <v>169</v>
      </c>
      <c r="E140" s="1010"/>
      <c r="F140" s="1010"/>
      <c r="G140" s="1010"/>
      <c r="H140" s="1011"/>
      <c r="I140" s="130"/>
      <c r="J140" s="1015" t="s">
        <v>170</v>
      </c>
      <c r="K140" s="1015" t="s">
        <v>215</v>
      </c>
      <c r="L140" s="1015" t="s">
        <v>216</v>
      </c>
      <c r="M140" s="1017" t="s">
        <v>217</v>
      </c>
      <c r="N140" s="130"/>
      <c r="O140" s="1019" t="s">
        <v>213</v>
      </c>
      <c r="P140" s="1007"/>
      <c r="Q140" s="1007"/>
      <c r="R140" s="1007"/>
      <c r="S140" s="1007"/>
      <c r="T140" s="1007"/>
      <c r="U140" s="1007"/>
      <c r="V140" s="1007"/>
      <c r="W140" s="1007"/>
      <c r="X140" s="1007"/>
      <c r="Y140" s="1007"/>
      <c r="Z140" s="130"/>
      <c r="AA140" s="1019" t="s">
        <v>180</v>
      </c>
      <c r="AB140" s="1007"/>
      <c r="AC140" s="1007"/>
      <c r="AD140" s="1007"/>
      <c r="AE140" s="1007"/>
      <c r="AF140" s="1007"/>
      <c r="AG140" s="1007"/>
      <c r="AH140" s="1007"/>
      <c r="AI140" s="1007"/>
      <c r="AJ140" s="1007"/>
      <c r="AK140" s="1007"/>
      <c r="AL140" s="1020"/>
      <c r="AM140" s="130"/>
      <c r="AN140" s="131" t="s">
        <v>214</v>
      </c>
      <c r="AO140" s="1006" t="s">
        <v>361</v>
      </c>
      <c r="AP140" s="1007"/>
      <c r="AQ140" s="1008"/>
      <c r="AV140" s="1026" t="s">
        <v>78</v>
      </c>
      <c r="AW140" s="1009" t="s">
        <v>169</v>
      </c>
      <c r="AX140" s="1010"/>
      <c r="AY140" s="1010"/>
      <c r="AZ140" s="1010"/>
      <c r="BA140" s="1011"/>
      <c r="BB140" s="130"/>
      <c r="BC140" s="1015" t="s">
        <v>170</v>
      </c>
      <c r="BD140" s="1015" t="s">
        <v>215</v>
      </c>
      <c r="BE140" s="1015" t="s">
        <v>216</v>
      </c>
      <c r="BF140" s="1017" t="s">
        <v>217</v>
      </c>
      <c r="BG140" s="130"/>
      <c r="BH140" s="1019" t="s">
        <v>213</v>
      </c>
      <c r="BI140" s="1007"/>
      <c r="BJ140" s="1007"/>
      <c r="BK140" s="1007"/>
      <c r="BL140" s="1007"/>
      <c r="BM140" s="1007"/>
      <c r="BN140" s="1007"/>
      <c r="BO140" s="1007"/>
      <c r="BP140" s="1007"/>
      <c r="BQ140" s="130"/>
      <c r="BR140" s="130"/>
      <c r="BS140" s="130"/>
      <c r="BT140" s="1019" t="s">
        <v>180</v>
      </c>
      <c r="BU140" s="1007"/>
      <c r="BV140" s="1007"/>
      <c r="BW140" s="1007"/>
      <c r="BX140" s="1007"/>
      <c r="BY140" s="1007"/>
      <c r="BZ140" s="1007"/>
      <c r="CA140" s="1007"/>
      <c r="CB140" s="1007"/>
      <c r="CC140" s="1007"/>
      <c r="CD140" s="1007"/>
      <c r="CE140" s="1020"/>
      <c r="CF140" s="130"/>
      <c r="CG140" s="131" t="s">
        <v>214</v>
      </c>
      <c r="CH140" s="1006" t="s">
        <v>361</v>
      </c>
      <c r="CI140" s="1007"/>
      <c r="CJ140" s="1008"/>
    </row>
    <row r="141" spans="2:88" ht="30.5" thickBot="1" x14ac:dyDescent="0.4">
      <c r="C141" s="1027"/>
      <c r="D141" s="1012"/>
      <c r="E141" s="1013"/>
      <c r="F141" s="1013"/>
      <c r="G141" s="1013"/>
      <c r="H141" s="1014"/>
      <c r="I141" s="130"/>
      <c r="J141" s="1016"/>
      <c r="K141" s="1016"/>
      <c r="L141" s="1016"/>
      <c r="M141" s="1018"/>
      <c r="N141" s="130"/>
      <c r="O141" s="134" t="s">
        <v>218</v>
      </c>
      <c r="P141" s="415"/>
      <c r="Q141" s="415"/>
      <c r="R141" s="135"/>
      <c r="S141" s="135"/>
      <c r="T141" s="69" t="s">
        <v>171</v>
      </c>
      <c r="U141" s="69"/>
      <c r="V141" s="69"/>
      <c r="W141" s="69" t="s">
        <v>172</v>
      </c>
      <c r="X141" s="69"/>
      <c r="Y141" s="69"/>
      <c r="Z141" s="130"/>
      <c r="AA141" s="1021" t="s">
        <v>173</v>
      </c>
      <c r="AB141" s="1022"/>
      <c r="AC141" s="1023"/>
      <c r="AD141" s="1024" t="s">
        <v>174</v>
      </c>
      <c r="AE141" s="1022"/>
      <c r="AF141" s="1023"/>
      <c r="AG141" s="1024" t="s">
        <v>175</v>
      </c>
      <c r="AH141" s="1022"/>
      <c r="AI141" s="1023"/>
      <c r="AJ141" s="1024" t="s">
        <v>176</v>
      </c>
      <c r="AK141" s="1022"/>
      <c r="AL141" s="1025"/>
      <c r="AM141" s="130"/>
      <c r="AN141" s="115" t="s">
        <v>177</v>
      </c>
      <c r="AO141" s="458" t="s">
        <v>362</v>
      </c>
      <c r="AP141" s="458" t="s">
        <v>363</v>
      </c>
      <c r="AQ141" s="494" t="s">
        <v>364</v>
      </c>
      <c r="AV141" s="1027"/>
      <c r="AW141" s="1012"/>
      <c r="AX141" s="1013"/>
      <c r="AY141" s="1013"/>
      <c r="AZ141" s="1013"/>
      <c r="BA141" s="1014"/>
      <c r="BB141" s="130"/>
      <c r="BC141" s="1016"/>
      <c r="BD141" s="1016"/>
      <c r="BE141" s="1016"/>
      <c r="BF141" s="1018"/>
      <c r="BG141" s="130"/>
      <c r="BH141" s="1031" t="s">
        <v>234</v>
      </c>
      <c r="BI141" s="1032"/>
      <c r="BJ141" s="1033"/>
      <c r="BK141" s="1024" t="s">
        <v>171</v>
      </c>
      <c r="BL141" s="1022"/>
      <c r="BM141" s="1023"/>
      <c r="BN141" s="1024" t="s">
        <v>231</v>
      </c>
      <c r="BO141" s="1022"/>
      <c r="BP141" s="1023"/>
      <c r="BQ141" s="130"/>
      <c r="BR141" s="130"/>
      <c r="BS141" s="130"/>
      <c r="BT141" s="1021" t="s">
        <v>173</v>
      </c>
      <c r="BU141" s="1022"/>
      <c r="BV141" s="1023"/>
      <c r="BW141" s="1024" t="s">
        <v>174</v>
      </c>
      <c r="BX141" s="1022"/>
      <c r="BY141" s="1023"/>
      <c r="BZ141" s="1024" t="s">
        <v>175</v>
      </c>
      <c r="CA141" s="1022"/>
      <c r="CB141" s="1023"/>
      <c r="CC141" s="1024" t="s">
        <v>176</v>
      </c>
      <c r="CD141" s="1022"/>
      <c r="CE141" s="1025"/>
      <c r="CF141" s="130"/>
      <c r="CG141" s="115" t="s">
        <v>177</v>
      </c>
      <c r="CH141" s="458" t="s">
        <v>362</v>
      </c>
      <c r="CI141" s="458" t="s">
        <v>363</v>
      </c>
      <c r="CJ141" s="494" t="s">
        <v>364</v>
      </c>
    </row>
    <row r="142" spans="2:88" ht="16" thickBot="1" x14ac:dyDescent="0.4">
      <c r="C142" s="1028"/>
      <c r="D142" s="111" t="s">
        <v>225</v>
      </c>
      <c r="E142" s="111"/>
      <c r="F142" s="112" t="s">
        <v>178</v>
      </c>
      <c r="G142" s="113" t="s">
        <v>226</v>
      </c>
      <c r="H142" s="114" t="s">
        <v>227</v>
      </c>
      <c r="I142" s="136"/>
      <c r="J142" s="119" t="s">
        <v>179</v>
      </c>
      <c r="K142" s="137" t="s">
        <v>224</v>
      </c>
      <c r="L142" s="137" t="s">
        <v>224</v>
      </c>
      <c r="M142" s="138" t="s">
        <v>224</v>
      </c>
      <c r="N142" s="136"/>
      <c r="O142" s="118" t="s">
        <v>223</v>
      </c>
      <c r="P142" s="119" t="s">
        <v>179</v>
      </c>
      <c r="Q142" s="137" t="s">
        <v>224</v>
      </c>
      <c r="R142" s="119" t="s">
        <v>179</v>
      </c>
      <c r="S142" s="137" t="s">
        <v>224</v>
      </c>
      <c r="T142" s="119" t="s">
        <v>219</v>
      </c>
      <c r="U142" s="119" t="s">
        <v>179</v>
      </c>
      <c r="V142" s="137" t="s">
        <v>224</v>
      </c>
      <c r="W142" s="119" t="s">
        <v>219</v>
      </c>
      <c r="X142" s="119" t="s">
        <v>179</v>
      </c>
      <c r="Y142" s="137" t="s">
        <v>224</v>
      </c>
      <c r="Z142" s="136"/>
      <c r="AA142" s="118" t="s">
        <v>220</v>
      </c>
      <c r="AB142" s="119" t="s">
        <v>179</v>
      </c>
      <c r="AC142" s="137" t="s">
        <v>224</v>
      </c>
      <c r="AD142" s="119" t="s">
        <v>220</v>
      </c>
      <c r="AE142" s="119" t="s">
        <v>179</v>
      </c>
      <c r="AF142" s="137" t="s">
        <v>224</v>
      </c>
      <c r="AG142" s="119" t="s">
        <v>220</v>
      </c>
      <c r="AH142" s="119" t="s">
        <v>179</v>
      </c>
      <c r="AI142" s="137" t="s">
        <v>224</v>
      </c>
      <c r="AJ142" s="119" t="s">
        <v>221</v>
      </c>
      <c r="AK142" s="119" t="s">
        <v>179</v>
      </c>
      <c r="AL142" s="138" t="s">
        <v>224</v>
      </c>
      <c r="AM142" s="136"/>
      <c r="AN142" s="139" t="s">
        <v>224</v>
      </c>
      <c r="AO142" s="137" t="s">
        <v>224</v>
      </c>
      <c r="AP142" s="137" t="s">
        <v>224</v>
      </c>
      <c r="AQ142" s="137" t="s">
        <v>224</v>
      </c>
      <c r="AV142" s="1028"/>
      <c r="AW142" s="111" t="s">
        <v>225</v>
      </c>
      <c r="AX142" s="111" t="s">
        <v>329</v>
      </c>
      <c r="AY142" s="112" t="s">
        <v>178</v>
      </c>
      <c r="AZ142" s="113" t="s">
        <v>226</v>
      </c>
      <c r="BA142" s="114" t="s">
        <v>227</v>
      </c>
      <c r="BB142" s="136"/>
      <c r="BC142" s="119" t="s">
        <v>179</v>
      </c>
      <c r="BD142" s="137" t="s">
        <v>224</v>
      </c>
      <c r="BE142" s="137" t="s">
        <v>224</v>
      </c>
      <c r="BF142" s="138" t="s">
        <v>224</v>
      </c>
      <c r="BG142" s="136"/>
      <c r="BH142" s="118" t="s">
        <v>219</v>
      </c>
      <c r="BI142" s="119" t="s">
        <v>179</v>
      </c>
      <c r="BJ142" s="137" t="s">
        <v>224</v>
      </c>
      <c r="BK142" s="119" t="s">
        <v>219</v>
      </c>
      <c r="BL142" s="119" t="s">
        <v>179</v>
      </c>
      <c r="BM142" s="137" t="s">
        <v>224</v>
      </c>
      <c r="BN142" s="119" t="s">
        <v>219</v>
      </c>
      <c r="BO142" s="119" t="s">
        <v>179</v>
      </c>
      <c r="BP142" s="137" t="s">
        <v>224</v>
      </c>
      <c r="BQ142" s="136"/>
      <c r="BR142" s="136"/>
      <c r="BS142" s="136"/>
      <c r="BT142" s="118" t="s">
        <v>220</v>
      </c>
      <c r="BU142" s="119" t="s">
        <v>179</v>
      </c>
      <c r="BV142" s="137" t="s">
        <v>224</v>
      </c>
      <c r="BW142" s="119" t="s">
        <v>220</v>
      </c>
      <c r="BX142" s="119" t="s">
        <v>179</v>
      </c>
      <c r="BY142" s="137" t="s">
        <v>224</v>
      </c>
      <c r="BZ142" s="119" t="s">
        <v>220</v>
      </c>
      <c r="CA142" s="119" t="s">
        <v>179</v>
      </c>
      <c r="CB142" s="137" t="s">
        <v>224</v>
      </c>
      <c r="CC142" s="119" t="s">
        <v>221</v>
      </c>
      <c r="CD142" s="119" t="s">
        <v>179</v>
      </c>
      <c r="CE142" s="138" t="s">
        <v>224</v>
      </c>
      <c r="CF142" s="136"/>
      <c r="CG142" s="139" t="s">
        <v>224</v>
      </c>
      <c r="CH142" s="137" t="s">
        <v>224</v>
      </c>
      <c r="CI142" s="137" t="s">
        <v>224</v>
      </c>
      <c r="CJ142" s="137" t="s">
        <v>224</v>
      </c>
    </row>
    <row r="143" spans="2:88" ht="16" thickBot="1" x14ac:dyDescent="0.4">
      <c r="C143" s="117" t="s">
        <v>331</v>
      </c>
      <c r="D143" s="117"/>
      <c r="E143" s="11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  <c r="AL143" s="87"/>
      <c r="AM143" s="87"/>
      <c r="AN143" s="87"/>
      <c r="AO143" s="87"/>
      <c r="AP143" s="87"/>
      <c r="AQ143" s="87"/>
      <c r="AV143" s="117" t="s">
        <v>350</v>
      </c>
      <c r="AW143" s="117"/>
      <c r="AX143" s="117"/>
      <c r="AY143" s="87"/>
      <c r="AZ143" s="87"/>
      <c r="BA143" s="87"/>
      <c r="BB143" s="87"/>
      <c r="BC143" s="87"/>
      <c r="BD143" s="87"/>
      <c r="BE143" s="87"/>
      <c r="BF143" s="87"/>
      <c r="BG143" s="87"/>
      <c r="BH143" s="87"/>
      <c r="BI143" s="87"/>
      <c r="BJ143" s="87"/>
      <c r="BK143" s="87"/>
      <c r="BL143" s="87"/>
      <c r="BM143" s="87"/>
      <c r="BN143" s="87"/>
      <c r="BO143" s="87"/>
      <c r="BP143" s="87"/>
      <c r="BQ143" s="87"/>
      <c r="BR143" s="87"/>
      <c r="BS143" s="87"/>
      <c r="BT143" s="87"/>
      <c r="BU143" s="87"/>
      <c r="BV143" s="87"/>
      <c r="BW143" s="87"/>
      <c r="BX143" s="87"/>
      <c r="BY143" s="87"/>
      <c r="BZ143" s="87"/>
      <c r="CA143" s="87"/>
      <c r="CB143" s="87"/>
      <c r="CC143" s="87"/>
      <c r="CD143" s="87"/>
      <c r="CE143" s="87"/>
      <c r="CF143" s="87"/>
      <c r="CG143" s="87"/>
      <c r="CH143" s="87"/>
      <c r="CI143" s="87"/>
      <c r="CJ143" s="87"/>
    </row>
    <row r="144" spans="2:88" x14ac:dyDescent="0.35">
      <c r="B144" s="480">
        <f>DP!S18</f>
        <v>1</v>
      </c>
      <c r="C144" s="480" t="str">
        <f>DP!T18</f>
        <v xml:space="preserve">PALMITO ENTERO 800 </v>
      </c>
      <c r="D144" s="480">
        <f>DP!U18</f>
        <v>800</v>
      </c>
      <c r="E144" s="480">
        <f>DP!V18</f>
        <v>500</v>
      </c>
      <c r="F144" s="412">
        <f>IFERROR((H144*1000)/E144,0*1)</f>
        <v>0</v>
      </c>
      <c r="G144" s="470">
        <f>DP!AA18</f>
        <v>0</v>
      </c>
      <c r="H144" s="98">
        <f>$D$139*G144</f>
        <v>0</v>
      </c>
      <c r="I144" s="97"/>
      <c r="J144" s="101">
        <f t="shared" ref="J144:J162" si="134">IF(F144&gt;0,L144/F144,0*1)</f>
        <v>0</v>
      </c>
      <c r="K144" s="122">
        <f t="shared" ref="K144:K162" si="135">IF(F144&gt;0,M144/F144,0*1)</f>
        <v>0</v>
      </c>
      <c r="L144" s="140">
        <f t="shared" ref="L144:L162" si="136">IF(F144&gt;0,M144+AQ144,0*1)</f>
        <v>0</v>
      </c>
      <c r="M144" s="123">
        <f t="shared" ref="M144:M162" si="137">IF(F144&gt;0,(S144+V144+Y144+AC144+AF144+AI144+AL144+AN144),0*1)</f>
        <v>0</v>
      </c>
      <c r="N144" s="100"/>
      <c r="O144" s="102">
        <f>($E144/DP!$N$29)*F144</f>
        <v>0</v>
      </c>
      <c r="P144" s="102">
        <f>IF(O144&gt;0,(DP!$N$31),0*1)</f>
        <v>0</v>
      </c>
      <c r="Q144" s="102">
        <f>O144*P144</f>
        <v>0</v>
      </c>
      <c r="R144" s="102">
        <f>IF(O144&gt;0,S144/O144,0*1)</f>
        <v>0</v>
      </c>
      <c r="S144" s="418">
        <f>IFERROR(IF(B144=1,(S$166+70%*S$167)/(SUMIF($B$144:$B$162,1,$H$144:$H$162))*H144,(30%*S$167)/(SUMIF($B$144:$B$162,0,$H$144:$H$162))*H144),0*1)</f>
        <v>0</v>
      </c>
      <c r="T144" s="475">
        <f>H144*DP!$S$44</f>
        <v>0</v>
      </c>
      <c r="U144" s="475">
        <f>IF(H144&gt;0,DP!$T$44,0*1)</f>
        <v>0</v>
      </c>
      <c r="V144" s="475">
        <f>T144*U144</f>
        <v>0</v>
      </c>
      <c r="W144" s="475">
        <f>H144*DP!$S$45</f>
        <v>0</v>
      </c>
      <c r="X144" s="475">
        <f>IF(H144&gt;0,DP!$T$45,0*1)</f>
        <v>0</v>
      </c>
      <c r="Y144" s="475">
        <f>W144*X144</f>
        <v>0</v>
      </c>
      <c r="Z144" s="100"/>
      <c r="AA144" s="93">
        <f>IF(D144=DP!$L$15,F144*(1+DP!$N$15),IF(D144=DP!$L$16,F144*(1+DP!$N$16),IF(D144=DP!$L$17,F144*(1+DP!$N$17),IF(D144=DP!$L$18,F144*(1+DP!$N$18),0*1))))</f>
        <v>0</v>
      </c>
      <c r="AB144" s="102">
        <f>IF(D144=DP!$L$22,(DP!$M$22),IF(D144=DP!$L$23,(DP!$M$23),IF(D144=DP!$L$24,(DP!$M$24),IF(D144=DP!$L$25,(DP!$M$25),((0*1))))))</f>
        <v>0</v>
      </c>
      <c r="AC144" s="93">
        <f>AA144*AB144</f>
        <v>0</v>
      </c>
      <c r="AD144" s="93">
        <f>IF(D144=DP!$L$15,F144*(1+DP!$N$15),IF(D144=DP!$L$16,F144*(1+DP!$N$16),IF(D144=DP!$L$17,F144*(1+DP!$N$17),IF(D144=DP!$L$18,F144*(1+DP!$N$18),0*1))))</f>
        <v>0</v>
      </c>
      <c r="AE144" s="102">
        <f>IF(D144=DP!$L$22,(DP!$N$22),IF(D144=DP!$L$23,(DP!$N$23),IF(D144=DP!$L$24,(DP!$N$24),IF(D144=DP!$L$25,(DP!$N$25),((0*1))))))</f>
        <v>0</v>
      </c>
      <c r="AF144" s="93">
        <f>AD144*AE144</f>
        <v>0</v>
      </c>
      <c r="AG144" s="93">
        <f>IF(D144=DP!$L$15,(F144/DP!$K$15)*(1+DP!$N$15),IF(D144=DP!$L$16,(F144/DP!$K$16)*(1+DP!$N$16),IF(D144=DP!$L$17,(F144/DP!$K$17)*(1+DP!$N$17),IF(D144=DP!$L$18,(F144/DP!$K$18)*(1+DP!$N$18),0*1))))</f>
        <v>0</v>
      </c>
      <c r="AH144" s="102">
        <f>IF(D144=DP!$L$22,(DP!$O$22),IF(D144=DP!$L$23,(DP!$O$23),IF(D144=DP!$L$24,(DP!$O$24),IF(D144=DP!$L$25,(DP!$O$25),((0*1))))))</f>
        <v>0</v>
      </c>
      <c r="AI144" s="93">
        <f>AG144*AH144</f>
        <v>0</v>
      </c>
      <c r="AJ144" s="93">
        <f>IF(D144=DP!$L$15,F144*(1+DP!$N$15),IF(D144=DP!$L$16,F144*(1+DP!$N$16),IF(D144=DP!$L$17,F144*(1+DP!$N$17),IF(D144=DP!$L$18,F144*(1+DP!$N$18),0*1))))</f>
        <v>0</v>
      </c>
      <c r="AK144" s="102">
        <f>IF(D144=DP!$L$22,(DP!$P$22),IF(D144=DP!$L$23,(DP!$P$23),IF(D144=DP!$L$24,(DP!$P$24),IF(D144=DP!$L$25,(DP!$P$25),((0*1))))))</f>
        <v>0</v>
      </c>
      <c r="AL144" s="93">
        <f>AJ144*AK144</f>
        <v>0</v>
      </c>
      <c r="AM144" s="100"/>
      <c r="AN144" s="149">
        <f t="shared" ref="AN144:AN162" si="138">IF(F144&gt;0,AN$164/H$163*H144,0*1)</f>
        <v>0</v>
      </c>
      <c r="AO144" s="149">
        <f>DP!$N$35*H144</f>
        <v>0</v>
      </c>
      <c r="AP144" s="149">
        <f>DP!$O$35*H144</f>
        <v>0</v>
      </c>
      <c r="AQ144" s="149">
        <f>DP!$P$35*H144</f>
        <v>0</v>
      </c>
      <c r="AV144" s="489" t="str">
        <f>DP!AV18</f>
        <v>PIÑA RODAJA 850</v>
      </c>
      <c r="AW144" s="489">
        <f>DP!AW18</f>
        <v>850</v>
      </c>
      <c r="AX144" s="489">
        <f>DP!AX18</f>
        <v>425</v>
      </c>
      <c r="AY144" s="412">
        <f>IFERROR((BA144*1000)/AX144,0*1)</f>
        <v>0</v>
      </c>
      <c r="AZ144" s="470">
        <f>DP!BC18</f>
        <v>0</v>
      </c>
      <c r="BA144" s="98">
        <f>$AW$139*AZ144</f>
        <v>0</v>
      </c>
      <c r="BB144" s="97"/>
      <c r="BC144" s="101">
        <f t="shared" ref="BC144:BC162" si="139">IF(AY144&gt;0,BE144/AY144,0*1)</f>
        <v>0</v>
      </c>
      <c r="BD144" s="122">
        <f t="shared" ref="BD144:BD162" si="140">IF(AY144&gt;0,BF144/AY144,0*1)</f>
        <v>0</v>
      </c>
      <c r="BE144" s="140">
        <f t="shared" ref="BE144:BE162" si="141">IF(AY144&gt;0,BF144+CJ144,0*1)</f>
        <v>0</v>
      </c>
      <c r="BF144" s="123">
        <f t="shared" ref="BF144:BF162" si="142">IF(AY144&gt;0,(BJ144+BM144+BP144+BV144+BY144+CB144+CE144+CG144),0*1)</f>
        <v>0</v>
      </c>
      <c r="BG144" s="100"/>
      <c r="BH144" s="102">
        <f>IFERROR((BA144*100%)/DP!$AP$29,(0*1))</f>
        <v>0</v>
      </c>
      <c r="BI144" s="102">
        <f>IF(BH144&gt;0,(DP!$AP$31),0*1)</f>
        <v>0</v>
      </c>
      <c r="BJ144" s="435">
        <f>BH144*BI144</f>
        <v>0</v>
      </c>
      <c r="BK144" s="475">
        <f>BA144*DP!$AU$44</f>
        <v>0</v>
      </c>
      <c r="BL144" s="475">
        <f>IF(BA144&gt;0,DP!$AV$44,0*1)</f>
        <v>0</v>
      </c>
      <c r="BM144" s="475">
        <f>BK144*BL144</f>
        <v>0</v>
      </c>
      <c r="BN144" s="102">
        <f>BA144*DP!$AU$45</f>
        <v>0</v>
      </c>
      <c r="BO144" s="102">
        <f>IF(BA144&gt;0,DP!$AV$45,0*1)</f>
        <v>0</v>
      </c>
      <c r="BP144" s="475">
        <f>BN144*BO144</f>
        <v>0</v>
      </c>
      <c r="BQ144" s="100"/>
      <c r="BR144" s="100"/>
      <c r="BS144" s="100"/>
      <c r="BT144" s="93">
        <f>IF(AW144=DP!$AN$15,AY144*(1+DP!$AP$15),IF(AW144=DP!$AN$16,AY144*(1+DP!$AP$16),IF(AW144=DP!$AN$17,AY144*(1+DP!$AP$17),IF(AW144=DP!$AN$18,AY144*(1+DP!$AP$18),0*1))))</f>
        <v>0</v>
      </c>
      <c r="BU144" s="102">
        <f>IF(AW144=DP!$AN$22,(DP!$AO$22),IF(AW144=DP!$AN$23,(DP!$AO$23),IF(AW144=DP!$AN$24,(DP!$AO$24),IF(AW144=DP!$AN$25,(DP!$AO$25),((0*1))))))</f>
        <v>0</v>
      </c>
      <c r="BV144" s="93">
        <f>BT144*BU144</f>
        <v>0</v>
      </c>
      <c r="BW144" s="93">
        <f>IF(AW144=DP!$AN$15,AY144*(1+DP!$AP$15),IF(AW144=DP!$AN$16,AY144*(1+DP!$AP$16),IF(AW144=DP!$AN$17,AY144*(1+DP!$AP$17),IF(AW144=DP!$AN$18,AY144*(1+DP!$AP$18),0*1))))</f>
        <v>0</v>
      </c>
      <c r="BX144" s="102">
        <f>IF(AW144=DP!$AN$22,(DP!$AP$22),IF(AW144=DP!$AN$23,(DP!$AP$23),IF(AW144=DP!$AN$24,(DP!$AP$24),IF(AW144=DP!$AN$25,(DP!$AP$25),((0*1))))))</f>
        <v>0</v>
      </c>
      <c r="BY144" s="93">
        <f>BW144*BX144</f>
        <v>0</v>
      </c>
      <c r="BZ144" s="93">
        <f>IF(AW144=DP!$AN$15,(AY144/DP!$AM$15)*(1+DP!$AP$15),IF(AW144=DP!$AN$16,(AY144/DP!$AM$16)*(1+DP!$AP$16),IF(AW144=DP!$AN$17,(AY144/DP!$AM$17)*(1+DP!$AP$17),IF(AW144=DP!$AN$18,(AY144/DP!$AM$18)*(1+DP!$AP$18),0*1))))</f>
        <v>0</v>
      </c>
      <c r="CA144" s="102">
        <f>IF(AW144=DP!$AN$22,(DP!$AQ$22),IF(AW144=DP!$AN$23,(DP!$AQ$23),IF(AW144=DP!$AN$24,(DP!$AQ$24),IF(AW144=DP!$AN$25,(DP!$AQ$25),((0*1))))))</f>
        <v>0</v>
      </c>
      <c r="CB144" s="93">
        <f>BZ144*CA144</f>
        <v>0</v>
      </c>
      <c r="CC144" s="93">
        <f>IF(AW144=DP!$AN$15,AY144*(1+DP!$AP$15),IF(AW144=DP!$AN$16,AY144*(1+DP!$AP$16),IF(AW144=DP!$AN$17,AY144*(1+DP!$AP$17),IF(AW144=DP!$AN$18,AY144*(1+DP!$AP$18),0*1))))</f>
        <v>0</v>
      </c>
      <c r="CD144" s="102">
        <f>IF(AW144=DP!$AN$22,(DP!$AR$22),IF(AW144=DP!$AN$23,(DP!$AR$23),IF(AW144=DP!$AN$24,(DP!$AR$24),IF(AW144=DP!$AN$25,(DP!$AR$25),((0*1))))))</f>
        <v>0</v>
      </c>
      <c r="CE144" s="93">
        <f>CC144*CD144</f>
        <v>0</v>
      </c>
      <c r="CF144" s="100"/>
      <c r="CG144" s="149">
        <f t="shared" ref="CG144:CG162" si="143">IF(AY144&gt;0,CG$164/BA$163*BA144,0*1)</f>
        <v>0</v>
      </c>
      <c r="CH144" s="149">
        <f>DP!$N$35*BA144</f>
        <v>0</v>
      </c>
      <c r="CI144" s="149">
        <f>DP!$O$35*BA144</f>
        <v>0</v>
      </c>
      <c r="CJ144" s="149">
        <f>DP!$P$35*BA144</f>
        <v>0</v>
      </c>
    </row>
    <row r="145" spans="2:88" x14ac:dyDescent="0.35">
      <c r="B145" s="480">
        <f>DP!S19</f>
        <v>0</v>
      </c>
      <c r="C145" s="480" t="str">
        <f>DP!T19</f>
        <v>PALMITO RODAJA 800</v>
      </c>
      <c r="D145" s="480">
        <f>DP!U19</f>
        <v>800</v>
      </c>
      <c r="E145" s="480">
        <f>DP!V19</f>
        <v>500</v>
      </c>
      <c r="F145" s="412">
        <f t="shared" ref="F145:F162" si="144">IFERROR((H145*1000)/E145,0*1)</f>
        <v>0</v>
      </c>
      <c r="G145" s="470">
        <f>DP!AA19</f>
        <v>0</v>
      </c>
      <c r="H145" s="98">
        <f t="shared" ref="H145:H162" si="145">$D$139*G145</f>
        <v>0</v>
      </c>
      <c r="I145" s="97"/>
      <c r="J145" s="102">
        <f t="shared" si="134"/>
        <v>0</v>
      </c>
      <c r="K145" s="98">
        <f t="shared" si="135"/>
        <v>0</v>
      </c>
      <c r="L145" s="93">
        <f t="shared" si="136"/>
        <v>0</v>
      </c>
      <c r="M145" s="99">
        <f t="shared" si="137"/>
        <v>0</v>
      </c>
      <c r="N145" s="100"/>
      <c r="O145" s="102">
        <f>($E145/DP!$N$29)*F145</f>
        <v>0</v>
      </c>
      <c r="P145" s="102">
        <f>IF(O145&gt;0,(DP!$N$31),0*1)</f>
        <v>0</v>
      </c>
      <c r="Q145" s="102">
        <f t="shared" ref="Q145:Q162" si="146">O145*P145</f>
        <v>0</v>
      </c>
      <c r="R145" s="102">
        <f t="shared" ref="R145:R162" si="147">IF(O145&gt;0,S145/O145,0*1)</f>
        <v>0</v>
      </c>
      <c r="S145" s="418">
        <f t="shared" ref="S145:S162" si="148">IFERROR(IF(B145=1,(S$166+70%*S$167)/(SUMIF($B$144:$B$162,1,$H$144:$H$162))*H145,(30%*S$167)/(SUMIF($B$144:$B$162,0,$H$144:$H$162))*H145),0*1)</f>
        <v>0</v>
      </c>
      <c r="T145" s="475">
        <f>H145*DP!$S$44</f>
        <v>0</v>
      </c>
      <c r="U145" s="475">
        <f>IF(H145&gt;0,DP!$T$44,0*1)</f>
        <v>0</v>
      </c>
      <c r="V145" s="475">
        <f t="shared" ref="V145:V162" si="149">T145*U145</f>
        <v>0</v>
      </c>
      <c r="W145" s="475">
        <f>H145*DP!$S$45</f>
        <v>0</v>
      </c>
      <c r="X145" s="475">
        <f>IF(H145&gt;0,DP!$T$45,0*1)</f>
        <v>0</v>
      </c>
      <c r="Y145" s="475">
        <f t="shared" ref="Y145:Y162" si="150">W145*X145</f>
        <v>0</v>
      </c>
      <c r="Z145" s="100"/>
      <c r="AA145" s="93">
        <f>IF(D145=DP!$L$15,F145*(1+DP!$N$15),IF(D145=DP!$L$16,F145*(1+DP!$N$16),IF(D145=DP!$L$17,F145*(1+DP!$N$17),IF(D145=DP!$L$18,F145*(1+DP!$N$18),0*1))))</f>
        <v>0</v>
      </c>
      <c r="AB145" s="102">
        <f>IF(D145=DP!$L$22,(DP!$M$22),IF(D145=DP!$L$23,(DP!$M$23),IF(D145=DP!$L$24,(DP!$M$24),IF(D145=DP!$L$25,(DP!$M$25),((0*1))))))</f>
        <v>0</v>
      </c>
      <c r="AC145" s="93">
        <f t="shared" ref="AC145:AC162" si="151">AA145*AB145</f>
        <v>0</v>
      </c>
      <c r="AD145" s="93">
        <f>IF(D145=DP!$L$15,F145*(1+DP!$N$15),IF(D145=DP!$L$16,F145*(1+DP!$N$16),IF(D145=DP!$L$17,F145*(1+DP!$N$17),IF(D145=DP!$L$18,F145*(1+DP!$N$18),0*1))))</f>
        <v>0</v>
      </c>
      <c r="AE145" s="102">
        <f>IF(D145=DP!$L$22,(DP!$N$22),IF(D145=DP!$L$23,(DP!$N$23),IF(D145=DP!$L$24,(DP!$N$24),IF(D145=DP!$L$25,(DP!$N$25),((0*1))))))</f>
        <v>0</v>
      </c>
      <c r="AF145" s="93">
        <f t="shared" ref="AF145:AF162" si="152">AD145*AE145</f>
        <v>0</v>
      </c>
      <c r="AG145" s="93">
        <f>IF(D145=DP!$L$15,(F145/DP!$K$15)*(1+DP!$N$15),IF(D145=DP!$L$16,(F145/DP!$K$16)*(1+DP!$N$16),IF(D145=DP!$L$17,(F145/DP!$K$17)*(1+DP!$N$17),IF(D145=DP!$L$18,(F145/DP!$K$18)*(1+DP!$N$18),0*1))))</f>
        <v>0</v>
      </c>
      <c r="AH145" s="102">
        <f>IF(D145=DP!$L$22,(DP!$O$22),IF(D145=DP!$L$23,(DP!$O$23),IF(D145=DP!$L$24,(DP!$O$24),IF(D145=DP!$L$25,(DP!$O$25),((0*1))))))</f>
        <v>0</v>
      </c>
      <c r="AI145" s="93">
        <f t="shared" ref="AI145:AI162" si="153">AG145*AH145</f>
        <v>0</v>
      </c>
      <c r="AJ145" s="93">
        <f>IF(D145=DP!$L$15,F145*(1+DP!$N$15),IF(D145=DP!$L$16,F145*(1+DP!$N$16),IF(D145=DP!$L$17,F145*(1+DP!$N$17),IF(D145=DP!$L$18,F145*(1+DP!$N$18),0*1))))</f>
        <v>0</v>
      </c>
      <c r="AK145" s="102">
        <f>IF(D145=DP!$L$22,(DP!$P$22),IF(D145=DP!$L$23,(DP!$P$23),IF(D145=DP!$L$24,(DP!$P$24),IF(D145=DP!$L$25,(DP!$P$25),((0*1))))))</f>
        <v>0</v>
      </c>
      <c r="AL145" s="93">
        <f t="shared" ref="AL145:AL162" si="154">AJ145*AK145</f>
        <v>0</v>
      </c>
      <c r="AM145" s="100"/>
      <c r="AN145" s="149">
        <f t="shared" si="138"/>
        <v>0</v>
      </c>
      <c r="AO145" s="149">
        <f>DP!$N$35*H145</f>
        <v>0</v>
      </c>
      <c r="AP145" s="149">
        <f>DP!$O$35*H145</f>
        <v>0</v>
      </c>
      <c r="AQ145" s="149">
        <f>DP!$P$35*H145</f>
        <v>0</v>
      </c>
      <c r="AV145" s="489" t="str">
        <f>DP!AV19</f>
        <v>PIÑA TROZO 850</v>
      </c>
      <c r="AW145" s="489">
        <f>DP!AW19</f>
        <v>850</v>
      </c>
      <c r="AX145" s="489">
        <f>DP!AX19</f>
        <v>440</v>
      </c>
      <c r="AY145" s="412">
        <f t="shared" ref="AY145:AY162" si="155">IFERROR((BA145*1000)/AX145,0*1)</f>
        <v>0</v>
      </c>
      <c r="AZ145" s="470">
        <f>DP!BC19</f>
        <v>0</v>
      </c>
      <c r="BA145" s="98">
        <f t="shared" ref="BA145:BA162" si="156">$AW$139*AZ145</f>
        <v>0</v>
      </c>
      <c r="BB145" s="97"/>
      <c r="BC145" s="102">
        <f t="shared" si="139"/>
        <v>0</v>
      </c>
      <c r="BD145" s="98">
        <f t="shared" si="140"/>
        <v>0</v>
      </c>
      <c r="BE145" s="93">
        <f t="shared" si="141"/>
        <v>0</v>
      </c>
      <c r="BF145" s="99">
        <f t="shared" si="142"/>
        <v>0</v>
      </c>
      <c r="BG145" s="100"/>
      <c r="BH145" s="102">
        <f>IFERROR((BA145*100%)/DP!$AP$29,(0*1))</f>
        <v>0</v>
      </c>
      <c r="BI145" s="102">
        <f>IF(BH145&gt;0,(DP!$AP$31),0*1)</f>
        <v>0</v>
      </c>
      <c r="BJ145" s="435">
        <f t="shared" ref="BJ145:BJ159" si="157">BH145*BI145</f>
        <v>0</v>
      </c>
      <c r="BK145" s="475">
        <f>BA145*DP!$AU$44</f>
        <v>0</v>
      </c>
      <c r="BL145" s="475">
        <f>IF(BA145&gt;0,DP!$AV$44,0*1)</f>
        <v>0</v>
      </c>
      <c r="BM145" s="475">
        <f t="shared" ref="BM145:BM162" si="158">BK145*BL145</f>
        <v>0</v>
      </c>
      <c r="BN145" s="102">
        <f>BA145*DP!$AU$45</f>
        <v>0</v>
      </c>
      <c r="BO145" s="102">
        <f>IF(BA145&gt;0,DP!$AV$45,0*1)</f>
        <v>0</v>
      </c>
      <c r="BP145" s="475">
        <f t="shared" ref="BP145:BP162" si="159">BN145*BO145</f>
        <v>0</v>
      </c>
      <c r="BQ145" s="100"/>
      <c r="BR145" s="100"/>
      <c r="BS145" s="100"/>
      <c r="BT145" s="93">
        <f>IF(AW145=DP!$AN$15,AY145*(1+DP!$AP$15),IF(AW145=DP!$AN$16,AY145*(1+DP!$AP$16),IF(AW145=DP!$AN$17,AY145*(1+DP!$AP$17),IF(AW145=DP!$AN$18,AY145*(1+DP!$AP$18),0*1))))</f>
        <v>0</v>
      </c>
      <c r="BU145" s="102">
        <f>IF(AW145=DP!$AN$22,(DP!$AO$22),IF(AW145=DP!$AN$23,(DP!$AO$23),IF(AW145=DP!$AN$24,(DP!$AO$24),IF(AW145=DP!$AN$25,(DP!$AO$25),((0*1))))))</f>
        <v>0</v>
      </c>
      <c r="BV145" s="93">
        <f t="shared" ref="BV145:BV162" si="160">BT145*BU145</f>
        <v>0</v>
      </c>
      <c r="BW145" s="93">
        <f>IF(AW145=DP!$AN$15,AY145*(1+DP!$AP$15),IF(AW145=DP!$AN$16,AY145*(1+DP!$AP$16),IF(AW145=DP!$AN$17,AY145*(1+DP!$AP$17),IF(AW145=DP!$AN$18,AY145*(1+DP!$AP$18),0*1))))</f>
        <v>0</v>
      </c>
      <c r="BX145" s="102">
        <f>IF(AW145=DP!$AN$22,(DP!$AP$22),IF(AW145=DP!$AN$23,(DP!$AP$23),IF(AW145=DP!$AN$24,(DP!$AP$24),IF(AW145=DP!$AN$25,(DP!$AP$25),((0*1))))))</f>
        <v>0</v>
      </c>
      <c r="BY145" s="93">
        <f t="shared" ref="BY145:BY155" si="161">BW145*BX145</f>
        <v>0</v>
      </c>
      <c r="BZ145" s="93">
        <f>IF(AW145=DP!$AN$15,(AY145/DP!$AM$15)*(1+DP!$AP$15),IF(AW145=DP!$AN$16,(AY145/DP!$AM$16)*(1+DP!$AP$16),IF(AW145=DP!$AN$17,(AY145/DP!$AM$17)*(1+DP!$AP$17),IF(AW145=DP!$AN$18,(AY145/DP!$AM$18)*(1+DP!$AP$18),0*1))))</f>
        <v>0</v>
      </c>
      <c r="CA145" s="102">
        <f>IF(AW145=DP!$AN$22,(DP!$AQ$22),IF(AW145=DP!$AN$23,(DP!$AQ$23),IF(AW145=DP!$AN$24,(DP!$AQ$24),IF(AW145=DP!$AN$25,(DP!$AQ$25),((0*1))))))</f>
        <v>0</v>
      </c>
      <c r="CB145" s="93">
        <f t="shared" ref="CB145:CB162" si="162">BZ145*CA145</f>
        <v>0</v>
      </c>
      <c r="CC145" s="93">
        <f>IF(AW145=DP!$AN$15,AY145*(1+DP!$AP$15),IF(AW145=DP!$AN$16,AY145*(1+DP!$AP$16),IF(AW145=DP!$AN$17,AY145*(1+DP!$AP$17),IF(AW145=DP!$AN$18,AY145*(1+DP!$AP$18),0*1))))</f>
        <v>0</v>
      </c>
      <c r="CD145" s="102">
        <f>IF(AW145=DP!$AN$22,(DP!$AR$22),IF(AW145=DP!$AN$23,(DP!$AR$23),IF(AW145=DP!$AN$24,(DP!$AR$24),IF(AW145=DP!$AN$25,(DP!$AR$25),((0*1))))))</f>
        <v>0</v>
      </c>
      <c r="CE145" s="93">
        <f t="shared" ref="CE145:CE162" si="163">CC145*CD145</f>
        <v>0</v>
      </c>
      <c r="CF145" s="100"/>
      <c r="CG145" s="149">
        <f t="shared" si="143"/>
        <v>0</v>
      </c>
      <c r="CH145" s="149">
        <f>DP!$N$35*BA145</f>
        <v>0</v>
      </c>
      <c r="CI145" s="149">
        <f>DP!$O$35*BA145</f>
        <v>0</v>
      </c>
      <c r="CJ145" s="149">
        <f>DP!$P$35*BA145</f>
        <v>0</v>
      </c>
    </row>
    <row r="146" spans="2:88" x14ac:dyDescent="0.35">
      <c r="B146" s="480">
        <f>DP!S20</f>
        <v>0</v>
      </c>
      <c r="C146" s="480" t="str">
        <f>DP!T20</f>
        <v>PALMITO TROZO 800</v>
      </c>
      <c r="D146" s="480">
        <f>DP!U20</f>
        <v>800</v>
      </c>
      <c r="E146" s="480">
        <f>DP!V20</f>
        <v>500</v>
      </c>
      <c r="F146" s="412">
        <f t="shared" si="144"/>
        <v>0</v>
      </c>
      <c r="G146" s="470">
        <f>DP!AA20</f>
        <v>0</v>
      </c>
      <c r="H146" s="98">
        <f t="shared" si="145"/>
        <v>0</v>
      </c>
      <c r="I146" s="97"/>
      <c r="J146" s="102">
        <f t="shared" si="134"/>
        <v>0</v>
      </c>
      <c r="K146" s="98">
        <f t="shared" si="135"/>
        <v>0</v>
      </c>
      <c r="L146" s="93">
        <f t="shared" si="136"/>
        <v>0</v>
      </c>
      <c r="M146" s="99">
        <f t="shared" si="137"/>
        <v>0</v>
      </c>
      <c r="N146" s="100"/>
      <c r="O146" s="102">
        <f>($E146/DP!$N$29)*F146</f>
        <v>0</v>
      </c>
      <c r="P146" s="102">
        <f>IF(O146&gt;0,(DP!$N$31),0*1)</f>
        <v>0</v>
      </c>
      <c r="Q146" s="102">
        <f t="shared" si="146"/>
        <v>0</v>
      </c>
      <c r="R146" s="102">
        <f t="shared" si="147"/>
        <v>0</v>
      </c>
      <c r="S146" s="418">
        <f t="shared" si="148"/>
        <v>0</v>
      </c>
      <c r="T146" s="475">
        <f>H146*DP!$S$44</f>
        <v>0</v>
      </c>
      <c r="U146" s="475">
        <f>IF(H146&gt;0,DP!$T$44,0*1)</f>
        <v>0</v>
      </c>
      <c r="V146" s="475">
        <f t="shared" si="149"/>
        <v>0</v>
      </c>
      <c r="W146" s="475">
        <f>H146*DP!$S$45</f>
        <v>0</v>
      </c>
      <c r="X146" s="475">
        <f>IF(H146&gt;0,DP!$T$45,0*1)</f>
        <v>0</v>
      </c>
      <c r="Y146" s="475">
        <f t="shared" si="150"/>
        <v>0</v>
      </c>
      <c r="Z146" s="100"/>
      <c r="AA146" s="93">
        <f>IF(D146=DP!$L$15,F146*(1+DP!$N$15),IF(D146=DP!$L$16,F146*(1+DP!$N$16),IF(D146=DP!$L$17,F146*(1+DP!$N$17),IF(D146=DP!$L$18,F146*(1+DP!$N$18),0*1))))</f>
        <v>0</v>
      </c>
      <c r="AB146" s="102">
        <f>IF(D146=DP!$L$22,(DP!$M$22),IF(D146=DP!$L$23,(DP!$M$23),IF(D146=DP!$L$24,(DP!$M$24),IF(D146=DP!$L$25,(DP!$M$25),((0*1))))))</f>
        <v>0</v>
      </c>
      <c r="AC146" s="93">
        <f t="shared" si="151"/>
        <v>0</v>
      </c>
      <c r="AD146" s="93">
        <f>IF(D146=DP!$L$15,F146*(1+DP!$N$15),IF(D146=DP!$L$16,F146*(1+DP!$N$16),IF(D146=DP!$L$17,F146*(1+DP!$N$17),IF(D146=DP!$L$18,F146*(1+DP!$N$18),0*1))))</f>
        <v>0</v>
      </c>
      <c r="AE146" s="102">
        <f>IF(D146=DP!$L$22,(DP!$N$22),IF(D146=DP!$L$23,(DP!$N$23),IF(D146=DP!$L$24,(DP!$N$24),IF(D146=DP!$L$25,(DP!$N$25),((0*1))))))</f>
        <v>0</v>
      </c>
      <c r="AF146" s="93">
        <f t="shared" si="152"/>
        <v>0</v>
      </c>
      <c r="AG146" s="93">
        <f>IF(D146=DP!$L$15,(F146/DP!$K$15)*(1+DP!$N$15),IF(D146=DP!$L$16,(F146/DP!$K$16)*(1+DP!$N$16),IF(D146=DP!$L$17,(F146/DP!$K$17)*(1+DP!$N$17),IF(D146=DP!$L$18,(F146/DP!$K$18)*(1+DP!$N$18),0*1))))</f>
        <v>0</v>
      </c>
      <c r="AH146" s="102">
        <f>IF(D146=DP!$L$22,(DP!$O$22),IF(D146=DP!$L$23,(DP!$O$23),IF(D146=DP!$L$24,(DP!$O$24),IF(D146=DP!$L$25,(DP!$O$25),((0*1))))))</f>
        <v>0</v>
      </c>
      <c r="AI146" s="93">
        <f t="shared" si="153"/>
        <v>0</v>
      </c>
      <c r="AJ146" s="93">
        <f>IF(D146=DP!$L$15,F146*(1+DP!$N$15),IF(D146=DP!$L$16,F146*(1+DP!$N$16),IF(D146=DP!$L$17,F146*(1+DP!$N$17),IF(D146=DP!$L$18,F146*(1+DP!$N$18),0*1))))</f>
        <v>0</v>
      </c>
      <c r="AK146" s="102">
        <f>IF(D146=DP!$L$22,(DP!$P$22),IF(D146=DP!$L$23,(DP!$P$23),IF(D146=DP!$L$24,(DP!$P$24),IF(D146=DP!$L$25,(DP!$P$25),((0*1))))))</f>
        <v>0</v>
      </c>
      <c r="AL146" s="93">
        <f t="shared" si="154"/>
        <v>0</v>
      </c>
      <c r="AM146" s="100"/>
      <c r="AN146" s="149">
        <f t="shared" si="138"/>
        <v>0</v>
      </c>
      <c r="AO146" s="149">
        <f>DP!$N$35*H146</f>
        <v>0</v>
      </c>
      <c r="AP146" s="149">
        <f>DP!$O$35*H146</f>
        <v>0</v>
      </c>
      <c r="AQ146" s="149">
        <f>DP!$P$35*H146</f>
        <v>0</v>
      </c>
      <c r="AV146" s="489" t="str">
        <f>DP!AV20</f>
        <v>PIÑA TROZO A-10</v>
      </c>
      <c r="AW146" s="489">
        <f>DP!AW20</f>
        <v>2920</v>
      </c>
      <c r="AX146" s="489">
        <f>DP!AX20</f>
        <v>1825</v>
      </c>
      <c r="AY146" s="412">
        <f t="shared" si="155"/>
        <v>0</v>
      </c>
      <c r="AZ146" s="470">
        <f>DP!BC20</f>
        <v>0</v>
      </c>
      <c r="BA146" s="98">
        <f t="shared" si="156"/>
        <v>0</v>
      </c>
      <c r="BB146" s="97"/>
      <c r="BC146" s="102">
        <f t="shared" si="139"/>
        <v>0</v>
      </c>
      <c r="BD146" s="98">
        <f t="shared" si="140"/>
        <v>0</v>
      </c>
      <c r="BE146" s="93">
        <f t="shared" si="141"/>
        <v>0</v>
      </c>
      <c r="BF146" s="99">
        <f t="shared" si="142"/>
        <v>0</v>
      </c>
      <c r="BG146" s="100"/>
      <c r="BH146" s="102">
        <f>IFERROR((BA146*100%)/DP!$AP$29,(0*1))</f>
        <v>0</v>
      </c>
      <c r="BI146" s="102">
        <f>IF(BH146&gt;0,(DP!$AP$31),0*1)</f>
        <v>0</v>
      </c>
      <c r="BJ146" s="435">
        <f t="shared" si="157"/>
        <v>0</v>
      </c>
      <c r="BK146" s="475">
        <f>BA146*DP!$AU$44</f>
        <v>0</v>
      </c>
      <c r="BL146" s="475">
        <f>IF(BA146&gt;0,DP!$AV$44,0*1)</f>
        <v>0</v>
      </c>
      <c r="BM146" s="475">
        <f t="shared" si="158"/>
        <v>0</v>
      </c>
      <c r="BN146" s="102">
        <f>BA146*DP!$AU$45</f>
        <v>0</v>
      </c>
      <c r="BO146" s="102">
        <f>IF(BA146&gt;0,DP!$AV$45,0*1)</f>
        <v>0</v>
      </c>
      <c r="BP146" s="475">
        <f t="shared" si="159"/>
        <v>0</v>
      </c>
      <c r="BQ146" s="100"/>
      <c r="BR146" s="100"/>
      <c r="BS146" s="100"/>
      <c r="BT146" s="93">
        <f>IF(AW146=DP!$AN$15,AY146*(1+DP!$AP$15),IF(AW146=DP!$AN$16,AY146*(1+DP!$AP$16),IF(AW146=DP!$AN$17,AY146*(1+DP!$AP$17),IF(AW146=DP!$AN$18,AY146*(1+DP!$AP$18),0*1))))</f>
        <v>0</v>
      </c>
      <c r="BU146" s="102">
        <f>IF(AW146=DP!$AN$22,(DP!$AO$22),IF(AW146=DP!$AN$23,(DP!$AO$23),IF(AW146=DP!$AN$24,(DP!$AO$24),IF(AW146=DP!$AN$25,(DP!$AO$25),((0*1))))))</f>
        <v>0</v>
      </c>
      <c r="BV146" s="93">
        <f t="shared" si="160"/>
        <v>0</v>
      </c>
      <c r="BW146" s="93">
        <f>IF(AW146=DP!$AN$15,AY146*(1+DP!$AP$15),IF(AW146=DP!$AN$16,AY146*(1+DP!$AP$16),IF(AW146=DP!$AN$17,AY146*(1+DP!$AP$17),IF(AW146=DP!$AN$18,AY146*(1+DP!$AP$18),0*1))))</f>
        <v>0</v>
      </c>
      <c r="BX146" s="102">
        <f>IF(AW146=DP!$AN$22,(DP!$AP$22),IF(AW146=DP!$AN$23,(DP!$AP$23),IF(AW146=DP!$AN$24,(DP!$AP$24),IF(AW146=DP!$AN$25,(DP!$AP$25),((0*1))))))</f>
        <v>0</v>
      </c>
      <c r="BY146" s="93">
        <f t="shared" si="161"/>
        <v>0</v>
      </c>
      <c r="BZ146" s="93">
        <f>IF(AW146=DP!$AN$15,(AY146/DP!$AM$15)*(1+DP!$AP$15),IF(AW146=DP!$AN$16,(AY146/DP!$AM$16)*(1+DP!$AP$16),IF(AW146=DP!$AN$17,(AY146/DP!$AM$17)*(1+DP!$AP$17),IF(AW146=DP!$AN$18,(AY146/DP!$AM$18)*(1+DP!$AP$18),0*1))))</f>
        <v>0</v>
      </c>
      <c r="CA146" s="102">
        <f>IF(AW146=DP!$AN$22,(DP!$AQ$22),IF(AW146=DP!$AN$23,(DP!$AQ$23),IF(AW146=DP!$AN$24,(DP!$AQ$24),IF(AW146=DP!$AN$25,(DP!$AQ$25),((0*1))))))</f>
        <v>0</v>
      </c>
      <c r="CB146" s="93">
        <f t="shared" si="162"/>
        <v>0</v>
      </c>
      <c r="CC146" s="93">
        <f>IF(AW146=DP!$AN$15,AY146*(1+DP!$AP$15),IF(AW146=DP!$AN$16,AY146*(1+DP!$AP$16),IF(AW146=DP!$AN$17,AY146*(1+DP!$AP$17),IF(AW146=DP!$AN$18,AY146*(1+DP!$AP$18),0*1))))</f>
        <v>0</v>
      </c>
      <c r="CD146" s="102">
        <f>IF(AW146=DP!$AN$22,(DP!$AR$22),IF(AW146=DP!$AN$23,(DP!$AR$23),IF(AW146=DP!$AN$24,(DP!$AR$24),IF(AW146=DP!$AN$25,(DP!$AR$25),((0*1))))))</f>
        <v>0</v>
      </c>
      <c r="CE146" s="93">
        <f t="shared" si="163"/>
        <v>0</v>
      </c>
      <c r="CF146" s="100"/>
      <c r="CG146" s="149">
        <f t="shared" si="143"/>
        <v>0</v>
      </c>
      <c r="CH146" s="149">
        <f>DP!$N$35*BA146</f>
        <v>0</v>
      </c>
      <c r="CI146" s="149">
        <f>DP!$O$35*BA146</f>
        <v>0</v>
      </c>
      <c r="CJ146" s="149">
        <f>DP!$P$35*BA146</f>
        <v>0</v>
      </c>
    </row>
    <row r="147" spans="2:88" x14ac:dyDescent="0.35">
      <c r="B147" s="480">
        <f>DP!S21</f>
        <v>1</v>
      </c>
      <c r="C147" s="480" t="str">
        <f>DP!T21</f>
        <v>PALMITO ENTERO 400</v>
      </c>
      <c r="D147" s="480">
        <f>DP!U21</f>
        <v>400</v>
      </c>
      <c r="E147" s="480">
        <f>DP!V21</f>
        <v>220</v>
      </c>
      <c r="F147" s="412">
        <f t="shared" si="144"/>
        <v>0</v>
      </c>
      <c r="G147" s="470">
        <f>DP!AA21</f>
        <v>0</v>
      </c>
      <c r="H147" s="98">
        <f t="shared" si="145"/>
        <v>0</v>
      </c>
      <c r="I147" s="97"/>
      <c r="J147" s="102">
        <f t="shared" si="134"/>
        <v>0</v>
      </c>
      <c r="K147" s="98">
        <f t="shared" si="135"/>
        <v>0</v>
      </c>
      <c r="L147" s="93">
        <f t="shared" si="136"/>
        <v>0</v>
      </c>
      <c r="M147" s="99">
        <f t="shared" si="137"/>
        <v>0</v>
      </c>
      <c r="N147" s="100"/>
      <c r="O147" s="102">
        <f>($E147/DP!$N$29)*F147</f>
        <v>0</v>
      </c>
      <c r="P147" s="102">
        <f>IF(O147&gt;0,(DP!$N$31),0*1)</f>
        <v>0</v>
      </c>
      <c r="Q147" s="102">
        <f t="shared" si="146"/>
        <v>0</v>
      </c>
      <c r="R147" s="102">
        <f t="shared" si="147"/>
        <v>0</v>
      </c>
      <c r="S147" s="418">
        <f t="shared" si="148"/>
        <v>0</v>
      </c>
      <c r="T147" s="475">
        <f>H147*DP!$S$44</f>
        <v>0</v>
      </c>
      <c r="U147" s="475">
        <f>IF(H147&gt;0,DP!$T$44,0*1)</f>
        <v>0</v>
      </c>
      <c r="V147" s="475">
        <f t="shared" si="149"/>
        <v>0</v>
      </c>
      <c r="W147" s="475">
        <f>H147*DP!$S$45</f>
        <v>0</v>
      </c>
      <c r="X147" s="475">
        <f>IF(H147&gt;0,DP!$T$45,0*1)</f>
        <v>0</v>
      </c>
      <c r="Y147" s="475">
        <f t="shared" si="150"/>
        <v>0</v>
      </c>
      <c r="Z147" s="100"/>
      <c r="AA147" s="93">
        <f>IF(D147=DP!$L$15,F147*(1+DP!$N$15),IF(D147=DP!$L$16,F147*(1+DP!$N$16),IF(D147=DP!$L$17,F147*(1+DP!$N$17),IF(D147=DP!$L$18,F147*(1+DP!$N$18),0*1))))</f>
        <v>0</v>
      </c>
      <c r="AB147" s="102">
        <f>IF(D147=DP!$L$22,(DP!$M$22),IF(D147=DP!$L$23,(DP!$M$23),IF(D147=DP!$L$24,(DP!$M$24),IF(D147=DP!$L$25,(DP!$M$25),((0*1))))))</f>
        <v>0</v>
      </c>
      <c r="AC147" s="93">
        <f t="shared" si="151"/>
        <v>0</v>
      </c>
      <c r="AD147" s="93">
        <f>IF(D147=DP!$L$15,F147*(1+DP!$N$15),IF(D147=DP!$L$16,F147*(1+DP!$N$16),IF(D147=DP!$L$17,F147*(1+DP!$N$17),IF(D147=DP!$L$18,F147*(1+DP!$N$18),0*1))))</f>
        <v>0</v>
      </c>
      <c r="AE147" s="102">
        <f>IF(D147=DP!$L$22,(DP!$N$22),IF(D147=DP!$L$23,(DP!$N$23),IF(D147=DP!$L$24,(DP!$N$24),IF(D147=DP!$L$25,(DP!$N$25),((0*1))))))</f>
        <v>0</v>
      </c>
      <c r="AF147" s="93">
        <f t="shared" si="152"/>
        <v>0</v>
      </c>
      <c r="AG147" s="93">
        <f>IF(D147=DP!$L$15,(F147/DP!$K$15)*(1+DP!$N$15),IF(D147=DP!$L$16,(F147/DP!$K$16)*(1+DP!$N$16),IF(D147=DP!$L$17,(F147/DP!$K$17)*(1+DP!$N$17),IF(D147=DP!$L$18,(F147/DP!$K$18)*(1+DP!$N$18),0*1))))</f>
        <v>0</v>
      </c>
      <c r="AH147" s="102">
        <f>IF(D147=DP!$L$22,(DP!$O$22),IF(D147=DP!$L$23,(DP!$O$23),IF(D147=DP!$L$24,(DP!$O$24),IF(D147=DP!$L$25,(DP!$O$25),((0*1))))))</f>
        <v>0</v>
      </c>
      <c r="AI147" s="93">
        <f t="shared" si="153"/>
        <v>0</v>
      </c>
      <c r="AJ147" s="93">
        <f>IF(D147=DP!$L$15,F147*(1+DP!$N$15),IF(D147=DP!$L$16,F147*(1+DP!$N$16),IF(D147=DP!$L$17,F147*(1+DP!$N$17),IF(D147=DP!$L$18,F147*(1+DP!$N$18),0*1))))</f>
        <v>0</v>
      </c>
      <c r="AK147" s="102">
        <f>IF(D147=DP!$L$22,(DP!$P$22),IF(D147=DP!$L$23,(DP!$P$23),IF(D147=DP!$L$24,(DP!$P$24),IF(D147=DP!$L$25,(DP!$P$25),((0*1))))))</f>
        <v>0</v>
      </c>
      <c r="AL147" s="93">
        <f t="shared" si="154"/>
        <v>0</v>
      </c>
      <c r="AM147" s="100"/>
      <c r="AN147" s="149">
        <f t="shared" si="138"/>
        <v>0</v>
      </c>
      <c r="AO147" s="149">
        <f>DP!$N$35*H147</f>
        <v>0</v>
      </c>
      <c r="AP147" s="149">
        <f>DP!$O$35*H147</f>
        <v>0</v>
      </c>
      <c r="AQ147" s="149">
        <f>DP!$P$35*H147</f>
        <v>0</v>
      </c>
      <c r="AV147" s="489" t="str">
        <f>DP!AV21</f>
        <v>PIÑA RODAJA A-10</v>
      </c>
      <c r="AW147" s="489">
        <f>DP!AW21</f>
        <v>2920</v>
      </c>
      <c r="AX147" s="489">
        <f>DP!AX21</f>
        <v>1825</v>
      </c>
      <c r="AY147" s="412">
        <f t="shared" si="155"/>
        <v>0</v>
      </c>
      <c r="AZ147" s="470">
        <f>DP!BC21</f>
        <v>0</v>
      </c>
      <c r="BA147" s="98">
        <f t="shared" si="156"/>
        <v>0</v>
      </c>
      <c r="BB147" s="97"/>
      <c r="BC147" s="102">
        <f t="shared" si="139"/>
        <v>0</v>
      </c>
      <c r="BD147" s="98">
        <f t="shared" si="140"/>
        <v>0</v>
      </c>
      <c r="BE147" s="93">
        <f t="shared" si="141"/>
        <v>0</v>
      </c>
      <c r="BF147" s="99">
        <f t="shared" si="142"/>
        <v>0</v>
      </c>
      <c r="BG147" s="100"/>
      <c r="BH147" s="102">
        <f>IFERROR((BA147*100%)/DP!$AP$29,(0*1))</f>
        <v>0</v>
      </c>
      <c r="BI147" s="102">
        <f>IF(BH147&gt;0,(DP!$AP$31),0*1)</f>
        <v>0</v>
      </c>
      <c r="BJ147" s="435">
        <f t="shared" si="157"/>
        <v>0</v>
      </c>
      <c r="BK147" s="475">
        <f>BA147*DP!$AU$44</f>
        <v>0</v>
      </c>
      <c r="BL147" s="475">
        <f>IF(BA147&gt;0,DP!$AV$44,0*1)</f>
        <v>0</v>
      </c>
      <c r="BM147" s="475">
        <f t="shared" si="158"/>
        <v>0</v>
      </c>
      <c r="BN147" s="102">
        <f>BA147*DP!$AU$45</f>
        <v>0</v>
      </c>
      <c r="BO147" s="102">
        <f>IF(BA147&gt;0,DP!$AV$45,0*1)</f>
        <v>0</v>
      </c>
      <c r="BP147" s="475">
        <f t="shared" si="159"/>
        <v>0</v>
      </c>
      <c r="BQ147" s="100"/>
      <c r="BR147" s="100"/>
      <c r="BS147" s="100"/>
      <c r="BT147" s="93">
        <f>IF(AW147=DP!$AN$15,AY147*(1+DP!$AP$15),IF(AW147=DP!$AN$16,AY147*(1+DP!$AP$16),IF(AW147=DP!$AN$17,AY147*(1+DP!$AP$17),IF(AW147=DP!$AN$18,AY147*(1+DP!$AP$18),0*1))))</f>
        <v>0</v>
      </c>
      <c r="BU147" s="102">
        <f>IF(AW147=DP!$AN$22,(DP!$AO$22),IF(AW147=DP!$AN$23,(DP!$AO$23),IF(AW147=DP!$AN$24,(DP!$AO$24),IF(AW147=DP!$AN$25,(DP!$AO$25),((0*1))))))</f>
        <v>0</v>
      </c>
      <c r="BV147" s="93">
        <f t="shared" si="160"/>
        <v>0</v>
      </c>
      <c r="BW147" s="93">
        <f>IF(AW147=DP!$AN$15,AY147*(1+DP!$AP$15),IF(AW147=DP!$AN$16,AY147*(1+DP!$AP$16),IF(AW147=DP!$AN$17,AY147*(1+DP!$AP$17),IF(AW147=DP!$AN$18,AY147*(1+DP!$AP$18),0*1))))</f>
        <v>0</v>
      </c>
      <c r="BX147" s="102">
        <f>IF(AW147=DP!$AN$22,(DP!$AP$22),IF(AW147=DP!$AN$23,(DP!$AP$23),IF(AW147=DP!$AN$24,(DP!$AP$24),IF(AW147=DP!$AN$25,(DP!$AP$25),((0*1))))))</f>
        <v>0</v>
      </c>
      <c r="BY147" s="93">
        <f t="shared" si="161"/>
        <v>0</v>
      </c>
      <c r="BZ147" s="93">
        <f>IF(AW147=DP!$AN$15,(AY147/DP!$AM$15)*(1+DP!$AP$15),IF(AW147=DP!$AN$16,(AY147/DP!$AM$16)*(1+DP!$AP$16),IF(AW147=DP!$AN$17,(AY147/DP!$AM$17)*(1+DP!$AP$17),IF(AW147=DP!$AN$18,(AY147/DP!$AM$18)*(1+DP!$AP$18),0*1))))</f>
        <v>0</v>
      </c>
      <c r="CA147" s="102">
        <f>IF(AW147=DP!$AN$22,(DP!$AQ$22),IF(AW147=DP!$AN$23,(DP!$AQ$23),IF(AW147=DP!$AN$24,(DP!$AQ$24),IF(AW147=DP!$AN$25,(DP!$AQ$25),((0*1))))))</f>
        <v>0</v>
      </c>
      <c r="CB147" s="93">
        <f t="shared" si="162"/>
        <v>0</v>
      </c>
      <c r="CC147" s="93">
        <f>IF(AW147=DP!$AN$15,AY147*(1+DP!$AP$15),IF(AW147=DP!$AN$16,AY147*(1+DP!$AP$16),IF(AW147=DP!$AN$17,AY147*(1+DP!$AP$17),IF(AW147=DP!$AN$18,AY147*(1+DP!$AP$18),0*1))))</f>
        <v>0</v>
      </c>
      <c r="CD147" s="102">
        <f>IF(AW147=DP!$AN$22,(DP!$AR$22),IF(AW147=DP!$AN$23,(DP!$AR$23),IF(AW147=DP!$AN$24,(DP!$AR$24),IF(AW147=DP!$AN$25,(DP!$AR$25),((0*1))))))</f>
        <v>0</v>
      </c>
      <c r="CE147" s="93">
        <f t="shared" si="163"/>
        <v>0</v>
      </c>
      <c r="CF147" s="100"/>
      <c r="CG147" s="149">
        <f t="shared" si="143"/>
        <v>0</v>
      </c>
      <c r="CH147" s="149">
        <f>DP!$N$35*BA147</f>
        <v>0</v>
      </c>
      <c r="CI147" s="149">
        <f>DP!$O$35*BA147</f>
        <v>0</v>
      </c>
      <c r="CJ147" s="149">
        <f>DP!$P$35*BA147</f>
        <v>0</v>
      </c>
    </row>
    <row r="148" spans="2:88" x14ac:dyDescent="0.35">
      <c r="B148" s="480">
        <f>DP!S22</f>
        <v>0</v>
      </c>
      <c r="C148" s="480" t="str">
        <f>DP!T22</f>
        <v>PALMITO RODAJA 400</v>
      </c>
      <c r="D148" s="480">
        <f>DP!U22</f>
        <v>400</v>
      </c>
      <c r="E148" s="480">
        <f>DP!V22</f>
        <v>220</v>
      </c>
      <c r="F148" s="412">
        <f t="shared" si="144"/>
        <v>0</v>
      </c>
      <c r="G148" s="470">
        <f>DP!AA22</f>
        <v>0</v>
      </c>
      <c r="H148" s="98">
        <f t="shared" si="145"/>
        <v>0</v>
      </c>
      <c r="I148" s="97"/>
      <c r="J148" s="102">
        <f t="shared" si="134"/>
        <v>0</v>
      </c>
      <c r="K148" s="98">
        <f t="shared" si="135"/>
        <v>0</v>
      </c>
      <c r="L148" s="93">
        <f t="shared" si="136"/>
        <v>0</v>
      </c>
      <c r="M148" s="99">
        <f t="shared" si="137"/>
        <v>0</v>
      </c>
      <c r="N148" s="100"/>
      <c r="O148" s="102">
        <f>($E148/DP!$N$29)*F148</f>
        <v>0</v>
      </c>
      <c r="P148" s="102">
        <f>IF(O148&gt;0,(DP!$N$31),0*1)</f>
        <v>0</v>
      </c>
      <c r="Q148" s="102">
        <f t="shared" si="146"/>
        <v>0</v>
      </c>
      <c r="R148" s="102">
        <f t="shared" si="147"/>
        <v>0</v>
      </c>
      <c r="S148" s="418">
        <f t="shared" si="148"/>
        <v>0</v>
      </c>
      <c r="T148" s="475">
        <f>H148*DP!$S$44</f>
        <v>0</v>
      </c>
      <c r="U148" s="475">
        <f>IF(H148&gt;0,DP!$T$44,0*1)</f>
        <v>0</v>
      </c>
      <c r="V148" s="475">
        <f t="shared" si="149"/>
        <v>0</v>
      </c>
      <c r="W148" s="475">
        <f>H148*DP!$S$45</f>
        <v>0</v>
      </c>
      <c r="X148" s="475">
        <f>IF(H148&gt;0,DP!$T$45,0*1)</f>
        <v>0</v>
      </c>
      <c r="Y148" s="475">
        <f t="shared" si="150"/>
        <v>0</v>
      </c>
      <c r="Z148" s="100"/>
      <c r="AA148" s="93">
        <f>IF(D148=DP!$L$15,F148*(1+DP!$N$15),IF(D148=DP!$L$16,F148*(1+DP!$N$16),IF(D148=DP!$L$17,F148*(1+DP!$N$17),IF(D148=DP!$L$18,F148*(1+DP!$N$18),0*1))))</f>
        <v>0</v>
      </c>
      <c r="AB148" s="102">
        <f>IF(D148=DP!$L$22,(DP!$M$22),IF(D148=DP!$L$23,(DP!$M$23),IF(D148=DP!$L$24,(DP!$M$24),IF(D148=DP!$L$25,(DP!$M$25),((0*1))))))</f>
        <v>0</v>
      </c>
      <c r="AC148" s="93">
        <f t="shared" si="151"/>
        <v>0</v>
      </c>
      <c r="AD148" s="93">
        <f>IF(D148=DP!$L$15,F148*(1+DP!$N$15),IF(D148=DP!$L$16,F148*(1+DP!$N$16),IF(D148=DP!$L$17,F148*(1+DP!$N$17),IF(D148=DP!$L$18,F148*(1+DP!$N$18),0*1))))</f>
        <v>0</v>
      </c>
      <c r="AE148" s="102">
        <f>IF(D148=DP!$L$22,(DP!$N$22),IF(D148=DP!$L$23,(DP!$N$23),IF(D148=DP!$L$24,(DP!$N$24),IF(D148=DP!$L$25,(DP!$N$25),((0*1))))))</f>
        <v>0</v>
      </c>
      <c r="AF148" s="93">
        <f t="shared" si="152"/>
        <v>0</v>
      </c>
      <c r="AG148" s="93">
        <f>IF(D148=DP!$L$15,(F148/DP!$K$15)*(1+DP!$N$15),IF(D148=DP!$L$16,(F148/DP!$K$16)*(1+DP!$N$16),IF(D148=DP!$L$17,(F148/DP!$K$17)*(1+DP!$N$17),IF(D148=DP!$L$18,(F148/DP!$K$18)*(1+DP!$N$18),0*1))))</f>
        <v>0</v>
      </c>
      <c r="AH148" s="102">
        <f>IF(D148=DP!$L$22,(DP!$O$22),IF(D148=DP!$L$23,(DP!$O$23),IF(D148=DP!$L$24,(DP!$O$24),IF(D148=DP!$L$25,(DP!$O$25),((0*1))))))</f>
        <v>0</v>
      </c>
      <c r="AI148" s="93">
        <f t="shared" si="153"/>
        <v>0</v>
      </c>
      <c r="AJ148" s="93">
        <f>IF(D148=DP!$L$15,F148*(1+DP!$N$15),IF(D148=DP!$L$16,F148*(1+DP!$N$16),IF(D148=DP!$L$17,F148*(1+DP!$N$17),IF(D148=DP!$L$18,F148*(1+DP!$N$18),0*1))))</f>
        <v>0</v>
      </c>
      <c r="AK148" s="102">
        <f>IF(D148=DP!$L$22,(DP!$P$22),IF(D148=DP!$L$23,(DP!$P$23),IF(D148=DP!$L$24,(DP!$P$24),IF(D148=DP!$L$25,(DP!$P$25),((0*1))))))</f>
        <v>0</v>
      </c>
      <c r="AL148" s="93">
        <f t="shared" si="154"/>
        <v>0</v>
      </c>
      <c r="AM148" s="100"/>
      <c r="AN148" s="149">
        <f t="shared" si="138"/>
        <v>0</v>
      </c>
      <c r="AO148" s="149">
        <f>DP!$N$35*H148</f>
        <v>0</v>
      </c>
      <c r="AP148" s="149">
        <f>DP!$O$35*H148</f>
        <v>0</v>
      </c>
      <c r="AQ148" s="149">
        <f>DP!$P$35*H148</f>
        <v>0</v>
      </c>
      <c r="AV148" s="489" t="str">
        <f>DP!AV22</f>
        <v>PIÑA RODAJA 567</v>
      </c>
      <c r="AW148" s="489">
        <f>DP!AW22</f>
        <v>567</v>
      </c>
      <c r="AX148" s="489">
        <f>DP!AX22</f>
        <v>340</v>
      </c>
      <c r="AY148" s="412">
        <f t="shared" si="155"/>
        <v>270000</v>
      </c>
      <c r="AZ148" s="470">
        <f>DP!BC22</f>
        <v>0.5</v>
      </c>
      <c r="BA148" s="98">
        <f t="shared" si="156"/>
        <v>91800</v>
      </c>
      <c r="BB148" s="97"/>
      <c r="BC148" s="102">
        <f t="shared" si="139"/>
        <v>0.96041166831383962</v>
      </c>
      <c r="BD148" s="98">
        <f t="shared" si="140"/>
        <v>0.83461166831383959</v>
      </c>
      <c r="BE148" s="93">
        <f t="shared" si="141"/>
        <v>259311.1504447367</v>
      </c>
      <c r="BF148" s="99">
        <f t="shared" si="142"/>
        <v>225345.1504447367</v>
      </c>
      <c r="BG148" s="100"/>
      <c r="BH148" s="102">
        <f>IFERROR((BA148*100%)/DP!$AP$29,(0*1))</f>
        <v>204000</v>
      </c>
      <c r="BI148" s="102">
        <f>IF(BH148&gt;0,(DP!$AP$31),0*1)</f>
        <v>0.45</v>
      </c>
      <c r="BJ148" s="435">
        <f t="shared" si="157"/>
        <v>91800</v>
      </c>
      <c r="BK148" s="475">
        <f>BA148*DP!$AU$44</f>
        <v>229.5</v>
      </c>
      <c r="BL148" s="475">
        <f>IF(BA148&gt;0,DP!$AV$44,0*1)</f>
        <v>0.95</v>
      </c>
      <c r="BM148" s="475">
        <f t="shared" si="158"/>
        <v>218.02499999999998</v>
      </c>
      <c r="BN148" s="102">
        <f>BA148*DP!$AU$45</f>
        <v>15238.800000000001</v>
      </c>
      <c r="BO148" s="102">
        <f>IF(BA148&gt;0,DP!$AV$45,0*1)</f>
        <v>0.76919999999999999</v>
      </c>
      <c r="BP148" s="475">
        <f t="shared" si="159"/>
        <v>11721.684960000001</v>
      </c>
      <c r="BQ148" s="100"/>
      <c r="BR148" s="100"/>
      <c r="BS148" s="100"/>
      <c r="BT148" s="93">
        <f>IF(AW148=DP!$AN$15,AY148*(1+DP!$AP$15),IF(AW148=DP!$AN$16,AY148*(1+DP!$AP$16),IF(AW148=DP!$AN$17,AY148*(1+DP!$AP$17),IF(AW148=DP!$AN$18,AY148*(1+DP!$AP$18),0*1))))</f>
        <v>271350</v>
      </c>
      <c r="BU148" s="102">
        <f>IF(AW148=DP!$AN$22,(DP!$AO$22),IF(AW148=DP!$AN$23,(DP!$AO$23),IF(AW148=DP!$AN$24,(DP!$AO$24),IF(AW148=DP!$AN$25,(DP!$AO$25),((0*1))))))</f>
        <v>0.23</v>
      </c>
      <c r="BV148" s="93">
        <f t="shared" si="160"/>
        <v>62410.5</v>
      </c>
      <c r="BW148" s="93">
        <f>IF(AW148=DP!$AN$15,AY148*(1+DP!$AP$15),IF(AW148=DP!$AN$16,AY148*(1+DP!$AP$16),IF(AW148=DP!$AN$17,AY148*(1+DP!$AP$17),IF(AW148=DP!$AN$18,AY148*(1+DP!$AP$18),0*1))))</f>
        <v>271350</v>
      </c>
      <c r="BX148" s="102">
        <f>IF(AW148=DP!$AN$22,(DP!$AP$22),IF(AW148=DP!$AN$23,(DP!$AP$23),IF(AW148=DP!$AN$24,(DP!$AP$24),IF(AW148=DP!$AN$25,(DP!$AP$25),((0*1))))))</f>
        <v>5.5E-2</v>
      </c>
      <c r="BY148" s="93">
        <f t="shared" si="161"/>
        <v>14924.25</v>
      </c>
      <c r="BZ148" s="93">
        <f>IF(AW148=DP!$AN$15,(AY148/DP!$AM$15)*(1+DP!$AP$15),IF(AW148=DP!$AN$16,(AY148/DP!$AM$16)*(1+DP!$AP$16),IF(AW148=DP!$AN$17,(AY148/DP!$AM$17)*(1+DP!$AP$17),IF(AW148=DP!$AN$18,(AY148/DP!$AM$18)*(1+DP!$AP$18),0*1))))</f>
        <v>11306.249999999998</v>
      </c>
      <c r="CA148" s="102">
        <f>IF(AW148=DP!$AN$22,(DP!$AQ$22),IF(AW148=DP!$AN$23,(DP!$AQ$23),IF(AW148=DP!$AN$24,(DP!$AQ$24),IF(AW148=DP!$AN$25,(DP!$AQ$25),((0*1))))))</f>
        <v>0.51199999999999923</v>
      </c>
      <c r="CB148" s="93">
        <f t="shared" si="162"/>
        <v>5788.7999999999902</v>
      </c>
      <c r="CC148" s="93">
        <f>IF(AW148=DP!$AN$15,AY148*(1+DP!$AP$15),IF(AW148=DP!$AN$16,AY148*(1+DP!$AP$16),IF(AW148=DP!$AN$17,AY148*(1+DP!$AP$17),IF(AW148=DP!$AN$18,AY148*(1+DP!$AP$18),0*1))))</f>
        <v>271350</v>
      </c>
      <c r="CD148" s="102">
        <f>IF(AW148=DP!$AN$22,(DP!$AR$22),IF(AW148=DP!$AN$23,(DP!$AR$23),IF(AW148=DP!$AN$24,(DP!$AR$24),IF(AW148=DP!$AN$25,(DP!$AR$25),((0*1))))))</f>
        <v>3.3045977011494254E-2</v>
      </c>
      <c r="CE148" s="93">
        <f t="shared" si="163"/>
        <v>8967.0258620689656</v>
      </c>
      <c r="CF148" s="100"/>
      <c r="CG148" s="149">
        <f t="shared" si="143"/>
        <v>29514.864622667745</v>
      </c>
      <c r="CH148" s="149">
        <f>DP!$N$35*BA148</f>
        <v>1318.9655172413795</v>
      </c>
      <c r="CI148" s="149">
        <f>DP!$O$35*BA148</f>
        <v>5012.0689655172418</v>
      </c>
      <c r="CJ148" s="149">
        <f>DP!$P$35*BA148</f>
        <v>33966</v>
      </c>
    </row>
    <row r="149" spans="2:88" x14ac:dyDescent="0.35">
      <c r="B149" s="480">
        <f>DP!S23</f>
        <v>0</v>
      </c>
      <c r="C149" s="480" t="str">
        <f>DP!T23</f>
        <v>PALMITO TROZO 400</v>
      </c>
      <c r="D149" s="480">
        <f>DP!U23</f>
        <v>400</v>
      </c>
      <c r="E149" s="480">
        <f>DP!V23</f>
        <v>236</v>
      </c>
      <c r="F149" s="412">
        <f t="shared" si="144"/>
        <v>0</v>
      </c>
      <c r="G149" s="470">
        <f>DP!AA23</f>
        <v>0</v>
      </c>
      <c r="H149" s="98">
        <f t="shared" si="145"/>
        <v>0</v>
      </c>
      <c r="I149" s="97"/>
      <c r="J149" s="102">
        <f t="shared" si="134"/>
        <v>0</v>
      </c>
      <c r="K149" s="98">
        <f t="shared" si="135"/>
        <v>0</v>
      </c>
      <c r="L149" s="93">
        <f t="shared" si="136"/>
        <v>0</v>
      </c>
      <c r="M149" s="99">
        <f t="shared" si="137"/>
        <v>0</v>
      </c>
      <c r="N149" s="100"/>
      <c r="O149" s="102">
        <f>($E149/DP!$N$29)*F149</f>
        <v>0</v>
      </c>
      <c r="P149" s="102">
        <f>IF(O149&gt;0,(DP!$N$31),0*1)</f>
        <v>0</v>
      </c>
      <c r="Q149" s="102">
        <f t="shared" si="146"/>
        <v>0</v>
      </c>
      <c r="R149" s="102">
        <f t="shared" si="147"/>
        <v>0</v>
      </c>
      <c r="S149" s="418">
        <f t="shared" si="148"/>
        <v>0</v>
      </c>
      <c r="T149" s="475">
        <f>H149*DP!$S$44</f>
        <v>0</v>
      </c>
      <c r="U149" s="475">
        <f>IF(H149&gt;0,DP!$T$44,0*1)</f>
        <v>0</v>
      </c>
      <c r="V149" s="475">
        <f t="shared" si="149"/>
        <v>0</v>
      </c>
      <c r="W149" s="475">
        <f>H149*DP!$S$45</f>
        <v>0</v>
      </c>
      <c r="X149" s="475">
        <f>IF(H149&gt;0,DP!$T$45,0*1)</f>
        <v>0</v>
      </c>
      <c r="Y149" s="475">
        <f t="shared" si="150"/>
        <v>0</v>
      </c>
      <c r="Z149" s="100"/>
      <c r="AA149" s="93">
        <f>IF(D149=DP!$L$15,F149*(1+DP!$N$15),IF(D149=DP!$L$16,F149*(1+DP!$N$16),IF(D149=DP!$L$17,F149*(1+DP!$N$17),IF(D149=DP!$L$18,F149*(1+DP!$N$18),0*1))))</f>
        <v>0</v>
      </c>
      <c r="AB149" s="102">
        <f>IF(D149=DP!$L$22,(DP!$M$22),IF(D149=DP!$L$23,(DP!$M$23),IF(D149=DP!$L$24,(DP!$M$24),IF(D149=DP!$L$25,(DP!$M$25),((0*1))))))</f>
        <v>0</v>
      </c>
      <c r="AC149" s="93">
        <f t="shared" si="151"/>
        <v>0</v>
      </c>
      <c r="AD149" s="93">
        <f>IF(D149=DP!$L$15,F149*(1+DP!$N$15),IF(D149=DP!$L$16,F149*(1+DP!$N$16),IF(D149=DP!$L$17,F149*(1+DP!$N$17),IF(D149=DP!$L$18,F149*(1+DP!$N$18),0*1))))</f>
        <v>0</v>
      </c>
      <c r="AE149" s="102">
        <f>IF(D149=DP!$L$22,(DP!$N$22),IF(D149=DP!$L$23,(DP!$N$23),IF(D149=DP!$L$24,(DP!$N$24),IF(D149=DP!$L$25,(DP!$N$25),((0*1))))))</f>
        <v>0</v>
      </c>
      <c r="AF149" s="93">
        <f t="shared" si="152"/>
        <v>0</v>
      </c>
      <c r="AG149" s="93">
        <f>IF(D149=DP!$L$15,(F149/DP!$K$15)*(1+DP!$N$15),IF(D149=DP!$L$16,(F149/DP!$K$16)*(1+DP!$N$16),IF(D149=DP!$L$17,(F149/DP!$K$17)*(1+DP!$N$17),IF(D149=DP!$L$18,(F149/DP!$K$18)*(1+DP!$N$18),0*1))))</f>
        <v>0</v>
      </c>
      <c r="AH149" s="102">
        <f>IF(D149=DP!$L$22,(DP!$O$22),IF(D149=DP!$L$23,(DP!$O$23),IF(D149=DP!$L$24,(DP!$O$24),IF(D149=DP!$L$25,(DP!$O$25),((0*1))))))</f>
        <v>0</v>
      </c>
      <c r="AI149" s="93">
        <f t="shared" si="153"/>
        <v>0</v>
      </c>
      <c r="AJ149" s="93">
        <f>IF(D149=DP!$L$15,F149*(1+DP!$N$15),IF(D149=DP!$L$16,F149*(1+DP!$N$16),IF(D149=DP!$L$17,F149*(1+DP!$N$17),IF(D149=DP!$L$18,F149*(1+DP!$N$18),0*1))))</f>
        <v>0</v>
      </c>
      <c r="AK149" s="102">
        <f>IF(D149=DP!$L$22,(DP!$P$22),IF(D149=DP!$L$23,(DP!$P$23),IF(D149=DP!$L$24,(DP!$P$24),IF(D149=DP!$L$25,(DP!$P$25),((0*1))))))</f>
        <v>0</v>
      </c>
      <c r="AL149" s="93">
        <f t="shared" si="154"/>
        <v>0</v>
      </c>
      <c r="AM149" s="100"/>
      <c r="AN149" s="149">
        <f t="shared" si="138"/>
        <v>0</v>
      </c>
      <c r="AO149" s="149">
        <f>DP!$N$35*H149</f>
        <v>0</v>
      </c>
      <c r="AP149" s="149">
        <f>DP!$O$35*H149</f>
        <v>0</v>
      </c>
      <c r="AQ149" s="149">
        <f>DP!$P$35*H149</f>
        <v>0</v>
      </c>
      <c r="AV149" s="489" t="str">
        <f>DP!AV23</f>
        <v>PIÑA TROZO 567</v>
      </c>
      <c r="AW149" s="489">
        <f>DP!AW23</f>
        <v>567</v>
      </c>
      <c r="AX149" s="489">
        <f>DP!AX23</f>
        <v>340</v>
      </c>
      <c r="AY149" s="412">
        <f t="shared" si="155"/>
        <v>108000</v>
      </c>
      <c r="AZ149" s="470">
        <f>DP!BC23</f>
        <v>0.2</v>
      </c>
      <c r="BA149" s="98">
        <f>$AW$139*AZ149</f>
        <v>36720</v>
      </c>
      <c r="BB149" s="97"/>
      <c r="BC149" s="102">
        <f t="shared" si="139"/>
        <v>0.9604116683138394</v>
      </c>
      <c r="BD149" s="98">
        <f t="shared" si="140"/>
        <v>0.83461166831383948</v>
      </c>
      <c r="BE149" s="93">
        <f t="shared" si="141"/>
        <v>103724.46017789465</v>
      </c>
      <c r="BF149" s="99">
        <f t="shared" si="142"/>
        <v>90138.060177894658</v>
      </c>
      <c r="BG149" s="100"/>
      <c r="BH149" s="102">
        <f>IFERROR((BA149*100%)/DP!$AP$29,(0*1))</f>
        <v>81600</v>
      </c>
      <c r="BI149" s="102">
        <f>IF(BH149&gt;0,(DP!$AP$31),0*1)</f>
        <v>0.45</v>
      </c>
      <c r="BJ149" s="435">
        <f t="shared" si="157"/>
        <v>36720</v>
      </c>
      <c r="BK149" s="475">
        <f>BA149*DP!$AU$44</f>
        <v>91.8</v>
      </c>
      <c r="BL149" s="475">
        <f>IF(BA149&gt;0,DP!$AV$44,0*1)</f>
        <v>0.95</v>
      </c>
      <c r="BM149" s="475">
        <f t="shared" si="158"/>
        <v>87.21</v>
      </c>
      <c r="BN149" s="102">
        <f>BA149*DP!$AU$45</f>
        <v>6095.52</v>
      </c>
      <c r="BO149" s="102">
        <f>IF(BA149&gt;0,DP!$AV$45,0*1)</f>
        <v>0.76919999999999999</v>
      </c>
      <c r="BP149" s="475">
        <f t="shared" si="159"/>
        <v>4688.673984</v>
      </c>
      <c r="BQ149" s="100"/>
      <c r="BR149" s="100"/>
      <c r="BS149" s="100"/>
      <c r="BT149" s="93">
        <f>IF(AW149=DP!$AN$15,AY149*(1+DP!$AP$15),IF(AW149=DP!$AN$16,AY149*(1+DP!$AP$16),IF(AW149=DP!$AN$17,AY149*(1+DP!$AP$17),IF(AW149=DP!$AN$18,AY149*(1+DP!$AP$18),0*1))))</f>
        <v>108539.99999999999</v>
      </c>
      <c r="BU149" s="102">
        <f>IF(AW149=DP!$AN$22,(DP!$AO$22),IF(AW149=DP!$AN$23,(DP!$AO$23),IF(AW149=DP!$AN$24,(DP!$AO$24),IF(AW149=DP!$AN$25,(DP!$AO$25),((0*1))))))</f>
        <v>0.23</v>
      </c>
      <c r="BV149" s="93">
        <f t="shared" si="160"/>
        <v>24964.199999999997</v>
      </c>
      <c r="BW149" s="93">
        <f>IF(AW149=DP!$AN$15,AY149*(1+DP!$AP$15),IF(AW149=DP!$AN$16,AY149*(1+DP!$AP$16),IF(AW149=DP!$AN$17,AY149*(1+DP!$AP$17),IF(AW149=DP!$AN$18,AY149*(1+DP!$AP$18),0*1))))</f>
        <v>108539.99999999999</v>
      </c>
      <c r="BX149" s="102">
        <f>IF(AW149=DP!$AN$22,(DP!$AP$22),IF(AW149=DP!$AN$23,(DP!$AP$23),IF(AW149=DP!$AN$24,(DP!$AP$24),IF(AW149=DP!$AN$25,(DP!$AP$25),((0*1))))))</f>
        <v>5.5E-2</v>
      </c>
      <c r="BY149" s="93">
        <f t="shared" si="161"/>
        <v>5969.6999999999989</v>
      </c>
      <c r="BZ149" s="93">
        <f>IF(AW149=DP!$AN$15,(AY149/DP!$AM$15)*(1+DP!$AP$15),IF(AW149=DP!$AN$16,(AY149/DP!$AM$16)*(1+DP!$AP$16),IF(AW149=DP!$AN$17,(AY149/DP!$AM$17)*(1+DP!$AP$17),IF(AW149=DP!$AN$18,(AY149/DP!$AM$18)*(1+DP!$AP$18),0*1))))</f>
        <v>4522.4999999999991</v>
      </c>
      <c r="CA149" s="102">
        <f>IF(AW149=DP!$AN$22,(DP!$AQ$22),IF(AW149=DP!$AN$23,(DP!$AQ$23),IF(AW149=DP!$AN$24,(DP!$AQ$24),IF(AW149=DP!$AN$25,(DP!$AQ$25),((0*1))))))</f>
        <v>0.51199999999999923</v>
      </c>
      <c r="CB149" s="93">
        <f t="shared" si="162"/>
        <v>2315.5199999999959</v>
      </c>
      <c r="CC149" s="93">
        <f>IF(AW149=DP!$AN$15,AY149*(1+DP!$AP$15),IF(AW149=DP!$AN$16,AY149*(1+DP!$AP$16),IF(AW149=DP!$AN$17,AY149*(1+DP!$AP$17),IF(AW149=DP!$AN$18,AY149*(1+DP!$AP$18),0*1))))</f>
        <v>108539.99999999999</v>
      </c>
      <c r="CD149" s="102">
        <f>IF(AW149=DP!$AN$22,(DP!$AR$22),IF(AW149=DP!$AN$23,(DP!$AR$23),IF(AW149=DP!$AN$24,(DP!$AR$24),IF(AW149=DP!$AN$25,(DP!$AR$25),((0*1))))))</f>
        <v>3.3045977011494254E-2</v>
      </c>
      <c r="CE149" s="93">
        <f t="shared" si="163"/>
        <v>3586.8103448275861</v>
      </c>
      <c r="CF149" s="100"/>
      <c r="CG149" s="149">
        <f t="shared" si="143"/>
        <v>11805.945849067097</v>
      </c>
      <c r="CH149" s="149">
        <f>DP!$N$35*BA149</f>
        <v>527.58620689655174</v>
      </c>
      <c r="CI149" s="149">
        <f>DP!$O$35*BA149</f>
        <v>2004.8275862068967</v>
      </c>
      <c r="CJ149" s="149">
        <f>DP!$P$35*BA149</f>
        <v>13586.4</v>
      </c>
    </row>
    <row r="150" spans="2:88" x14ac:dyDescent="0.35">
      <c r="B150" s="480">
        <f>DP!S24</f>
        <v>0</v>
      </c>
      <c r="C150" s="480" t="str">
        <f>DP!T24</f>
        <v>PALMITO TROZO  A-10</v>
      </c>
      <c r="D150" s="480">
        <f>DP!U24</f>
        <v>2920</v>
      </c>
      <c r="E150" s="480">
        <f>DP!V24</f>
        <v>1825</v>
      </c>
      <c r="F150" s="412">
        <f t="shared" si="144"/>
        <v>0</v>
      </c>
      <c r="G150" s="470">
        <f>DP!AA24</f>
        <v>0</v>
      </c>
      <c r="H150" s="98">
        <f t="shared" si="145"/>
        <v>0</v>
      </c>
      <c r="I150" s="97"/>
      <c r="J150" s="102">
        <f t="shared" si="134"/>
        <v>0</v>
      </c>
      <c r="K150" s="98">
        <f t="shared" si="135"/>
        <v>0</v>
      </c>
      <c r="L150" s="93">
        <f t="shared" si="136"/>
        <v>0</v>
      </c>
      <c r="M150" s="99">
        <f t="shared" si="137"/>
        <v>0</v>
      </c>
      <c r="N150" s="100"/>
      <c r="O150" s="102">
        <f>($E150/DP!$N$29)*F150</f>
        <v>0</v>
      </c>
      <c r="P150" s="102">
        <f>IF(O150&gt;0,(DP!$N$31),0*1)</f>
        <v>0</v>
      </c>
      <c r="Q150" s="102">
        <f t="shared" si="146"/>
        <v>0</v>
      </c>
      <c r="R150" s="102">
        <f t="shared" si="147"/>
        <v>0</v>
      </c>
      <c r="S150" s="418">
        <f t="shared" si="148"/>
        <v>0</v>
      </c>
      <c r="T150" s="475">
        <f>H150*DP!$S$44</f>
        <v>0</v>
      </c>
      <c r="U150" s="475">
        <f>IF(H150&gt;0,DP!$T$44,0*1)</f>
        <v>0</v>
      </c>
      <c r="V150" s="475">
        <f t="shared" si="149"/>
        <v>0</v>
      </c>
      <c r="W150" s="475">
        <f>H150*DP!$S$45</f>
        <v>0</v>
      </c>
      <c r="X150" s="475">
        <f>IF(H150&gt;0,DP!$T$45,0*1)</f>
        <v>0</v>
      </c>
      <c r="Y150" s="475">
        <f t="shared" si="150"/>
        <v>0</v>
      </c>
      <c r="Z150" s="100"/>
      <c r="AA150" s="93">
        <f>IF(D150=DP!$L$15,F150*(1+DP!$N$15),IF(D150=DP!$L$16,F150*(1+DP!$N$16),IF(D150=DP!$L$17,F150*(1+DP!$N$17),IF(D150=DP!$L$18,F150*(1+DP!$N$18),0*1))))</f>
        <v>0</v>
      </c>
      <c r="AB150" s="102">
        <f>IF(D150=DP!$L$22,(DP!$M$22),IF(D150=DP!$L$23,(DP!$M$23),IF(D150=DP!$L$24,(DP!$M$24),IF(D150=DP!$L$25,(DP!$M$25),((0*1))))))</f>
        <v>0</v>
      </c>
      <c r="AC150" s="93">
        <f t="shared" si="151"/>
        <v>0</v>
      </c>
      <c r="AD150" s="93">
        <f>IF(D150=DP!$L$15,F150*(1+DP!$N$15),IF(D150=DP!$L$16,F150*(1+DP!$N$16),IF(D150=DP!$L$17,F150*(1+DP!$N$17),IF(D150=DP!$L$18,F150*(1+DP!$N$18),0*1))))</f>
        <v>0</v>
      </c>
      <c r="AE150" s="102">
        <f>IF(D150=DP!$L$22,(DP!$N$22),IF(D150=DP!$L$23,(DP!$N$23),IF(D150=DP!$L$24,(DP!$N$24),IF(D150=DP!$L$25,(DP!$N$25),((0*1))))))</f>
        <v>0</v>
      </c>
      <c r="AF150" s="93">
        <f t="shared" si="152"/>
        <v>0</v>
      </c>
      <c r="AG150" s="93">
        <f>IF(D150=DP!$L$15,(F150/DP!$K$15)*(1+DP!$N$15),IF(D150=DP!$L$16,(F150/DP!$K$16)*(1+DP!$N$16),IF(D150=DP!$L$17,(F150/DP!$K$17)*(1+DP!$N$17),IF(D150=DP!$L$18,(F150/DP!$K$18)*(1+DP!$N$18),0*1))))</f>
        <v>0</v>
      </c>
      <c r="AH150" s="102">
        <f>IF(D150=DP!$L$22,(DP!$O$22),IF(D150=DP!$L$23,(DP!$O$23),IF(D150=DP!$L$24,(DP!$O$24),IF(D150=DP!$L$25,(DP!$O$25),((0*1))))))</f>
        <v>0</v>
      </c>
      <c r="AI150" s="93">
        <f t="shared" si="153"/>
        <v>0</v>
      </c>
      <c r="AJ150" s="93">
        <f>IF(D150=DP!$L$15,F150*(1+DP!$N$15),IF(D150=DP!$L$16,F150*(1+DP!$N$16),IF(D150=DP!$L$17,F150*(1+DP!$N$17),IF(D150=DP!$L$18,F150*(1+DP!$N$18),0*1))))</f>
        <v>0</v>
      </c>
      <c r="AK150" s="102">
        <f>IF(D150=DP!$L$22,(DP!$P$22),IF(D150=DP!$L$23,(DP!$P$23),IF(D150=DP!$L$24,(DP!$P$24),IF(D150=DP!$L$25,(DP!$P$25),((0*1))))))</f>
        <v>0</v>
      </c>
      <c r="AL150" s="93">
        <f t="shared" si="154"/>
        <v>0</v>
      </c>
      <c r="AM150" s="100"/>
      <c r="AN150" s="149">
        <f t="shared" si="138"/>
        <v>0</v>
      </c>
      <c r="AO150" s="149">
        <f>DP!$N$35*H150</f>
        <v>0</v>
      </c>
      <c r="AP150" s="149">
        <f>DP!$O$35*H150</f>
        <v>0</v>
      </c>
      <c r="AQ150" s="149">
        <f>DP!$P$35*H150</f>
        <v>0</v>
      </c>
      <c r="AV150" s="489" t="str">
        <f>DP!AV24</f>
        <v>PIÑA RODAJA 822</v>
      </c>
      <c r="AW150" s="489">
        <f>DP!AW24</f>
        <v>822</v>
      </c>
      <c r="AX150" s="489">
        <f>DP!AX24</f>
        <v>500</v>
      </c>
      <c r="AY150" s="412">
        <f t="shared" si="155"/>
        <v>73440</v>
      </c>
      <c r="AZ150" s="470">
        <f>DP!BC24</f>
        <v>0.2</v>
      </c>
      <c r="BA150" s="98">
        <f t="shared" si="156"/>
        <v>36720</v>
      </c>
      <c r="BB150" s="97"/>
      <c r="BC150" s="102">
        <f t="shared" si="139"/>
        <v>1.2984286501572693</v>
      </c>
      <c r="BD150" s="98">
        <f t="shared" si="140"/>
        <v>1.1134286501572692</v>
      </c>
      <c r="BE150" s="93">
        <f t="shared" si="141"/>
        <v>95356.600067549851</v>
      </c>
      <c r="BF150" s="99">
        <f t="shared" si="142"/>
        <v>81770.200067549857</v>
      </c>
      <c r="BG150" s="100"/>
      <c r="BH150" s="102">
        <f>IFERROR((BA150*100%)/DP!$AP$29,(0*1))</f>
        <v>81600</v>
      </c>
      <c r="BI150" s="102">
        <f>IF(BH150&gt;0,(DP!$AP$31),0*1)</f>
        <v>0.45</v>
      </c>
      <c r="BJ150" s="435">
        <f t="shared" si="157"/>
        <v>36720</v>
      </c>
      <c r="BK150" s="475">
        <f>BA150*DP!$AU$44</f>
        <v>91.8</v>
      </c>
      <c r="BL150" s="475">
        <f>IF(BA150&gt;0,DP!$AV$44,0*1)</f>
        <v>0.95</v>
      </c>
      <c r="BM150" s="475">
        <f t="shared" si="158"/>
        <v>87.21</v>
      </c>
      <c r="BN150" s="102">
        <f>BA150*DP!$AU$45</f>
        <v>6095.52</v>
      </c>
      <c r="BO150" s="102">
        <f>IF(BA150&gt;0,DP!$AV$45,0*1)</f>
        <v>0.76919999999999999</v>
      </c>
      <c r="BP150" s="475">
        <f t="shared" si="159"/>
        <v>4688.673984</v>
      </c>
      <c r="BQ150" s="100"/>
      <c r="BR150" s="100"/>
      <c r="BS150" s="100"/>
      <c r="BT150" s="93">
        <f>IF(AW150=DP!$AN$15,AY150*(1+DP!$AP$15),IF(AW150=DP!$AN$16,AY150*(1+DP!$AP$16),IF(AW150=DP!$AN$17,AY150*(1+DP!$AP$17),IF(AW150=DP!$AN$18,AY150*(1+DP!$AP$18),0*1))))</f>
        <v>73807.199999999997</v>
      </c>
      <c r="BU150" s="102">
        <f>IF(AW150=DP!$AN$22,(DP!$AO$22),IF(AW150=DP!$AN$23,(DP!$AO$23),IF(AW150=DP!$AN$24,(DP!$AO$24),IF(AW150=DP!$AN$25,(DP!$AO$25),((0*1))))))</f>
        <v>0.24</v>
      </c>
      <c r="BV150" s="93">
        <f t="shared" si="160"/>
        <v>17713.727999999999</v>
      </c>
      <c r="BW150" s="93">
        <f>IF(AW150=DP!$AN$15,AY150*(1+DP!$AP$15),IF(AW150=DP!$AN$16,AY150*(1+DP!$AP$16),IF(AW150=DP!$AN$17,AY150*(1+DP!$AP$17),IF(AW150=DP!$AN$18,AY150*(1+DP!$AP$18),0*1))))</f>
        <v>73807.199999999997</v>
      </c>
      <c r="BX150" s="102">
        <f>IF(AW150=DP!$AN$22,(DP!$AP$22),IF(AW150=DP!$AN$23,(DP!$AP$23),IF(AW150=DP!$AN$24,(DP!$AP$24),IF(AW150=DP!$AN$25,(DP!$AP$25),((0*1))))))</f>
        <v>7.0000000000000007E-2</v>
      </c>
      <c r="BY150" s="93">
        <f t="shared" si="161"/>
        <v>5166.5039999999999</v>
      </c>
      <c r="BZ150" s="93">
        <f>IF(AW150=DP!$AN$15,(AY150/DP!$AM$15)*(1+DP!$AP$15),IF(AW150=DP!$AN$16,(AY150/DP!$AM$16)*(1+DP!$AP$16),IF(AW150=DP!$AN$17,(AY150/DP!$AM$17)*(1+DP!$AP$17),IF(AW150=DP!$AN$18,(AY150/DP!$AM$18)*(1+DP!$AP$18),0*1))))</f>
        <v>6150.5999999999995</v>
      </c>
      <c r="CA150" s="102">
        <f>IF(AW150=DP!$AN$22,(DP!$AQ$22),IF(AW150=DP!$AN$23,(DP!$AQ$23),IF(AW150=DP!$AN$24,(DP!$AQ$24),IF(AW150=DP!$AN$25,(DP!$AQ$25),((0*1))))))</f>
        <v>0.51200000000000045</v>
      </c>
      <c r="CB150" s="93">
        <f t="shared" si="162"/>
        <v>3149.1072000000026</v>
      </c>
      <c r="CC150" s="93">
        <f>IF(AW150=DP!$AN$15,AY150*(1+DP!$AP$15),IF(AW150=DP!$AN$16,AY150*(1+DP!$AP$16),IF(AW150=DP!$AN$17,AY150*(1+DP!$AP$17),IF(AW150=DP!$AN$18,AY150*(1+DP!$AP$18),0*1))))</f>
        <v>73807.199999999997</v>
      </c>
      <c r="CD150" s="102">
        <f>IF(AW150=DP!$AN$22,(DP!$AR$22),IF(AW150=DP!$AN$23,(DP!$AR$23),IF(AW150=DP!$AN$24,(DP!$AR$24),IF(AW150=DP!$AN$25,(DP!$AR$25),((0*1))))))</f>
        <v>3.3045977011494254E-2</v>
      </c>
      <c r="CE150" s="93">
        <f t="shared" si="163"/>
        <v>2439.0310344827585</v>
      </c>
      <c r="CF150" s="100"/>
      <c r="CG150" s="149">
        <f t="shared" si="143"/>
        <v>11805.945849067097</v>
      </c>
      <c r="CH150" s="149">
        <f>DP!$N$35*BA150</f>
        <v>527.58620689655174</v>
      </c>
      <c r="CI150" s="149">
        <f>DP!$O$35*BA150</f>
        <v>2004.8275862068967</v>
      </c>
      <c r="CJ150" s="149">
        <f>DP!$P$35*BA150</f>
        <v>13586.4</v>
      </c>
    </row>
    <row r="151" spans="2:88" x14ac:dyDescent="0.35">
      <c r="B151" s="480">
        <f>DP!S25</f>
        <v>0</v>
      </c>
      <c r="C151" s="480" t="str">
        <f>DP!T25</f>
        <v>PALMITO RODAJA  A-10</v>
      </c>
      <c r="D151" s="480">
        <f>DP!U25</f>
        <v>2920</v>
      </c>
      <c r="E151" s="480">
        <f>DP!V25</f>
        <v>1825</v>
      </c>
      <c r="F151" s="412">
        <f t="shared" si="144"/>
        <v>0</v>
      </c>
      <c r="G151" s="470">
        <f>DP!AA25</f>
        <v>0</v>
      </c>
      <c r="H151" s="98">
        <f t="shared" si="145"/>
        <v>0</v>
      </c>
      <c r="I151" s="97"/>
      <c r="J151" s="102">
        <f t="shared" si="134"/>
        <v>0</v>
      </c>
      <c r="K151" s="98">
        <f t="shared" si="135"/>
        <v>0</v>
      </c>
      <c r="L151" s="93">
        <f t="shared" si="136"/>
        <v>0</v>
      </c>
      <c r="M151" s="99">
        <f t="shared" si="137"/>
        <v>0</v>
      </c>
      <c r="N151" s="100"/>
      <c r="O151" s="102">
        <f>($E151/DP!$N$29)*F151</f>
        <v>0</v>
      </c>
      <c r="P151" s="102">
        <f>IF(O151&gt;0,(DP!$N$31),0*1)</f>
        <v>0</v>
      </c>
      <c r="Q151" s="102">
        <f t="shared" si="146"/>
        <v>0</v>
      </c>
      <c r="R151" s="102">
        <f t="shared" si="147"/>
        <v>0</v>
      </c>
      <c r="S151" s="418">
        <f t="shared" si="148"/>
        <v>0</v>
      </c>
      <c r="T151" s="475">
        <f>H151*DP!$S$44</f>
        <v>0</v>
      </c>
      <c r="U151" s="475">
        <f>IF(H151&gt;0,DP!$T$44,0*1)</f>
        <v>0</v>
      </c>
      <c r="V151" s="475">
        <f t="shared" si="149"/>
        <v>0</v>
      </c>
      <c r="W151" s="475">
        <f>H151*DP!$S$45</f>
        <v>0</v>
      </c>
      <c r="X151" s="475">
        <f>IF(H151&gt;0,DP!$T$45,0*1)</f>
        <v>0</v>
      </c>
      <c r="Y151" s="475">
        <f t="shared" si="150"/>
        <v>0</v>
      </c>
      <c r="Z151" s="100"/>
      <c r="AA151" s="93">
        <f>IF(D151=DP!$L$15,F151*(1+DP!$N$15),IF(D151=DP!$L$16,F151*(1+DP!$N$16),IF(D151=DP!$L$17,F151*(1+DP!$N$17),IF(D151=DP!$L$18,F151*(1+DP!$N$18),0*1))))</f>
        <v>0</v>
      </c>
      <c r="AB151" s="102">
        <f>IF(D151=DP!$L$22,(DP!$M$22),IF(D151=DP!$L$23,(DP!$M$23),IF(D151=DP!$L$24,(DP!$M$24),IF(D151=DP!$L$25,(DP!$M$25),((0*1))))))</f>
        <v>0</v>
      </c>
      <c r="AC151" s="93">
        <f t="shared" si="151"/>
        <v>0</v>
      </c>
      <c r="AD151" s="93">
        <f>IF(D151=DP!$L$15,F151*(1+DP!$N$15),IF(D151=DP!$L$16,F151*(1+DP!$N$16),IF(D151=DP!$L$17,F151*(1+DP!$N$17),IF(D151=DP!$L$18,F151*(1+DP!$N$18),0*1))))</f>
        <v>0</v>
      </c>
      <c r="AE151" s="102">
        <f>IF(D151=DP!$L$22,(DP!$N$22),IF(D151=DP!$L$23,(DP!$N$23),IF(D151=DP!$L$24,(DP!$N$24),IF(D151=DP!$L$25,(DP!$N$25),((0*1))))))</f>
        <v>0</v>
      </c>
      <c r="AF151" s="93">
        <f t="shared" si="152"/>
        <v>0</v>
      </c>
      <c r="AG151" s="93">
        <f>IF(D151=DP!$L$15,(F151/DP!$K$15)*(1+DP!$N$15),IF(D151=DP!$L$16,(F151/DP!$K$16)*(1+DP!$N$16),IF(D151=DP!$L$17,(F151/DP!$K$17)*(1+DP!$N$17),IF(D151=DP!$L$18,(F151/DP!$K$18)*(1+DP!$N$18),0*1))))</f>
        <v>0</v>
      </c>
      <c r="AH151" s="102">
        <f>IF(D151=DP!$L$22,(DP!$O$22),IF(D151=DP!$L$23,(DP!$O$23),IF(D151=DP!$L$24,(DP!$O$24),IF(D151=DP!$L$25,(DP!$O$25),((0*1))))))</f>
        <v>0</v>
      </c>
      <c r="AI151" s="93">
        <f t="shared" si="153"/>
        <v>0</v>
      </c>
      <c r="AJ151" s="93">
        <f>IF(D151=DP!$L$15,F151*(1+DP!$N$15),IF(D151=DP!$L$16,F151*(1+DP!$N$16),IF(D151=DP!$L$17,F151*(1+DP!$N$17),IF(D151=DP!$L$18,F151*(1+DP!$N$18),0*1))))</f>
        <v>0</v>
      </c>
      <c r="AK151" s="102">
        <f>IF(D151=DP!$L$22,(DP!$P$22),IF(D151=DP!$L$23,(DP!$P$23),IF(D151=DP!$L$24,(DP!$P$24),IF(D151=DP!$L$25,(DP!$P$25),((0*1))))))</f>
        <v>0</v>
      </c>
      <c r="AL151" s="93">
        <f t="shared" si="154"/>
        <v>0</v>
      </c>
      <c r="AM151" s="100"/>
      <c r="AN151" s="149">
        <f t="shared" si="138"/>
        <v>0</v>
      </c>
      <c r="AO151" s="149">
        <f>DP!$N$35*H151</f>
        <v>0</v>
      </c>
      <c r="AP151" s="149">
        <f>DP!$O$35*H151</f>
        <v>0</v>
      </c>
      <c r="AQ151" s="149">
        <f>DP!$P$35*H151</f>
        <v>0</v>
      </c>
      <c r="AV151" s="489" t="str">
        <f>DP!AV25</f>
        <v>PIÑA TROZO 822</v>
      </c>
      <c r="AW151" s="489">
        <f>DP!AW25</f>
        <v>822</v>
      </c>
      <c r="AX151" s="489">
        <f>DP!AX25</f>
        <v>500</v>
      </c>
      <c r="AY151" s="412">
        <f t="shared" si="155"/>
        <v>36720</v>
      </c>
      <c r="AZ151" s="470">
        <f>DP!BC25</f>
        <v>0.1</v>
      </c>
      <c r="BA151" s="98">
        <f t="shared" si="156"/>
        <v>18360</v>
      </c>
      <c r="BB151" s="97"/>
      <c r="BC151" s="102">
        <f t="shared" si="139"/>
        <v>1.2984286501572693</v>
      </c>
      <c r="BD151" s="98">
        <f t="shared" si="140"/>
        <v>1.1134286501572692</v>
      </c>
      <c r="BE151" s="93">
        <f t="shared" si="141"/>
        <v>47678.300033774925</v>
      </c>
      <c r="BF151" s="99">
        <f t="shared" si="142"/>
        <v>40885.100033774928</v>
      </c>
      <c r="BG151" s="100"/>
      <c r="BH151" s="102">
        <f>IFERROR((BA151*100%)/DP!$AP$29,(0*1))</f>
        <v>40800</v>
      </c>
      <c r="BI151" s="102">
        <f>IF(BH151&gt;0,(DP!$AP$31),0*1)</f>
        <v>0.45</v>
      </c>
      <c r="BJ151" s="435">
        <f t="shared" si="157"/>
        <v>18360</v>
      </c>
      <c r="BK151" s="475">
        <f>BA151*DP!$AU$44</f>
        <v>45.9</v>
      </c>
      <c r="BL151" s="475">
        <f>IF(BA151&gt;0,DP!$AV$44,0*1)</f>
        <v>0.95</v>
      </c>
      <c r="BM151" s="475">
        <f t="shared" si="158"/>
        <v>43.604999999999997</v>
      </c>
      <c r="BN151" s="102">
        <f>BA151*DP!$AU$45</f>
        <v>3047.76</v>
      </c>
      <c r="BO151" s="102">
        <f>IF(BA151&gt;0,DP!$AV$45,0*1)</f>
        <v>0.76919999999999999</v>
      </c>
      <c r="BP151" s="475">
        <f t="shared" si="159"/>
        <v>2344.336992</v>
      </c>
      <c r="BQ151" s="100"/>
      <c r="BR151" s="100"/>
      <c r="BS151" s="100"/>
      <c r="BT151" s="93">
        <f>IF(AW151=DP!$AN$15,AY151*(1+DP!$AP$15),IF(AW151=DP!$AN$16,AY151*(1+DP!$AP$16),IF(AW151=DP!$AN$17,AY151*(1+DP!$AP$17),IF(AW151=DP!$AN$18,AY151*(1+DP!$AP$18),0*1))))</f>
        <v>36903.599999999999</v>
      </c>
      <c r="BU151" s="102">
        <f>IF(AW151=DP!$AN$22,(DP!$AO$22),IF(AW151=DP!$AN$23,(DP!$AO$23),IF(AW151=DP!$AN$24,(DP!$AO$24),IF(AW151=DP!$AN$25,(DP!$AO$25),((0*1))))))</f>
        <v>0.24</v>
      </c>
      <c r="BV151" s="93">
        <f t="shared" si="160"/>
        <v>8856.8639999999996</v>
      </c>
      <c r="BW151" s="93">
        <f>IF(AW151=DP!$AN$15,AY151*(1+DP!$AP$15),IF(AW151=DP!$AN$16,AY151*(1+DP!$AP$16),IF(AW151=DP!$AN$17,AY151*(1+DP!$AP$17),IF(AW151=DP!$AN$18,AY151*(1+DP!$AP$18),0*1))))</f>
        <v>36903.599999999999</v>
      </c>
      <c r="BX151" s="102">
        <f>IF(AW151=DP!$AN$22,(DP!$AP$22),IF(AW151=DP!$AN$23,(DP!$AP$23),IF(AW151=DP!$AN$24,(DP!$AP$24),IF(AW151=DP!$AN$25,(DP!$AP$25),((0*1))))))</f>
        <v>7.0000000000000007E-2</v>
      </c>
      <c r="BY151" s="93">
        <f t="shared" si="161"/>
        <v>2583.252</v>
      </c>
      <c r="BZ151" s="93">
        <f>IF(AW151=DP!$AN$15,(AY151/DP!$AM$15)*(1+DP!$AP$15),IF(AW151=DP!$AN$16,(AY151/DP!$AM$16)*(1+DP!$AP$16),IF(AW151=DP!$AN$17,(AY151/DP!$AM$17)*(1+DP!$AP$17),IF(AW151=DP!$AN$18,(AY151/DP!$AM$18)*(1+DP!$AP$18),0*1))))</f>
        <v>3075.2999999999997</v>
      </c>
      <c r="CA151" s="102">
        <f>IF(AW151=DP!$AN$22,(DP!$AQ$22),IF(AW151=DP!$AN$23,(DP!$AQ$23),IF(AW151=DP!$AN$24,(DP!$AQ$24),IF(AW151=DP!$AN$25,(DP!$AQ$25),((0*1))))))</f>
        <v>0.51200000000000045</v>
      </c>
      <c r="CB151" s="93">
        <f t="shared" si="162"/>
        <v>1574.5536000000013</v>
      </c>
      <c r="CC151" s="93">
        <f>IF(AW151=DP!$AN$15,AY151*(1+DP!$AP$15),IF(AW151=DP!$AN$16,AY151*(1+DP!$AP$16),IF(AW151=DP!$AN$17,AY151*(1+DP!$AP$17),IF(AW151=DP!$AN$18,AY151*(1+DP!$AP$18),0*1))))</f>
        <v>36903.599999999999</v>
      </c>
      <c r="CD151" s="102">
        <f>IF(AW151=DP!$AN$22,(DP!$AR$22),IF(AW151=DP!$AN$23,(DP!$AR$23),IF(AW151=DP!$AN$24,(DP!$AR$24),IF(AW151=DP!$AN$25,(DP!$AR$25),((0*1))))))</f>
        <v>3.3045977011494254E-2</v>
      </c>
      <c r="CE151" s="93">
        <f t="shared" si="163"/>
        <v>1219.5155172413793</v>
      </c>
      <c r="CF151" s="100"/>
      <c r="CG151" s="149">
        <f t="shared" si="143"/>
        <v>5902.9729245335484</v>
      </c>
      <c r="CH151" s="149">
        <f>DP!$N$35*BA151</f>
        <v>263.79310344827587</v>
      </c>
      <c r="CI151" s="149">
        <f>DP!$O$35*BA151</f>
        <v>1002.4137931034484</v>
      </c>
      <c r="CJ151" s="149">
        <f>DP!$P$35*BA151</f>
        <v>6793.2</v>
      </c>
    </row>
    <row r="152" spans="2:88" x14ac:dyDescent="0.35">
      <c r="B152" s="480">
        <f>DP!S26</f>
        <v>0</v>
      </c>
      <c r="C152" s="480">
        <f>DP!T26</f>
        <v>0</v>
      </c>
      <c r="D152" s="480">
        <f>DP!U26</f>
        <v>0</v>
      </c>
      <c r="E152" s="480">
        <f>DP!V26</f>
        <v>0</v>
      </c>
      <c r="F152" s="412">
        <f t="shared" si="144"/>
        <v>0</v>
      </c>
      <c r="G152" s="470">
        <f>DP!AA26</f>
        <v>0</v>
      </c>
      <c r="H152" s="98">
        <f t="shared" si="145"/>
        <v>0</v>
      </c>
      <c r="I152" s="97"/>
      <c r="J152" s="102">
        <f t="shared" si="134"/>
        <v>0</v>
      </c>
      <c r="K152" s="98">
        <f t="shared" si="135"/>
        <v>0</v>
      </c>
      <c r="L152" s="93">
        <f t="shared" si="136"/>
        <v>0</v>
      </c>
      <c r="M152" s="99">
        <f t="shared" si="137"/>
        <v>0</v>
      </c>
      <c r="N152" s="100"/>
      <c r="O152" s="102">
        <f>($E152/DP!$N$29)*F152</f>
        <v>0</v>
      </c>
      <c r="P152" s="102">
        <f>IF(O152&gt;0,(DP!$N$31),0*1)</f>
        <v>0</v>
      </c>
      <c r="Q152" s="102">
        <f t="shared" si="146"/>
        <v>0</v>
      </c>
      <c r="R152" s="102">
        <f t="shared" si="147"/>
        <v>0</v>
      </c>
      <c r="S152" s="418">
        <f t="shared" si="148"/>
        <v>0</v>
      </c>
      <c r="T152" s="475">
        <f>H152*DP!$S$44</f>
        <v>0</v>
      </c>
      <c r="U152" s="475">
        <f>IF(H152&gt;0,DP!$T$44,0*1)</f>
        <v>0</v>
      </c>
      <c r="V152" s="475">
        <f t="shared" si="149"/>
        <v>0</v>
      </c>
      <c r="W152" s="475">
        <f>H152*DP!$S$45</f>
        <v>0</v>
      </c>
      <c r="X152" s="475">
        <f>IF(H152&gt;0,DP!$T$45,0*1)</f>
        <v>0</v>
      </c>
      <c r="Y152" s="475">
        <f t="shared" si="150"/>
        <v>0</v>
      </c>
      <c r="Z152" s="100"/>
      <c r="AA152" s="93">
        <f>IF(D152=DP!$L$15,F152*(1+DP!$N$15),IF(D152=DP!$L$16,F152*(1+DP!$N$16),IF(D152=DP!$L$17,F152*(1+DP!$N$17),IF(D152=DP!$L$18,F152*(1+DP!$N$18),0*1))))</f>
        <v>0</v>
      </c>
      <c r="AB152" s="102">
        <f>IF(D152=DP!$L$22,(DP!$M$22),IF(D152=DP!$L$23,(DP!$M$23),IF(D152=DP!$L$24,(DP!$M$24),IF(D152=DP!$L$25,(DP!$M$25),((0*1))))))</f>
        <v>0</v>
      </c>
      <c r="AC152" s="93">
        <f t="shared" si="151"/>
        <v>0</v>
      </c>
      <c r="AD152" s="93">
        <f>IF(D152=DP!$L$15,F152*(1+DP!$N$15),IF(D152=DP!$L$16,F152*(1+DP!$N$16),IF(D152=DP!$L$17,F152*(1+DP!$N$17),IF(D152=DP!$L$18,F152*(1+DP!$N$18),0*1))))</f>
        <v>0</v>
      </c>
      <c r="AE152" s="102">
        <f>IF(D152=DP!$L$22,(DP!$N$22),IF(D152=DP!$L$23,(DP!$N$23),IF(D152=DP!$L$24,(DP!$N$24),IF(D152=DP!$L$25,(DP!$N$25),((0*1))))))</f>
        <v>0</v>
      </c>
      <c r="AF152" s="93">
        <f t="shared" si="152"/>
        <v>0</v>
      </c>
      <c r="AG152" s="93">
        <f>IF(D152=DP!$L$15,(F152/DP!$K$15)*(1+DP!$N$15),IF(D152=DP!$L$16,(F152/DP!$K$16)*(1+DP!$N$16),IF(D152=DP!$L$17,(F152/DP!$K$17)*(1+DP!$N$17),IF(D152=DP!$L$18,(F152/DP!$K$18)*(1+DP!$N$18),0*1))))</f>
        <v>0</v>
      </c>
      <c r="AH152" s="102">
        <f>IF(D152=DP!$L$22,(DP!$O$22),IF(D152=DP!$L$23,(DP!$O$23),IF(D152=DP!$L$24,(DP!$O$24),IF(D152=DP!$L$25,(DP!$O$25),((0*1))))))</f>
        <v>0</v>
      </c>
      <c r="AI152" s="93">
        <f t="shared" si="153"/>
        <v>0</v>
      </c>
      <c r="AJ152" s="93">
        <f>IF(D152=DP!$L$15,F152*(1+DP!$N$15),IF(D152=DP!$L$16,F152*(1+DP!$N$16),IF(D152=DP!$L$17,F152*(1+DP!$N$17),IF(D152=DP!$L$18,F152*(1+DP!$N$18),0*1))))</f>
        <v>0</v>
      </c>
      <c r="AK152" s="102">
        <f>IF(D152=DP!$L$22,(DP!$P$22),IF(D152=DP!$L$23,(DP!$P$23),IF(D152=DP!$L$24,(DP!$P$24),IF(D152=DP!$L$25,(DP!$P$25),((0*1))))))</f>
        <v>0</v>
      </c>
      <c r="AL152" s="93">
        <f t="shared" si="154"/>
        <v>0</v>
      </c>
      <c r="AM152" s="100"/>
      <c r="AN152" s="149">
        <f t="shared" si="138"/>
        <v>0</v>
      </c>
      <c r="AO152" s="149">
        <f>DP!$N$35*H152</f>
        <v>0</v>
      </c>
      <c r="AP152" s="149">
        <f>DP!$O$35*H152</f>
        <v>0</v>
      </c>
      <c r="AQ152" s="149">
        <f>DP!$P$35*H152</f>
        <v>0</v>
      </c>
      <c r="AV152" s="489">
        <f>DP!AV26</f>
        <v>0</v>
      </c>
      <c r="AW152" s="489">
        <f>DP!AW26</f>
        <v>0</v>
      </c>
      <c r="AX152" s="489">
        <f>DP!AX26</f>
        <v>0</v>
      </c>
      <c r="AY152" s="412">
        <f t="shared" si="155"/>
        <v>0</v>
      </c>
      <c r="AZ152" s="470">
        <f>DP!BC26</f>
        <v>0</v>
      </c>
      <c r="BA152" s="98">
        <f t="shared" si="156"/>
        <v>0</v>
      </c>
      <c r="BB152" s="97"/>
      <c r="BC152" s="102">
        <f t="shared" si="139"/>
        <v>0</v>
      </c>
      <c r="BD152" s="98">
        <f t="shared" si="140"/>
        <v>0</v>
      </c>
      <c r="BE152" s="93">
        <f t="shared" si="141"/>
        <v>0</v>
      </c>
      <c r="BF152" s="99">
        <f t="shared" si="142"/>
        <v>0</v>
      </c>
      <c r="BG152" s="100"/>
      <c r="BH152" s="102">
        <f>IFERROR((BA152*100%)/DP!$AP$29,(0*1))</f>
        <v>0</v>
      </c>
      <c r="BI152" s="102">
        <f>IF(BH152&gt;0,(DP!$AP$31),0*1)</f>
        <v>0</v>
      </c>
      <c r="BJ152" s="435">
        <f t="shared" si="157"/>
        <v>0</v>
      </c>
      <c r="BK152" s="475">
        <f>BA152*DP!$AU$44</f>
        <v>0</v>
      </c>
      <c r="BL152" s="475">
        <f>IF(BA152&gt;0,DP!$AV$44,0*1)</f>
        <v>0</v>
      </c>
      <c r="BM152" s="475">
        <f t="shared" si="158"/>
        <v>0</v>
      </c>
      <c r="BN152" s="102">
        <f>BA152*DP!$AU$45</f>
        <v>0</v>
      </c>
      <c r="BO152" s="102">
        <f>IF(BA152&gt;0,DP!$AV$45,0*1)</f>
        <v>0</v>
      </c>
      <c r="BP152" s="475">
        <f t="shared" si="159"/>
        <v>0</v>
      </c>
      <c r="BQ152" s="100"/>
      <c r="BR152" s="100"/>
      <c r="BS152" s="100"/>
      <c r="BT152" s="93">
        <f>IF(AW152=DP!$AN$15,AY152*(1+DP!$AP$15),IF(AW152=DP!$AN$16,AY152*(1+DP!$AP$16),IF(AW152=DP!$AN$17,AY152*(1+DP!$AP$17),IF(AW152=DP!$AN$18,AY152*(1+DP!$AP$18),0*1))))</f>
        <v>0</v>
      </c>
      <c r="BU152" s="102">
        <f>IF(AW152=DP!$AN$22,(DP!$AO$22),IF(AW152=DP!$AN$23,(DP!$AO$23),IF(AW152=DP!$AN$24,(DP!$AO$24),IF(AW152=DP!$AN$25,(DP!$AO$25),((0*1))))))</f>
        <v>0</v>
      </c>
      <c r="BV152" s="93">
        <f t="shared" si="160"/>
        <v>0</v>
      </c>
      <c r="BW152" s="93">
        <f>IF(AW152=DP!$AN$15,AY152*(1+DP!$AP$15),IF(AW152=DP!$AN$16,AY152*(1+DP!$AP$16),IF(AW152=DP!$AN$17,AY152*(1+DP!$AP$17),IF(AW152=DP!$AN$18,AY152*(1+DP!$AP$18),0*1))))</f>
        <v>0</v>
      </c>
      <c r="BX152" s="102">
        <f>IF(AW152=DP!$AN$22,(DP!$AP$22),IF(AW152=DP!$AN$23,(DP!$AP$23),IF(AW152=DP!$AN$24,(DP!$AP$24),IF(AW152=DP!$AN$25,(DP!$AP$25),((0*1))))))</f>
        <v>0</v>
      </c>
      <c r="BY152" s="93">
        <f t="shared" si="161"/>
        <v>0</v>
      </c>
      <c r="BZ152" s="93">
        <f>IF(AW152=DP!$AN$15,(AY152/DP!$AM$15)*(1+DP!$AP$15),IF(AW152=DP!$AN$16,(AY152/DP!$AM$16)*(1+DP!$AP$16),IF(AW152=DP!$AN$17,(AY152/DP!$AM$17)*(1+DP!$AP$17),IF(AW152=DP!$AN$18,(AY152/DP!$AM$18)*(1+DP!$AP$18),0*1))))</f>
        <v>0</v>
      </c>
      <c r="CA152" s="102">
        <f>IF(AW152=DP!$AN$22,(DP!$AQ$22),IF(AW152=DP!$AN$23,(DP!$AQ$23),IF(AW152=DP!$AN$24,(DP!$AQ$24),IF(AW152=DP!$AN$25,(DP!$AQ$25),((0*1))))))</f>
        <v>0</v>
      </c>
      <c r="CB152" s="93">
        <f t="shared" si="162"/>
        <v>0</v>
      </c>
      <c r="CC152" s="93">
        <f>IF(AW152=DP!$AN$15,AY152*(1+DP!$AP$15),IF(AW152=DP!$AN$16,AY152*(1+DP!$AP$16),IF(AW152=DP!$AN$17,AY152*(1+DP!$AP$17),IF(AW152=DP!$AN$18,AY152*(1+DP!$AP$18),0*1))))</f>
        <v>0</v>
      </c>
      <c r="CD152" s="102">
        <f>IF(AW152=DP!$AN$22,(DP!$AR$22),IF(AW152=DP!$AN$23,(DP!$AR$23),IF(AW152=DP!$AN$24,(DP!$AR$24),IF(AW152=DP!$AN$25,(DP!$AR$25),((0*1))))))</f>
        <v>0</v>
      </c>
      <c r="CE152" s="93">
        <f t="shared" si="163"/>
        <v>0</v>
      </c>
      <c r="CF152" s="100"/>
      <c r="CG152" s="149">
        <f t="shared" si="143"/>
        <v>0</v>
      </c>
      <c r="CH152" s="149">
        <f>DP!$N$35*BA152</f>
        <v>0</v>
      </c>
      <c r="CI152" s="149">
        <f>DP!$O$35*BA152</f>
        <v>0</v>
      </c>
      <c r="CJ152" s="149">
        <f>DP!$P$35*BA152</f>
        <v>0</v>
      </c>
    </row>
    <row r="153" spans="2:88" x14ac:dyDescent="0.35">
      <c r="B153" s="480">
        <f>DP!S27</f>
        <v>0</v>
      </c>
      <c r="C153" s="480">
        <f>DP!T27</f>
        <v>0</v>
      </c>
      <c r="D153" s="480">
        <f>DP!U27</f>
        <v>0</v>
      </c>
      <c r="E153" s="480">
        <f>DP!V27</f>
        <v>0</v>
      </c>
      <c r="F153" s="412">
        <f t="shared" si="144"/>
        <v>0</v>
      </c>
      <c r="G153" s="470">
        <f>DP!AA27</f>
        <v>0</v>
      </c>
      <c r="H153" s="98">
        <f t="shared" si="145"/>
        <v>0</v>
      </c>
      <c r="I153" s="97"/>
      <c r="J153" s="102">
        <f t="shared" si="134"/>
        <v>0</v>
      </c>
      <c r="K153" s="98">
        <f t="shared" si="135"/>
        <v>0</v>
      </c>
      <c r="L153" s="93">
        <f t="shared" si="136"/>
        <v>0</v>
      </c>
      <c r="M153" s="99">
        <f t="shared" si="137"/>
        <v>0</v>
      </c>
      <c r="N153" s="100"/>
      <c r="O153" s="102">
        <f>($E153/DP!$N$29)*F153</f>
        <v>0</v>
      </c>
      <c r="P153" s="102">
        <f>IF(O153&gt;0,(DP!$N$31),0*1)</f>
        <v>0</v>
      </c>
      <c r="Q153" s="102">
        <f t="shared" si="146"/>
        <v>0</v>
      </c>
      <c r="R153" s="102">
        <f t="shared" si="147"/>
        <v>0</v>
      </c>
      <c r="S153" s="418">
        <f t="shared" si="148"/>
        <v>0</v>
      </c>
      <c r="T153" s="475">
        <f>H153*DP!$S$44</f>
        <v>0</v>
      </c>
      <c r="U153" s="475">
        <f>IF(H153&gt;0,DP!$T$44,0*1)</f>
        <v>0</v>
      </c>
      <c r="V153" s="475">
        <f t="shared" si="149"/>
        <v>0</v>
      </c>
      <c r="W153" s="475">
        <f>H153*DP!$S$45</f>
        <v>0</v>
      </c>
      <c r="X153" s="475">
        <f>IF(H153&gt;0,DP!$T$45,0*1)</f>
        <v>0</v>
      </c>
      <c r="Y153" s="475">
        <f t="shared" si="150"/>
        <v>0</v>
      </c>
      <c r="Z153" s="100"/>
      <c r="AA153" s="93">
        <f>IF(D153=DP!$L$15,F153*(1+DP!$N$15),IF(D153=DP!$L$16,F153*(1+DP!$N$16),IF(D153=DP!$L$17,F153*(1+DP!$N$17),IF(D153=DP!$L$18,F153*(1+DP!$N$18),0*1))))</f>
        <v>0</v>
      </c>
      <c r="AB153" s="102">
        <f>IF(D153=DP!$L$22,(DP!$M$22),IF(D153=DP!$L$23,(DP!$M$23),IF(D153=DP!$L$24,(DP!$M$24),IF(D153=DP!$L$25,(DP!$M$25),((0*1))))))</f>
        <v>0</v>
      </c>
      <c r="AC153" s="93">
        <f t="shared" si="151"/>
        <v>0</v>
      </c>
      <c r="AD153" s="93">
        <f>IF(D153=DP!$L$15,F153*(1+DP!$N$15),IF(D153=DP!$L$16,F153*(1+DP!$N$16),IF(D153=DP!$L$17,F153*(1+DP!$N$17),IF(D153=DP!$L$18,F153*(1+DP!$N$18),0*1))))</f>
        <v>0</v>
      </c>
      <c r="AE153" s="102">
        <f>IF(D153=DP!$L$22,(DP!$N$22),IF(D153=DP!$L$23,(DP!$N$23),IF(D153=DP!$L$24,(DP!$N$24),IF(D153=DP!$L$25,(DP!$N$25),((0*1))))))</f>
        <v>0</v>
      </c>
      <c r="AF153" s="93">
        <f t="shared" si="152"/>
        <v>0</v>
      </c>
      <c r="AG153" s="93">
        <f>IF(D153=DP!$L$15,(F153/DP!$K$15)*(1+DP!$N$15),IF(D153=DP!$L$16,(F153/DP!$K$16)*(1+DP!$N$16),IF(D153=DP!$L$17,(F153/DP!$K$17)*(1+DP!$N$17),IF(D153=DP!$L$18,(F153/DP!$K$18)*(1+DP!$N$18),0*1))))</f>
        <v>0</v>
      </c>
      <c r="AH153" s="102">
        <f>IF(D153=DP!$L$22,(DP!$O$22),IF(D153=DP!$L$23,(DP!$O$23),IF(D153=DP!$L$24,(DP!$O$24),IF(D153=DP!$L$25,(DP!$O$25),((0*1))))))</f>
        <v>0</v>
      </c>
      <c r="AI153" s="93">
        <f t="shared" si="153"/>
        <v>0</v>
      </c>
      <c r="AJ153" s="93">
        <f>IF(D153=DP!$L$15,F153*(1+DP!$N$15),IF(D153=DP!$L$16,F153*(1+DP!$N$16),IF(D153=DP!$L$17,F153*(1+DP!$N$17),IF(D153=DP!$L$18,F153*(1+DP!$N$18),0*1))))</f>
        <v>0</v>
      </c>
      <c r="AK153" s="102">
        <f>IF(D153=DP!$L$22,(DP!$P$22),IF(D153=DP!$L$23,(DP!$P$23),IF(D153=DP!$L$24,(DP!$P$24),IF(D153=DP!$L$25,(DP!$P$25),((0*1))))))</f>
        <v>0</v>
      </c>
      <c r="AL153" s="93">
        <f t="shared" si="154"/>
        <v>0</v>
      </c>
      <c r="AM153" s="100"/>
      <c r="AN153" s="149">
        <f t="shared" si="138"/>
        <v>0</v>
      </c>
      <c r="AO153" s="149">
        <f>DP!$N$35*H153</f>
        <v>0</v>
      </c>
      <c r="AP153" s="149">
        <f>DP!$O$35*H153</f>
        <v>0</v>
      </c>
      <c r="AQ153" s="149">
        <f>DP!$P$35*H153</f>
        <v>0</v>
      </c>
      <c r="AV153" s="489">
        <f>DP!AV27</f>
        <v>0</v>
      </c>
      <c r="AW153" s="489">
        <f>DP!AW27</f>
        <v>0</v>
      </c>
      <c r="AX153" s="489">
        <f>DP!AX27</f>
        <v>0</v>
      </c>
      <c r="AY153" s="412">
        <f t="shared" si="155"/>
        <v>0</v>
      </c>
      <c r="AZ153" s="470">
        <f>DP!BC27</f>
        <v>0</v>
      </c>
      <c r="BA153" s="98">
        <f t="shared" si="156"/>
        <v>0</v>
      </c>
      <c r="BB153" s="97"/>
      <c r="BC153" s="102">
        <f t="shared" si="139"/>
        <v>0</v>
      </c>
      <c r="BD153" s="98">
        <f t="shared" si="140"/>
        <v>0</v>
      </c>
      <c r="BE153" s="93">
        <f t="shared" si="141"/>
        <v>0</v>
      </c>
      <c r="BF153" s="99">
        <f t="shared" si="142"/>
        <v>0</v>
      </c>
      <c r="BG153" s="100"/>
      <c r="BH153" s="102">
        <f>IFERROR((BA153*100%)/DP!$AP$29,(0*1))</f>
        <v>0</v>
      </c>
      <c r="BI153" s="102">
        <f>IF(BH153&gt;0,(DP!$AP$31),0*1)</f>
        <v>0</v>
      </c>
      <c r="BJ153" s="435">
        <f t="shared" si="157"/>
        <v>0</v>
      </c>
      <c r="BK153" s="475">
        <f>BA153*DP!$AU$44</f>
        <v>0</v>
      </c>
      <c r="BL153" s="475">
        <f>IF(BA153&gt;0,DP!$AV$44,0*1)</f>
        <v>0</v>
      </c>
      <c r="BM153" s="475">
        <f t="shared" si="158"/>
        <v>0</v>
      </c>
      <c r="BN153" s="102">
        <f>BA153*DP!$AU$45</f>
        <v>0</v>
      </c>
      <c r="BO153" s="102">
        <f>IF(BA153&gt;0,DP!$AV$45,0*1)</f>
        <v>0</v>
      </c>
      <c r="BP153" s="475">
        <f t="shared" si="159"/>
        <v>0</v>
      </c>
      <c r="BQ153" s="100"/>
      <c r="BR153" s="100"/>
      <c r="BS153" s="100"/>
      <c r="BT153" s="93">
        <f>IF(AW153=DP!$AN$15,AY153*(1+DP!$AP$15),IF(AW153=DP!$AN$16,AY153*(1+DP!$AP$16),IF(AW153=DP!$AN$17,AY153*(1+DP!$AP$17),IF(AW153=DP!$AN$18,AY153*(1+DP!$AP$18),0*1))))</f>
        <v>0</v>
      </c>
      <c r="BU153" s="102">
        <f>IF(AW153=DP!$AN$22,(DP!$AO$22),IF(AW153=DP!$AN$23,(DP!$AO$23),IF(AW153=DP!$AN$24,(DP!$AO$24),IF(AW153=DP!$AN$25,(DP!$AO$25),((0*1))))))</f>
        <v>0</v>
      </c>
      <c r="BV153" s="93">
        <f t="shared" si="160"/>
        <v>0</v>
      </c>
      <c r="BW153" s="93">
        <f>IF(AW153=DP!$AN$15,AY153*(1+DP!$AP$15),IF(AW153=DP!$AN$16,AY153*(1+DP!$AP$16),IF(AW153=DP!$AN$17,AY153*(1+DP!$AP$17),IF(AW153=DP!$AN$18,AY153*(1+DP!$AP$18),0*1))))</f>
        <v>0</v>
      </c>
      <c r="BX153" s="102">
        <f>IF(AW153=DP!$AN$22,(DP!$AP$22),IF(AW153=DP!$AN$23,(DP!$AP$23),IF(AW153=DP!$AN$24,(DP!$AP$24),IF(AW153=DP!$AN$25,(DP!$AP$25),((0*1))))))</f>
        <v>0</v>
      </c>
      <c r="BY153" s="93">
        <f t="shared" si="161"/>
        <v>0</v>
      </c>
      <c r="BZ153" s="93">
        <f>IF(AW153=DP!$AN$15,(AY153/DP!$AM$15)*(1+DP!$AP$15),IF(AW153=DP!$AN$16,(AY153/DP!$AM$16)*(1+DP!$AP$16),IF(AW153=DP!$AN$17,(AY153/DP!$AM$17)*(1+DP!$AP$17),IF(AW153=DP!$AN$18,(AY153/DP!$AM$18)*(1+DP!$AP$18),0*1))))</f>
        <v>0</v>
      </c>
      <c r="CA153" s="102">
        <f>IF(AW153=DP!$AN$22,(DP!$AQ$22),IF(AW153=DP!$AN$23,(DP!$AQ$23),IF(AW153=DP!$AN$24,(DP!$AQ$24),IF(AW153=DP!$AN$25,(DP!$AQ$25),((0*1))))))</f>
        <v>0</v>
      </c>
      <c r="CB153" s="93">
        <f t="shared" si="162"/>
        <v>0</v>
      </c>
      <c r="CC153" s="93">
        <f>IF(AW153=DP!$AN$15,AY153*(1+DP!$AP$15),IF(AW153=DP!$AN$16,AY153*(1+DP!$AP$16),IF(AW153=DP!$AN$17,AY153*(1+DP!$AP$17),IF(AW153=DP!$AN$18,AY153*(1+DP!$AP$18),0*1))))</f>
        <v>0</v>
      </c>
      <c r="CD153" s="102">
        <f>IF(AW153=DP!$AN$22,(DP!$AR$22),IF(AW153=DP!$AN$23,(DP!$AR$23),IF(AW153=DP!$AN$24,(DP!$AR$24),IF(AW153=DP!$AN$25,(DP!$AR$25),((0*1))))))</f>
        <v>0</v>
      </c>
      <c r="CE153" s="93">
        <f t="shared" si="163"/>
        <v>0</v>
      </c>
      <c r="CF153" s="100"/>
      <c r="CG153" s="149">
        <f t="shared" si="143"/>
        <v>0</v>
      </c>
      <c r="CH153" s="149">
        <f>DP!$N$35*BA153</f>
        <v>0</v>
      </c>
      <c r="CI153" s="149">
        <f>DP!$O$35*BA153</f>
        <v>0</v>
      </c>
      <c r="CJ153" s="149">
        <f>DP!$P$35*BA153</f>
        <v>0</v>
      </c>
    </row>
    <row r="154" spans="2:88" x14ac:dyDescent="0.35">
      <c r="B154" s="480">
        <f>DP!S28</f>
        <v>0</v>
      </c>
      <c r="C154" s="480">
        <f>DP!T28</f>
        <v>0</v>
      </c>
      <c r="D154" s="480">
        <f>DP!U28</f>
        <v>0</v>
      </c>
      <c r="E154" s="480">
        <f>DP!V28</f>
        <v>0</v>
      </c>
      <c r="F154" s="412">
        <f t="shared" si="144"/>
        <v>0</v>
      </c>
      <c r="G154" s="470">
        <f>DP!AA28</f>
        <v>0</v>
      </c>
      <c r="H154" s="98">
        <f t="shared" si="145"/>
        <v>0</v>
      </c>
      <c r="I154" s="97"/>
      <c r="J154" s="102">
        <f t="shared" si="134"/>
        <v>0</v>
      </c>
      <c r="K154" s="98">
        <f t="shared" si="135"/>
        <v>0</v>
      </c>
      <c r="L154" s="93">
        <f t="shared" si="136"/>
        <v>0</v>
      </c>
      <c r="M154" s="99">
        <f t="shared" si="137"/>
        <v>0</v>
      </c>
      <c r="N154" s="100"/>
      <c r="O154" s="102">
        <f>($E154/DP!$N$29)*F154</f>
        <v>0</v>
      </c>
      <c r="P154" s="102">
        <f>IF(O154&gt;0,(DP!$N$31),0*1)</f>
        <v>0</v>
      </c>
      <c r="Q154" s="102">
        <f t="shared" si="146"/>
        <v>0</v>
      </c>
      <c r="R154" s="102">
        <f t="shared" si="147"/>
        <v>0</v>
      </c>
      <c r="S154" s="418">
        <f t="shared" si="148"/>
        <v>0</v>
      </c>
      <c r="T154" s="475">
        <f>H154*DP!$S$44</f>
        <v>0</v>
      </c>
      <c r="U154" s="475">
        <f>IF(H154&gt;0,DP!$T$44,0*1)</f>
        <v>0</v>
      </c>
      <c r="V154" s="475">
        <f t="shared" si="149"/>
        <v>0</v>
      </c>
      <c r="W154" s="475">
        <f>H154*DP!$S$45</f>
        <v>0</v>
      </c>
      <c r="X154" s="475">
        <f>IF(H154&gt;0,DP!$T$45,0*1)</f>
        <v>0</v>
      </c>
      <c r="Y154" s="475">
        <f t="shared" si="150"/>
        <v>0</v>
      </c>
      <c r="Z154" s="100"/>
      <c r="AA154" s="93">
        <f>IF(D154=DP!$L$15,F154*(1+DP!$N$15),IF(D154=DP!$L$16,F154*(1+DP!$N$16),IF(D154=DP!$L$17,F154*(1+DP!$N$17),IF(D154=DP!$L$18,F154*(1+DP!$N$18),0*1))))</f>
        <v>0</v>
      </c>
      <c r="AB154" s="102">
        <f>IF(D154=DP!$L$22,(DP!$M$22),IF(D154=DP!$L$23,(DP!$M$23),IF(D154=DP!$L$24,(DP!$M$24),IF(D154=DP!$L$25,(DP!$M$25),((0*1))))))</f>
        <v>0</v>
      </c>
      <c r="AC154" s="93">
        <f t="shared" si="151"/>
        <v>0</v>
      </c>
      <c r="AD154" s="93">
        <f>IF(D154=DP!$L$15,F154*(1+DP!$N$15),IF(D154=DP!$L$16,F154*(1+DP!$N$16),IF(D154=DP!$L$17,F154*(1+DP!$N$17),IF(D154=DP!$L$18,F154*(1+DP!$N$18),0*1))))</f>
        <v>0</v>
      </c>
      <c r="AE154" s="102">
        <f>IF(D154=DP!$L$22,(DP!$N$22),IF(D154=DP!$L$23,(DP!$N$23),IF(D154=DP!$L$24,(DP!$N$24),IF(D154=DP!$L$25,(DP!$N$25),((0*1))))))</f>
        <v>0</v>
      </c>
      <c r="AF154" s="93">
        <f t="shared" si="152"/>
        <v>0</v>
      </c>
      <c r="AG154" s="93">
        <f>IF(D154=DP!$L$15,(F154/DP!$K$15)*(1+DP!$N$15),IF(D154=DP!$L$16,(F154/DP!$K$16)*(1+DP!$N$16),IF(D154=DP!$L$17,(F154/DP!$K$17)*(1+DP!$N$17),IF(D154=DP!$L$18,(F154/DP!$K$18)*(1+DP!$N$18),0*1))))</f>
        <v>0</v>
      </c>
      <c r="AH154" s="102">
        <f>IF(D154=DP!$L$22,(DP!$O$22),IF(D154=DP!$L$23,(DP!$O$23),IF(D154=DP!$L$24,(DP!$O$24),IF(D154=DP!$L$25,(DP!$O$25),((0*1))))))</f>
        <v>0</v>
      </c>
      <c r="AI154" s="93">
        <f t="shared" si="153"/>
        <v>0</v>
      </c>
      <c r="AJ154" s="93">
        <f>IF(D154=DP!$L$15,F154*(1+DP!$N$15),IF(D154=DP!$L$16,F154*(1+DP!$N$16),IF(D154=DP!$L$17,F154*(1+DP!$N$17),IF(D154=DP!$L$18,F154*(1+DP!$N$18),0*1))))</f>
        <v>0</v>
      </c>
      <c r="AK154" s="102">
        <f>IF(D154=DP!$L$22,(DP!$P$22),IF(D154=DP!$L$23,(DP!$P$23),IF(D154=DP!$L$24,(DP!$P$24),IF(D154=DP!$L$25,(DP!$P$25),((0*1))))))</f>
        <v>0</v>
      </c>
      <c r="AL154" s="93">
        <f t="shared" si="154"/>
        <v>0</v>
      </c>
      <c r="AM154" s="100"/>
      <c r="AN154" s="149">
        <f t="shared" si="138"/>
        <v>0</v>
      </c>
      <c r="AO154" s="149">
        <f>DP!$N$35*H154</f>
        <v>0</v>
      </c>
      <c r="AP154" s="149">
        <f>DP!$O$35*H154</f>
        <v>0</v>
      </c>
      <c r="AQ154" s="149">
        <f>DP!$P$35*H154</f>
        <v>0</v>
      </c>
      <c r="AV154" s="489">
        <f>DP!AV28</f>
        <v>0</v>
      </c>
      <c r="AW154" s="489">
        <f>DP!AW28</f>
        <v>0</v>
      </c>
      <c r="AX154" s="489">
        <f>DP!AX28</f>
        <v>0</v>
      </c>
      <c r="AY154" s="412">
        <f t="shared" si="155"/>
        <v>0</v>
      </c>
      <c r="AZ154" s="470">
        <f>DP!BC28</f>
        <v>0</v>
      </c>
      <c r="BA154" s="98">
        <f t="shared" si="156"/>
        <v>0</v>
      </c>
      <c r="BB154" s="97"/>
      <c r="BC154" s="102">
        <f t="shared" si="139"/>
        <v>0</v>
      </c>
      <c r="BD154" s="98">
        <f t="shared" si="140"/>
        <v>0</v>
      </c>
      <c r="BE154" s="93">
        <f t="shared" si="141"/>
        <v>0</v>
      </c>
      <c r="BF154" s="99">
        <f t="shared" si="142"/>
        <v>0</v>
      </c>
      <c r="BG154" s="100"/>
      <c r="BH154" s="102">
        <f>IFERROR((BA154*100%)/DP!$AP$29,(0*1))</f>
        <v>0</v>
      </c>
      <c r="BI154" s="102">
        <f>IF(BH154&gt;0,(DP!$AP$31),0*1)</f>
        <v>0</v>
      </c>
      <c r="BJ154" s="435">
        <f t="shared" si="157"/>
        <v>0</v>
      </c>
      <c r="BK154" s="475">
        <f>BA154*DP!$AU$44</f>
        <v>0</v>
      </c>
      <c r="BL154" s="475">
        <f>IF(BA154&gt;0,DP!$AV$44,0*1)</f>
        <v>0</v>
      </c>
      <c r="BM154" s="475">
        <f t="shared" si="158"/>
        <v>0</v>
      </c>
      <c r="BN154" s="102">
        <f>BA154*DP!$AU$45</f>
        <v>0</v>
      </c>
      <c r="BO154" s="102">
        <f>IF(BA154&gt;0,DP!$AV$45,0*1)</f>
        <v>0</v>
      </c>
      <c r="BP154" s="475">
        <f t="shared" si="159"/>
        <v>0</v>
      </c>
      <c r="BQ154" s="100"/>
      <c r="BR154" s="100"/>
      <c r="BS154" s="100"/>
      <c r="BT154" s="93">
        <f>IF(AW154=DP!$AN$15,AY154*(1+DP!$AP$15),IF(AW154=DP!$AN$16,AY154*(1+DP!$AP$16),IF(AW154=DP!$AN$17,AY154*(1+DP!$AP$17),IF(AW154=DP!$AN$18,AY154*(1+DP!$AP$18),0*1))))</f>
        <v>0</v>
      </c>
      <c r="BU154" s="102">
        <f>IF(AW154=DP!$AN$22,(DP!$AO$22),IF(AW154=DP!$AN$23,(DP!$AO$23),IF(AW154=DP!$AN$24,(DP!$AO$24),IF(AW154=DP!$AN$25,(DP!$AO$25),((0*1))))))</f>
        <v>0</v>
      </c>
      <c r="BV154" s="93">
        <f t="shared" si="160"/>
        <v>0</v>
      </c>
      <c r="BW154" s="93">
        <f>IF(AW154=DP!$AN$15,AY154*(1+DP!$AP$15),IF(AW154=DP!$AN$16,AY154*(1+DP!$AP$16),IF(AW154=DP!$AN$17,AY154*(1+DP!$AP$17),IF(AW154=DP!$AN$18,AY154*(1+DP!$AP$18),0*1))))</f>
        <v>0</v>
      </c>
      <c r="BX154" s="102">
        <f>IF(AW154=DP!$AN$22,(DP!$AP$22),IF(AW154=DP!$AN$23,(DP!$AP$23),IF(AW154=DP!$AN$24,(DP!$AP$24),IF(AW154=DP!$AN$25,(DP!$AP$25),((0*1))))))</f>
        <v>0</v>
      </c>
      <c r="BY154" s="93">
        <f t="shared" si="161"/>
        <v>0</v>
      </c>
      <c r="BZ154" s="93">
        <f>IF(AW154=DP!$AN$15,(AY154/DP!$AM$15)*(1+DP!$AP$15),IF(AW154=DP!$AN$16,(AY154/DP!$AM$16)*(1+DP!$AP$16),IF(AW154=DP!$AN$17,(AY154/DP!$AM$17)*(1+DP!$AP$17),IF(AW154=DP!$AN$18,(AY154/DP!$AM$18)*(1+DP!$AP$18),0*1))))</f>
        <v>0</v>
      </c>
      <c r="CA154" s="102">
        <f>IF(AW154=DP!$AN$22,(DP!$AQ$22),IF(AW154=DP!$AN$23,(DP!$AQ$23),IF(AW154=DP!$AN$24,(DP!$AQ$24),IF(AW154=DP!$AN$25,(DP!$AQ$25),((0*1))))))</f>
        <v>0</v>
      </c>
      <c r="CB154" s="93">
        <f t="shared" si="162"/>
        <v>0</v>
      </c>
      <c r="CC154" s="93">
        <f>IF(AW154=DP!$AN$15,AY154*(1+DP!$AP$15),IF(AW154=DP!$AN$16,AY154*(1+DP!$AP$16),IF(AW154=DP!$AN$17,AY154*(1+DP!$AP$17),IF(AW154=DP!$AN$18,AY154*(1+DP!$AP$18),0*1))))</f>
        <v>0</v>
      </c>
      <c r="CD154" s="102">
        <f>IF(AW154=DP!$AN$22,(DP!$AR$22),IF(AW154=DP!$AN$23,(DP!$AR$23),IF(AW154=DP!$AN$24,(DP!$AR$24),IF(AW154=DP!$AN$25,(DP!$AR$25),((0*1))))))</f>
        <v>0</v>
      </c>
      <c r="CE154" s="93">
        <f t="shared" si="163"/>
        <v>0</v>
      </c>
      <c r="CF154" s="100"/>
      <c r="CG154" s="149">
        <f t="shared" si="143"/>
        <v>0</v>
      </c>
      <c r="CH154" s="149">
        <f>DP!$N$35*BA154</f>
        <v>0</v>
      </c>
      <c r="CI154" s="149">
        <f>DP!$O$35*BA154</f>
        <v>0</v>
      </c>
      <c r="CJ154" s="149">
        <f>DP!$P$35*BA154</f>
        <v>0</v>
      </c>
    </row>
    <row r="155" spans="2:88" x14ac:dyDescent="0.35">
      <c r="B155" s="480">
        <f>DP!S29</f>
        <v>0</v>
      </c>
      <c r="C155" s="480">
        <f>DP!T29</f>
        <v>0</v>
      </c>
      <c r="D155" s="480">
        <f>DP!U29</f>
        <v>0</v>
      </c>
      <c r="E155" s="480">
        <f>DP!V29</f>
        <v>0</v>
      </c>
      <c r="F155" s="412">
        <f t="shared" si="144"/>
        <v>0</v>
      </c>
      <c r="G155" s="470">
        <f>DP!AA29</f>
        <v>0</v>
      </c>
      <c r="H155" s="98">
        <f t="shared" si="145"/>
        <v>0</v>
      </c>
      <c r="I155" s="97"/>
      <c r="J155" s="102">
        <f t="shared" si="134"/>
        <v>0</v>
      </c>
      <c r="K155" s="98">
        <f t="shared" si="135"/>
        <v>0</v>
      </c>
      <c r="L155" s="93">
        <f t="shared" si="136"/>
        <v>0</v>
      </c>
      <c r="M155" s="99">
        <f t="shared" si="137"/>
        <v>0</v>
      </c>
      <c r="N155" s="100"/>
      <c r="O155" s="102">
        <f>($E155/DP!$N$29)*F155</f>
        <v>0</v>
      </c>
      <c r="P155" s="102">
        <f>IF(O155&gt;0,(DP!$N$31),0*1)</f>
        <v>0</v>
      </c>
      <c r="Q155" s="102">
        <f t="shared" si="146"/>
        <v>0</v>
      </c>
      <c r="R155" s="102">
        <f t="shared" si="147"/>
        <v>0</v>
      </c>
      <c r="S155" s="418">
        <f t="shared" si="148"/>
        <v>0</v>
      </c>
      <c r="T155" s="475">
        <f>H155*DP!$S$44</f>
        <v>0</v>
      </c>
      <c r="U155" s="475">
        <f>IF(H155&gt;0,DP!$T$44,0*1)</f>
        <v>0</v>
      </c>
      <c r="V155" s="475">
        <f t="shared" si="149"/>
        <v>0</v>
      </c>
      <c r="W155" s="475">
        <f>H155*DP!$S$45</f>
        <v>0</v>
      </c>
      <c r="X155" s="475">
        <f>IF(H155&gt;0,DP!$T$45,0*1)</f>
        <v>0</v>
      </c>
      <c r="Y155" s="475">
        <f t="shared" si="150"/>
        <v>0</v>
      </c>
      <c r="Z155" s="100"/>
      <c r="AA155" s="93">
        <f>IF(D155=DP!$L$15,F155*(1+DP!$N$15),IF(D155=DP!$L$16,F155*(1+DP!$N$16),IF(D155=DP!$L$17,F155*(1+DP!$N$17),IF(D155=DP!$L$18,F155*(1+DP!$N$18),0*1))))</f>
        <v>0</v>
      </c>
      <c r="AB155" s="102">
        <f>IF(D155=DP!$L$22,(DP!$M$22),IF(D155=DP!$L$23,(DP!$M$23),IF(D155=DP!$L$24,(DP!$M$24),IF(D155=DP!$L$25,(DP!$M$25),((0*1))))))</f>
        <v>0</v>
      </c>
      <c r="AC155" s="93">
        <f t="shared" si="151"/>
        <v>0</v>
      </c>
      <c r="AD155" s="93">
        <f>IF(D155=DP!$L$15,F155*(1+DP!$N$15),IF(D155=DP!$L$16,F155*(1+DP!$N$16),IF(D155=DP!$L$17,F155*(1+DP!$N$17),IF(D155=DP!$L$18,F155*(1+DP!$N$18),0*1))))</f>
        <v>0</v>
      </c>
      <c r="AE155" s="102">
        <f>IF(D155=DP!$L$22,(DP!$N$22),IF(D155=DP!$L$23,(DP!$N$23),IF(D155=DP!$L$24,(DP!$N$24),IF(D155=DP!$L$25,(DP!$N$25),((0*1))))))</f>
        <v>0</v>
      </c>
      <c r="AF155" s="93">
        <f t="shared" si="152"/>
        <v>0</v>
      </c>
      <c r="AG155" s="93">
        <f>IF(D155=DP!$L$15,(F155/DP!$K$15)*(1+DP!$N$15),IF(D155=DP!$L$16,(F155/DP!$K$16)*(1+DP!$N$16),IF(D155=DP!$L$17,(F155/DP!$K$17)*(1+DP!$N$17),IF(D155=DP!$L$18,(F155/DP!$K$18)*(1+DP!$N$18),0*1))))</f>
        <v>0</v>
      </c>
      <c r="AH155" s="102">
        <f>IF(D155=DP!$L$22,(DP!$O$22),IF(D155=DP!$L$23,(DP!$O$23),IF(D155=DP!$L$24,(DP!$O$24),IF(D155=DP!$L$25,(DP!$O$25),((0*1))))))</f>
        <v>0</v>
      </c>
      <c r="AI155" s="93">
        <f t="shared" si="153"/>
        <v>0</v>
      </c>
      <c r="AJ155" s="93">
        <f>IF(D155=DP!$L$15,F155*(1+DP!$N$15),IF(D155=DP!$L$16,F155*(1+DP!$N$16),IF(D155=DP!$L$17,F155*(1+DP!$N$17),IF(D155=DP!$L$18,F155*(1+DP!$N$18),0*1))))</f>
        <v>0</v>
      </c>
      <c r="AK155" s="102">
        <f>IF(D155=DP!$L$22,(DP!$P$22),IF(D155=DP!$L$23,(DP!$P$23),IF(D155=DP!$L$24,(DP!$P$24),IF(D155=DP!$L$25,(DP!$P$25),((0*1))))))</f>
        <v>0</v>
      </c>
      <c r="AL155" s="93">
        <f t="shared" si="154"/>
        <v>0</v>
      </c>
      <c r="AM155" s="100"/>
      <c r="AN155" s="149">
        <f t="shared" si="138"/>
        <v>0</v>
      </c>
      <c r="AO155" s="149">
        <f>DP!$N$35*H155</f>
        <v>0</v>
      </c>
      <c r="AP155" s="149">
        <f>DP!$O$35*H155</f>
        <v>0</v>
      </c>
      <c r="AQ155" s="149">
        <f>DP!$P$35*H155</f>
        <v>0</v>
      </c>
      <c r="AV155" s="489">
        <f>DP!AV29</f>
        <v>0</v>
      </c>
      <c r="AW155" s="489">
        <f>DP!AW29</f>
        <v>0</v>
      </c>
      <c r="AX155" s="489">
        <f>DP!AX29</f>
        <v>0</v>
      </c>
      <c r="AY155" s="412">
        <f t="shared" si="155"/>
        <v>0</v>
      </c>
      <c r="AZ155" s="470">
        <f>DP!BC29</f>
        <v>0</v>
      </c>
      <c r="BA155" s="98">
        <f t="shared" si="156"/>
        <v>0</v>
      </c>
      <c r="BB155" s="97"/>
      <c r="BC155" s="102">
        <f t="shared" si="139"/>
        <v>0</v>
      </c>
      <c r="BD155" s="98">
        <f t="shared" si="140"/>
        <v>0</v>
      </c>
      <c r="BE155" s="93">
        <f t="shared" si="141"/>
        <v>0</v>
      </c>
      <c r="BF155" s="99">
        <f t="shared" si="142"/>
        <v>0</v>
      </c>
      <c r="BG155" s="100"/>
      <c r="BH155" s="102">
        <f>IFERROR((BA155*100%)/DP!$AP$29,(0*1))</f>
        <v>0</v>
      </c>
      <c r="BI155" s="102">
        <f>IF(BH155&gt;0,(DP!$AP$31),0*1)</f>
        <v>0</v>
      </c>
      <c r="BJ155" s="435">
        <f t="shared" si="157"/>
        <v>0</v>
      </c>
      <c r="BK155" s="475">
        <f>BA155*DP!$AU$44</f>
        <v>0</v>
      </c>
      <c r="BL155" s="475">
        <f>IF(BA155&gt;0,DP!$AV$44,0*1)</f>
        <v>0</v>
      </c>
      <c r="BM155" s="475">
        <f t="shared" si="158"/>
        <v>0</v>
      </c>
      <c r="BN155" s="102">
        <f>BA155*DP!$AU$45</f>
        <v>0</v>
      </c>
      <c r="BO155" s="102">
        <f>IF(BA155&gt;0,DP!$AV$45,0*1)</f>
        <v>0</v>
      </c>
      <c r="BP155" s="475">
        <f t="shared" si="159"/>
        <v>0</v>
      </c>
      <c r="BQ155" s="100"/>
      <c r="BR155" s="100"/>
      <c r="BS155" s="100"/>
      <c r="BT155" s="93">
        <f>IF(AW155=DP!$AN$15,AY155*(1+DP!$AP$15),IF(AW155=DP!$AN$16,AY155*(1+DP!$AP$16),IF(AW155=DP!$AN$17,AY155*(1+DP!$AP$17),IF(AW155=DP!$AN$18,AY155*(1+DP!$AP$18),0*1))))</f>
        <v>0</v>
      </c>
      <c r="BU155" s="102">
        <f>IF(AW155=DP!$AN$22,(DP!$AO$22),IF(AW155=DP!$AN$23,(DP!$AO$23),IF(AW155=DP!$AN$24,(DP!$AO$24),IF(AW155=DP!$AN$25,(DP!$AO$25),((0*1))))))</f>
        <v>0</v>
      </c>
      <c r="BV155" s="93">
        <f t="shared" si="160"/>
        <v>0</v>
      </c>
      <c r="BW155" s="93">
        <f>IF(AW155=DP!$AN$15,AY155*(1+DP!$AP$15),IF(AW155=DP!$AN$16,AY155*(1+DP!$AP$16),IF(AW155=DP!$AN$17,AY155*(1+DP!$AP$17),IF(AW155=DP!$AN$18,AY155*(1+DP!$AP$18),0*1))))</f>
        <v>0</v>
      </c>
      <c r="BX155" s="102">
        <f>IF(AW155=DP!$AN$22,(DP!$AP$22),IF(AW155=DP!$AN$23,(DP!$AP$23),IF(AW155=DP!$AN$24,(DP!$AP$24),IF(AW155=DP!$AN$25,(DP!$AP$25),((0*1))))))</f>
        <v>0</v>
      </c>
      <c r="BY155" s="93">
        <f t="shared" si="161"/>
        <v>0</v>
      </c>
      <c r="BZ155" s="93">
        <f>IF(AW155=DP!$AN$15,(AY155/DP!$AM$15)*(1+DP!$AP$15),IF(AW155=DP!$AN$16,(AY155/DP!$AM$16)*(1+DP!$AP$16),IF(AW155=DP!$AN$17,(AY155/DP!$AM$17)*(1+DP!$AP$17),IF(AW155=DP!$AN$18,(AY155/DP!$AM$18)*(1+DP!$AP$18),0*1))))</f>
        <v>0</v>
      </c>
      <c r="CA155" s="102">
        <f>IF(AW155=DP!$AN$22,(DP!$AQ$22),IF(AW155=DP!$AN$23,(DP!$AQ$23),IF(AW155=DP!$AN$24,(DP!$AQ$24),IF(AW155=DP!$AN$25,(DP!$AQ$25),((0*1))))))</f>
        <v>0</v>
      </c>
      <c r="CB155" s="93">
        <f t="shared" si="162"/>
        <v>0</v>
      </c>
      <c r="CC155" s="93">
        <f>IF(AW155=DP!$AN$15,AY155*(1+DP!$AP$15),IF(AW155=DP!$AN$16,AY155*(1+DP!$AP$16),IF(AW155=DP!$AN$17,AY155*(1+DP!$AP$17),IF(AW155=DP!$AN$18,AY155*(1+DP!$AP$18),0*1))))</f>
        <v>0</v>
      </c>
      <c r="CD155" s="102">
        <f>IF(AW155=DP!$AN$22,(DP!$AR$22),IF(AW155=DP!$AN$23,(DP!$AR$23),IF(AW155=DP!$AN$24,(DP!$AR$24),IF(AW155=DP!$AN$25,(DP!$AR$25),((0*1))))))</f>
        <v>0</v>
      </c>
      <c r="CE155" s="93">
        <f t="shared" si="163"/>
        <v>0</v>
      </c>
      <c r="CF155" s="100"/>
      <c r="CG155" s="149">
        <f t="shared" si="143"/>
        <v>0</v>
      </c>
      <c r="CH155" s="149">
        <f>DP!$N$35*BA155</f>
        <v>0</v>
      </c>
      <c r="CI155" s="149">
        <f>DP!$O$35*BA155</f>
        <v>0</v>
      </c>
      <c r="CJ155" s="149">
        <f>DP!$P$35*BA155</f>
        <v>0</v>
      </c>
    </row>
    <row r="156" spans="2:88" x14ac:dyDescent="0.35">
      <c r="B156" s="480">
        <f>DP!S30</f>
        <v>0</v>
      </c>
      <c r="C156" s="480">
        <f>DP!T30</f>
        <v>0</v>
      </c>
      <c r="D156" s="480">
        <f>DP!U30</f>
        <v>0</v>
      </c>
      <c r="E156" s="480">
        <f>DP!V30</f>
        <v>0</v>
      </c>
      <c r="F156" s="412">
        <f t="shared" si="144"/>
        <v>0</v>
      </c>
      <c r="G156" s="470">
        <f>DP!AA30</f>
        <v>0</v>
      </c>
      <c r="H156" s="98">
        <f t="shared" si="145"/>
        <v>0</v>
      </c>
      <c r="I156" s="97"/>
      <c r="J156" s="102">
        <f t="shared" si="134"/>
        <v>0</v>
      </c>
      <c r="K156" s="98">
        <f t="shared" si="135"/>
        <v>0</v>
      </c>
      <c r="L156" s="93">
        <f t="shared" si="136"/>
        <v>0</v>
      </c>
      <c r="M156" s="99">
        <f t="shared" si="137"/>
        <v>0</v>
      </c>
      <c r="N156" s="100"/>
      <c r="O156" s="102">
        <f>($E156/DP!$N$29)*F156</f>
        <v>0</v>
      </c>
      <c r="P156" s="102">
        <f>IF(O156&gt;0,(DP!$N$31),0*1)</f>
        <v>0</v>
      </c>
      <c r="Q156" s="102">
        <f t="shared" si="146"/>
        <v>0</v>
      </c>
      <c r="R156" s="102">
        <f t="shared" si="147"/>
        <v>0</v>
      </c>
      <c r="S156" s="418">
        <f t="shared" si="148"/>
        <v>0</v>
      </c>
      <c r="T156" s="475">
        <f>H156*DP!$S$44</f>
        <v>0</v>
      </c>
      <c r="U156" s="475">
        <f>IF(H156&gt;0,DP!$T$44,0*1)</f>
        <v>0</v>
      </c>
      <c r="V156" s="475">
        <f t="shared" si="149"/>
        <v>0</v>
      </c>
      <c r="W156" s="475">
        <f>H156*DP!$S$45</f>
        <v>0</v>
      </c>
      <c r="X156" s="475">
        <f>IF(H156&gt;0,DP!$T$45,0*1)</f>
        <v>0</v>
      </c>
      <c r="Y156" s="475">
        <f t="shared" si="150"/>
        <v>0</v>
      </c>
      <c r="Z156" s="100"/>
      <c r="AA156" s="93">
        <f>IF(D156=DP!$L$15,F156*(1+DP!$N$15),IF(D156=DP!$L$16,F156*(1+DP!$N$16),IF(D156=DP!$L$17,F156*(1+DP!$N$17),IF(D156=DP!$L$18,F156*(1+DP!$N$18),0*1))))</f>
        <v>0</v>
      </c>
      <c r="AB156" s="102">
        <f>IF(D156=DP!$L$22,(DP!$M$22),IF(D156=DP!$L$23,(DP!$M$23),IF(D156=DP!$L$24,(DP!$M$24),IF(D156=DP!$L$25,(DP!$M$25),((0*1))))))</f>
        <v>0</v>
      </c>
      <c r="AC156" s="93">
        <f t="shared" si="151"/>
        <v>0</v>
      </c>
      <c r="AD156" s="93">
        <f>IF(D156=DP!$L$15,F156*(1+DP!$N$15),IF(D156=DP!$L$16,F156*(1+DP!$N$16),IF(D156=DP!$L$17,F156*(1+DP!$N$17),IF(D156=DP!$L$18,F156*(1+DP!$N$18),0*1))))</f>
        <v>0</v>
      </c>
      <c r="AE156" s="102">
        <f>IF(D156=DP!$L$22,(DP!$N$22),IF(D156=DP!$L$23,(DP!$N$23),IF(D156=DP!$L$24,(DP!$N$24),IF(D156=DP!$L$25,(DP!$N$25),((0*1))))))</f>
        <v>0</v>
      </c>
      <c r="AF156" s="93">
        <f t="shared" si="152"/>
        <v>0</v>
      </c>
      <c r="AG156" s="93">
        <f>IF(D156=DP!$L$15,(F156/DP!$K$15)*(1+DP!$N$15),IF(D156=DP!$L$16,(F156/DP!$K$16)*(1+DP!$N$16),IF(D156=DP!$L$17,(F156/DP!$K$17)*(1+DP!$N$17),IF(D156=DP!$L$18,(F156/DP!$K$18)*(1+DP!$N$18),0*1))))</f>
        <v>0</v>
      </c>
      <c r="AH156" s="102">
        <f>IF(D156=DP!$L$22,(DP!$O$22),IF(D156=DP!$L$23,(DP!$O$23),IF(D156=DP!$L$24,(DP!$O$24),IF(D156=DP!$L$25,(DP!$O$25),((0*1))))))</f>
        <v>0</v>
      </c>
      <c r="AI156" s="93">
        <f t="shared" si="153"/>
        <v>0</v>
      </c>
      <c r="AJ156" s="93">
        <f>IF(D156=DP!$L$15,F156*(1+DP!$N$15),IF(D156=DP!$L$16,F156*(1+DP!$N$16),IF(D156=DP!$L$17,F156*(1+DP!$N$17),IF(D156=DP!$L$18,F156*(1+DP!$N$18),0*1))))</f>
        <v>0</v>
      </c>
      <c r="AK156" s="102">
        <f>IF(D156=DP!$L$22,(DP!$P$22),IF(D156=DP!$L$23,(DP!$P$23),IF(D156=DP!$L$24,(DP!$P$24),IF(D156=DP!$L$25,(DP!$P$25),((0*1))))))</f>
        <v>0</v>
      </c>
      <c r="AL156" s="93">
        <f t="shared" si="154"/>
        <v>0</v>
      </c>
      <c r="AM156" s="100"/>
      <c r="AN156" s="149">
        <f t="shared" si="138"/>
        <v>0</v>
      </c>
      <c r="AO156" s="149">
        <f>DP!$N$35*H156</f>
        <v>0</v>
      </c>
      <c r="AP156" s="149">
        <f>DP!$O$35*H156</f>
        <v>0</v>
      </c>
      <c r="AQ156" s="149">
        <f>DP!$P$35*H156</f>
        <v>0</v>
      </c>
      <c r="AV156" s="489">
        <f>DP!AV30</f>
        <v>0</v>
      </c>
      <c r="AW156" s="489">
        <f>DP!AW30</f>
        <v>0</v>
      </c>
      <c r="AX156" s="489">
        <f>DP!AX30</f>
        <v>0</v>
      </c>
      <c r="AY156" s="412">
        <f t="shared" si="155"/>
        <v>0</v>
      </c>
      <c r="AZ156" s="470">
        <f>DP!BC30</f>
        <v>0</v>
      </c>
      <c r="BA156" s="98">
        <f t="shared" si="156"/>
        <v>0</v>
      </c>
      <c r="BB156" s="97"/>
      <c r="BC156" s="102">
        <f t="shared" si="139"/>
        <v>0</v>
      </c>
      <c r="BD156" s="98">
        <f t="shared" si="140"/>
        <v>0</v>
      </c>
      <c r="BE156" s="93">
        <f t="shared" si="141"/>
        <v>0</v>
      </c>
      <c r="BF156" s="99">
        <f t="shared" si="142"/>
        <v>0</v>
      </c>
      <c r="BG156" s="100"/>
      <c r="BH156" s="102">
        <f>IFERROR((BA156*100%)/DP!$AP$29,(0*1))</f>
        <v>0</v>
      </c>
      <c r="BI156" s="102">
        <f>IF(BH156&gt;0,(DP!$AP$31),0*1)</f>
        <v>0</v>
      </c>
      <c r="BJ156" s="435">
        <f t="shared" si="157"/>
        <v>0</v>
      </c>
      <c r="BK156" s="475">
        <f>BA156*DP!$AU$44</f>
        <v>0</v>
      </c>
      <c r="BL156" s="475">
        <f>IF(BA156&gt;0,DP!$AV$44,0*1)</f>
        <v>0</v>
      </c>
      <c r="BM156" s="475">
        <f t="shared" si="158"/>
        <v>0</v>
      </c>
      <c r="BN156" s="102">
        <f>BA156*DP!$AU$45</f>
        <v>0</v>
      </c>
      <c r="BO156" s="102">
        <f>IF(BA156&gt;0,DP!$AV$45,0*1)</f>
        <v>0</v>
      </c>
      <c r="BP156" s="475">
        <f t="shared" si="159"/>
        <v>0</v>
      </c>
      <c r="BQ156" s="100"/>
      <c r="BR156" s="100"/>
      <c r="BS156" s="100"/>
      <c r="BT156" s="93">
        <f>IF(AW156=DP!$AN$15,AY156*(1+DP!$AP$15),IF(AW156=DP!$AN$16,AY156*(1+DP!$AP$16),IF(AW156=DP!$AN$17,AY156*(1+DP!$AP$17),IF(AW156=DP!$AN$18,AY156*(1+DP!$AP$18),0*1))))</f>
        <v>0</v>
      </c>
      <c r="BU156" s="102">
        <f>IF(AW156=DP!$AN$22,(DP!$AO$22),IF(AW156=DP!$AN$23,(DP!$AO$23),IF(AW156=DP!$AN$24,(DP!$AO$24),IF(AW156=DP!$AN$25,(DP!$AO$25),((0*1))))))</f>
        <v>0</v>
      </c>
      <c r="BV156" s="93">
        <f t="shared" si="160"/>
        <v>0</v>
      </c>
      <c r="BW156" s="93">
        <f>IF(AW156=DP!$AN$15,AY156*(1+DP!$AP$15),IF(AW156=DP!$AN$16,AY156*(1+DP!$AP$16),IF(AW156=DP!$AN$17,AY156*(1+DP!$AP$17),IF(AW156=DP!$AN$18,AY156*(1+DP!$AP$18),0*1))))</f>
        <v>0</v>
      </c>
      <c r="BX156" s="102">
        <f>IF(AW156=DP!$AN$22,(DP!$AP$22),IF(AW156=DP!$AN$23,(DP!$AP$23),IF(AW156=DP!$AN$24,(DP!$AP$24),IF(AW156=DP!$AN$25,(DP!$AP$25),((0*1))))))</f>
        <v>0</v>
      </c>
      <c r="BY156" s="93">
        <f>BW156*BX156</f>
        <v>0</v>
      </c>
      <c r="BZ156" s="93">
        <f>IF(AW156=DP!$AN$15,(AY156/DP!$AM$15)*(1+DP!$AP$15),IF(AW156=DP!$AN$16,(AY156/DP!$AM$16)*(1+DP!$AP$16),IF(AW156=DP!$AN$17,(AY156/DP!$AM$17)*(1+DP!$AP$17),IF(AW156=DP!$AN$18,(AY156/DP!$AM$18)*(1+DP!$AP$18),0*1))))</f>
        <v>0</v>
      </c>
      <c r="CA156" s="102">
        <f>IF(AW156=DP!$AN$22,(DP!$AQ$22),IF(AW156=DP!$AN$23,(DP!$AQ$23),IF(AW156=DP!$AN$24,(DP!$AQ$24),IF(AW156=DP!$AN$25,(DP!$AQ$25),((0*1))))))</f>
        <v>0</v>
      </c>
      <c r="CB156" s="93">
        <f t="shared" si="162"/>
        <v>0</v>
      </c>
      <c r="CC156" s="93">
        <f>IF(AW156=DP!$AN$15,AY156*(1+DP!$AP$15),IF(AW156=DP!$AN$16,AY156*(1+DP!$AP$16),IF(AW156=DP!$AN$17,AY156*(1+DP!$AP$17),IF(AW156=DP!$AN$18,AY156*(1+DP!$AP$18),0*1))))</f>
        <v>0</v>
      </c>
      <c r="CD156" s="102">
        <f>IF(AW156=DP!$AN$22,(DP!$AR$22),IF(AW156=DP!$AN$23,(DP!$AR$23),IF(AW156=DP!$AN$24,(DP!$AR$24),IF(AW156=DP!$AN$25,(DP!$AR$25),((0*1))))))</f>
        <v>0</v>
      </c>
      <c r="CE156" s="93">
        <f t="shared" si="163"/>
        <v>0</v>
      </c>
      <c r="CF156" s="100"/>
      <c r="CG156" s="149">
        <f t="shared" si="143"/>
        <v>0</v>
      </c>
      <c r="CH156" s="149">
        <f>DP!$N$35*BA156</f>
        <v>0</v>
      </c>
      <c r="CI156" s="149">
        <f>DP!$O$35*BA156</f>
        <v>0</v>
      </c>
      <c r="CJ156" s="149">
        <f>DP!$P$35*BA156</f>
        <v>0</v>
      </c>
    </row>
    <row r="157" spans="2:88" x14ac:dyDescent="0.35">
      <c r="B157" s="480">
        <f>DP!S31</f>
        <v>0</v>
      </c>
      <c r="C157" s="480">
        <f>DP!T31</f>
        <v>0</v>
      </c>
      <c r="D157" s="480">
        <f>DP!U31</f>
        <v>0</v>
      </c>
      <c r="E157" s="480">
        <f>DP!V31</f>
        <v>0</v>
      </c>
      <c r="F157" s="412">
        <f t="shared" si="144"/>
        <v>0</v>
      </c>
      <c r="G157" s="470">
        <f>DP!AA31</f>
        <v>0</v>
      </c>
      <c r="H157" s="98">
        <f t="shared" si="145"/>
        <v>0</v>
      </c>
      <c r="I157" s="97"/>
      <c r="J157" s="102">
        <f t="shared" si="134"/>
        <v>0</v>
      </c>
      <c r="K157" s="98">
        <f t="shared" si="135"/>
        <v>0</v>
      </c>
      <c r="L157" s="93">
        <f t="shared" si="136"/>
        <v>0</v>
      </c>
      <c r="M157" s="99">
        <f t="shared" si="137"/>
        <v>0</v>
      </c>
      <c r="N157" s="100"/>
      <c r="O157" s="102">
        <f>($E157/DP!$N$29)*F157</f>
        <v>0</v>
      </c>
      <c r="P157" s="102">
        <f>IF(O157&gt;0,(DP!$N$31),0*1)</f>
        <v>0</v>
      </c>
      <c r="Q157" s="102">
        <f t="shared" si="146"/>
        <v>0</v>
      </c>
      <c r="R157" s="102">
        <f t="shared" si="147"/>
        <v>0</v>
      </c>
      <c r="S157" s="418">
        <f t="shared" si="148"/>
        <v>0</v>
      </c>
      <c r="T157" s="475">
        <f>H157*DP!$S$44</f>
        <v>0</v>
      </c>
      <c r="U157" s="475">
        <f>IF(H157&gt;0,DP!$T$44,0*1)</f>
        <v>0</v>
      </c>
      <c r="V157" s="475">
        <f t="shared" si="149"/>
        <v>0</v>
      </c>
      <c r="W157" s="475">
        <f>H157*DP!$S$45</f>
        <v>0</v>
      </c>
      <c r="X157" s="475">
        <f>IF(H157&gt;0,DP!$T$45,0*1)</f>
        <v>0</v>
      </c>
      <c r="Y157" s="475">
        <f t="shared" si="150"/>
        <v>0</v>
      </c>
      <c r="Z157" s="100"/>
      <c r="AA157" s="93">
        <f>IF(D157=DP!$L$15,F157*(1+DP!$N$15),IF(D157=DP!$L$16,F157*(1+DP!$N$16),IF(D157=DP!$L$17,F157*(1+DP!$N$17),IF(D157=DP!$L$18,F157*(1+DP!$N$18),0*1))))</f>
        <v>0</v>
      </c>
      <c r="AB157" s="102">
        <f>IF(D157=DP!$L$22,(DP!$M$22),IF(D157=DP!$L$23,(DP!$M$23),IF(D157=DP!$L$24,(DP!$M$24),IF(D157=DP!$L$25,(DP!$M$25),((0*1))))))</f>
        <v>0</v>
      </c>
      <c r="AC157" s="93">
        <f t="shared" si="151"/>
        <v>0</v>
      </c>
      <c r="AD157" s="93">
        <f>IF(D157=DP!$L$15,F157*(1+DP!$N$15),IF(D157=DP!$L$16,F157*(1+DP!$N$16),IF(D157=DP!$L$17,F157*(1+DP!$N$17),IF(D157=DP!$L$18,F157*(1+DP!$N$18),0*1))))</f>
        <v>0</v>
      </c>
      <c r="AE157" s="102">
        <f>IF(D157=DP!$L$22,(DP!$N$22),IF(D157=DP!$L$23,(DP!$N$23),IF(D157=DP!$L$24,(DP!$N$24),IF(D157=DP!$L$25,(DP!$N$25),((0*1))))))</f>
        <v>0</v>
      </c>
      <c r="AF157" s="93">
        <f t="shared" si="152"/>
        <v>0</v>
      </c>
      <c r="AG157" s="93">
        <f>IF(D157=DP!$L$15,(F157/DP!$K$15)*(1+DP!$N$15),IF(D157=DP!$L$16,(F157/DP!$K$16)*(1+DP!$N$16),IF(D157=DP!$L$17,(F157/DP!$K$17)*(1+DP!$N$17),IF(D157=DP!$L$18,(F157/DP!$K$18)*(1+DP!$N$18),0*1))))</f>
        <v>0</v>
      </c>
      <c r="AH157" s="102">
        <f>IF(D157=DP!$L$22,(DP!$O$22),IF(D157=DP!$L$23,(DP!$O$23),IF(D157=DP!$L$24,(DP!$O$24),IF(D157=DP!$L$25,(DP!$O$25),((0*1))))))</f>
        <v>0</v>
      </c>
      <c r="AI157" s="93">
        <f t="shared" si="153"/>
        <v>0</v>
      </c>
      <c r="AJ157" s="93">
        <f>IF(D157=DP!$L$15,F157*(1+DP!$N$15),IF(D157=DP!$L$16,F157*(1+DP!$N$16),IF(D157=DP!$L$17,F157*(1+DP!$N$17),IF(D157=DP!$L$18,F157*(1+DP!$N$18),0*1))))</f>
        <v>0</v>
      </c>
      <c r="AK157" s="102">
        <f>IF(D157=DP!$L$22,(DP!$P$22),IF(D157=DP!$L$23,(DP!$P$23),IF(D157=DP!$L$24,(DP!$P$24),IF(D157=DP!$L$25,(DP!$P$25),((0*1))))))</f>
        <v>0</v>
      </c>
      <c r="AL157" s="93">
        <f t="shared" si="154"/>
        <v>0</v>
      </c>
      <c r="AM157" s="100"/>
      <c r="AN157" s="149">
        <f t="shared" si="138"/>
        <v>0</v>
      </c>
      <c r="AO157" s="149">
        <f>DP!$N$35*H157</f>
        <v>0</v>
      </c>
      <c r="AP157" s="149">
        <f>DP!$O$35*H157</f>
        <v>0</v>
      </c>
      <c r="AQ157" s="149">
        <f>DP!$P$35*H157</f>
        <v>0</v>
      </c>
      <c r="AV157" s="489">
        <f>DP!AV31</f>
        <v>0</v>
      </c>
      <c r="AW157" s="489">
        <f>DP!AW31</f>
        <v>0</v>
      </c>
      <c r="AX157" s="489">
        <f>DP!AX31</f>
        <v>0</v>
      </c>
      <c r="AY157" s="412">
        <f t="shared" si="155"/>
        <v>0</v>
      </c>
      <c r="AZ157" s="470">
        <f>DP!BC31</f>
        <v>0</v>
      </c>
      <c r="BA157" s="98">
        <f t="shared" si="156"/>
        <v>0</v>
      </c>
      <c r="BB157" s="97"/>
      <c r="BC157" s="102">
        <f t="shared" si="139"/>
        <v>0</v>
      </c>
      <c r="BD157" s="98">
        <f t="shared" si="140"/>
        <v>0</v>
      </c>
      <c r="BE157" s="93">
        <f t="shared" si="141"/>
        <v>0</v>
      </c>
      <c r="BF157" s="99">
        <f t="shared" si="142"/>
        <v>0</v>
      </c>
      <c r="BG157" s="100"/>
      <c r="BH157" s="102">
        <f>IFERROR((BA157*100%)/DP!$AP$29,(0*1))</f>
        <v>0</v>
      </c>
      <c r="BI157" s="102">
        <f>IF(BH157&gt;0,(DP!$AP$31),0*1)</f>
        <v>0</v>
      </c>
      <c r="BJ157" s="435">
        <f t="shared" si="157"/>
        <v>0</v>
      </c>
      <c r="BK157" s="475">
        <f>BA157*DP!$AU$44</f>
        <v>0</v>
      </c>
      <c r="BL157" s="475">
        <f>IF(BA157&gt;0,DP!$AV$44,0*1)</f>
        <v>0</v>
      </c>
      <c r="BM157" s="475">
        <f t="shared" si="158"/>
        <v>0</v>
      </c>
      <c r="BN157" s="102">
        <f>BA157*DP!$AU$45</f>
        <v>0</v>
      </c>
      <c r="BO157" s="102">
        <f>IF(BA157&gt;0,DP!$AV$45,0*1)</f>
        <v>0</v>
      </c>
      <c r="BP157" s="475">
        <f t="shared" si="159"/>
        <v>0</v>
      </c>
      <c r="BQ157" s="100"/>
      <c r="BR157" s="100"/>
      <c r="BS157" s="100"/>
      <c r="BT157" s="93">
        <f>IF(AW157=DP!$AN$15,AY157*(1+DP!$AP$15),IF(AW157=DP!$AN$16,AY157*(1+DP!$AP$16),IF(AW157=DP!$AN$17,AY157*(1+DP!$AP$17),IF(AW157=DP!$AN$18,AY157*(1+DP!$AP$18),0*1))))</f>
        <v>0</v>
      </c>
      <c r="BU157" s="102">
        <f>IF(AW157=DP!$AN$22,(DP!$AO$22),IF(AW157=DP!$AN$23,(DP!$AO$23),IF(AW157=DP!$AN$24,(DP!$AO$24),IF(AW157=DP!$AN$25,(DP!$AO$25),((0*1))))))</f>
        <v>0</v>
      </c>
      <c r="BV157" s="93">
        <f t="shared" si="160"/>
        <v>0</v>
      </c>
      <c r="BW157" s="93">
        <f>IF(AW157=DP!$AN$15,AY157*(1+DP!$AP$15),IF(AW157=DP!$AN$16,AY157*(1+DP!$AP$16),IF(AW157=DP!$AN$17,AY157*(1+DP!$AP$17),IF(AW157=DP!$AN$18,AY157*(1+DP!$AP$18),0*1))))</f>
        <v>0</v>
      </c>
      <c r="BX157" s="102">
        <f>IF(AW157=DP!$AN$22,(DP!$AP$22),IF(AW157=DP!$AN$23,(DP!$AP$23),IF(AW157=DP!$AN$24,(DP!$AP$24),IF(AW157=DP!$AN$25,(DP!$AP$25),((0*1))))))</f>
        <v>0</v>
      </c>
      <c r="BY157" s="93">
        <f t="shared" ref="BY157:BY162" si="164">BW157*BX157</f>
        <v>0</v>
      </c>
      <c r="BZ157" s="93">
        <f>IF(AW157=DP!$AN$15,(AY157/DP!$AM$15)*(1+DP!$AP$15),IF(AW157=DP!$AN$16,(AY157/DP!$AM$16)*(1+DP!$AP$16),IF(AW157=DP!$AN$17,(AY157/DP!$AM$17)*(1+DP!$AP$17),IF(AW157=DP!$AN$18,(AY157/DP!$AM$18)*(1+DP!$AP$18),0*1))))</f>
        <v>0</v>
      </c>
      <c r="CA157" s="102">
        <f>IF(AW157=DP!$AN$22,(DP!$AQ$22),IF(AW157=DP!$AN$23,(DP!$AQ$23),IF(AW157=DP!$AN$24,(DP!$AQ$24),IF(AW157=DP!$AN$25,(DP!$AQ$25),((0*1))))))</f>
        <v>0</v>
      </c>
      <c r="CB157" s="93">
        <f t="shared" si="162"/>
        <v>0</v>
      </c>
      <c r="CC157" s="93">
        <f>IF(AW157=DP!$AN$15,AY157*(1+DP!$AP$15),IF(AW157=DP!$AN$16,AY157*(1+DP!$AP$16),IF(AW157=DP!$AN$17,AY157*(1+DP!$AP$17),IF(AW157=DP!$AN$18,AY157*(1+DP!$AP$18),0*1))))</f>
        <v>0</v>
      </c>
      <c r="CD157" s="102">
        <f>IF(AW157=DP!$AN$22,(DP!$AR$22),IF(AW157=DP!$AN$23,(DP!$AR$23),IF(AW157=DP!$AN$24,(DP!$AR$24),IF(AW157=DP!$AN$25,(DP!$AR$25),((0*1))))))</f>
        <v>0</v>
      </c>
      <c r="CE157" s="93">
        <f t="shared" si="163"/>
        <v>0</v>
      </c>
      <c r="CF157" s="100"/>
      <c r="CG157" s="149">
        <f t="shared" si="143"/>
        <v>0</v>
      </c>
      <c r="CH157" s="149">
        <f>DP!$N$35*BA157</f>
        <v>0</v>
      </c>
      <c r="CI157" s="149">
        <f>DP!$O$35*BA157</f>
        <v>0</v>
      </c>
      <c r="CJ157" s="149">
        <f>DP!$P$35*BA157</f>
        <v>0</v>
      </c>
    </row>
    <row r="158" spans="2:88" x14ac:dyDescent="0.35">
      <c r="B158" s="480">
        <f>DP!S32</f>
        <v>0</v>
      </c>
      <c r="C158" s="480">
        <f>DP!T32</f>
        <v>0</v>
      </c>
      <c r="D158" s="480">
        <f>DP!U32</f>
        <v>0</v>
      </c>
      <c r="E158" s="480">
        <f>DP!V32</f>
        <v>0</v>
      </c>
      <c r="F158" s="412">
        <f t="shared" si="144"/>
        <v>0</v>
      </c>
      <c r="G158" s="470">
        <f>DP!AA32</f>
        <v>0</v>
      </c>
      <c r="H158" s="98">
        <f t="shared" si="145"/>
        <v>0</v>
      </c>
      <c r="I158" s="97"/>
      <c r="J158" s="102">
        <f t="shared" si="134"/>
        <v>0</v>
      </c>
      <c r="K158" s="98">
        <f t="shared" si="135"/>
        <v>0</v>
      </c>
      <c r="L158" s="93">
        <f t="shared" si="136"/>
        <v>0</v>
      </c>
      <c r="M158" s="99">
        <f t="shared" si="137"/>
        <v>0</v>
      </c>
      <c r="N158" s="100"/>
      <c r="O158" s="102">
        <f>($E158/DP!$N$29)*F158</f>
        <v>0</v>
      </c>
      <c r="P158" s="102">
        <f>IF(O158&gt;0,(DP!$N$31),0*1)</f>
        <v>0</v>
      </c>
      <c r="Q158" s="102">
        <f t="shared" si="146"/>
        <v>0</v>
      </c>
      <c r="R158" s="102">
        <f t="shared" si="147"/>
        <v>0</v>
      </c>
      <c r="S158" s="418">
        <f t="shared" si="148"/>
        <v>0</v>
      </c>
      <c r="T158" s="475">
        <f>H158*DP!$S$44</f>
        <v>0</v>
      </c>
      <c r="U158" s="475">
        <f>IF(H158&gt;0,DP!$T$44,0*1)</f>
        <v>0</v>
      </c>
      <c r="V158" s="475">
        <f t="shared" si="149"/>
        <v>0</v>
      </c>
      <c r="W158" s="475">
        <f>H158*DP!$S$45</f>
        <v>0</v>
      </c>
      <c r="X158" s="475">
        <f>IF(H158&gt;0,DP!$T$45,0*1)</f>
        <v>0</v>
      </c>
      <c r="Y158" s="475">
        <f t="shared" si="150"/>
        <v>0</v>
      </c>
      <c r="Z158" s="100"/>
      <c r="AA158" s="93">
        <f>IF(D158=DP!$L$15,F158*(1+DP!$N$15),IF(D158=DP!$L$16,F158*(1+DP!$N$16),IF(D158=DP!$L$17,F158*(1+DP!$N$17),IF(D158=DP!$L$18,F158*(1+DP!$N$18),0*1))))</f>
        <v>0</v>
      </c>
      <c r="AB158" s="102">
        <f>IF(D158=DP!$L$22,(DP!$M$22),IF(D158=DP!$L$23,(DP!$M$23),IF(D158=DP!$L$24,(DP!$M$24),IF(D158=DP!$L$25,(DP!$M$25),((0*1))))))</f>
        <v>0</v>
      </c>
      <c r="AC158" s="93">
        <f t="shared" si="151"/>
        <v>0</v>
      </c>
      <c r="AD158" s="93">
        <f>IF(D158=DP!$L$15,F158*(1+DP!$N$15),IF(D158=DP!$L$16,F158*(1+DP!$N$16),IF(D158=DP!$L$17,F158*(1+DP!$N$17),IF(D158=DP!$L$18,F158*(1+DP!$N$18),0*1))))</f>
        <v>0</v>
      </c>
      <c r="AE158" s="102">
        <f>IF(D158=DP!$L$22,(DP!$N$22),IF(D158=DP!$L$23,(DP!$N$23),IF(D158=DP!$L$24,(DP!$N$24),IF(D158=DP!$L$25,(DP!$N$25),((0*1))))))</f>
        <v>0</v>
      </c>
      <c r="AF158" s="93">
        <f t="shared" si="152"/>
        <v>0</v>
      </c>
      <c r="AG158" s="93">
        <f>IF(D158=DP!$L$15,(F158/DP!$K$15)*(1+DP!$N$15),IF(D158=DP!$L$16,(F158/DP!$K$16)*(1+DP!$N$16),IF(D158=DP!$L$17,(F158/DP!$K$17)*(1+DP!$N$17),IF(D158=DP!$L$18,(F158/DP!$K$18)*(1+DP!$N$18),0*1))))</f>
        <v>0</v>
      </c>
      <c r="AH158" s="102">
        <f>IF(D158=DP!$L$22,(DP!$O$22),IF(D158=DP!$L$23,(DP!$O$23),IF(D158=DP!$L$24,(DP!$O$24),IF(D158=DP!$L$25,(DP!$O$25),((0*1))))))</f>
        <v>0</v>
      </c>
      <c r="AI158" s="93">
        <f t="shared" si="153"/>
        <v>0</v>
      </c>
      <c r="AJ158" s="93">
        <f>IF(D158=DP!$L$15,F158*(1+DP!$N$15),IF(D158=DP!$L$16,F158*(1+DP!$N$16),IF(D158=DP!$L$17,F158*(1+DP!$N$17),IF(D158=DP!$L$18,F158*(1+DP!$N$18),0*1))))</f>
        <v>0</v>
      </c>
      <c r="AK158" s="102">
        <f>IF(D158=DP!$L$22,(DP!$P$22),IF(D158=DP!$L$23,(DP!$P$23),IF(D158=DP!$L$24,(DP!$P$24),IF(D158=DP!$L$25,(DP!$P$25),((0*1))))))</f>
        <v>0</v>
      </c>
      <c r="AL158" s="93">
        <f t="shared" si="154"/>
        <v>0</v>
      </c>
      <c r="AM158" s="100"/>
      <c r="AN158" s="149">
        <f t="shared" si="138"/>
        <v>0</v>
      </c>
      <c r="AO158" s="149">
        <f>DP!$N$35*H158</f>
        <v>0</v>
      </c>
      <c r="AP158" s="149">
        <f>DP!$O$35*H158</f>
        <v>0</v>
      </c>
      <c r="AQ158" s="149">
        <f>DP!$P$35*H158</f>
        <v>0</v>
      </c>
      <c r="AV158" s="489">
        <f>DP!AV32</f>
        <v>0</v>
      </c>
      <c r="AW158" s="489">
        <f>DP!AW32</f>
        <v>0</v>
      </c>
      <c r="AX158" s="489">
        <f>DP!AX32</f>
        <v>0</v>
      </c>
      <c r="AY158" s="412">
        <f t="shared" si="155"/>
        <v>0</v>
      </c>
      <c r="AZ158" s="470">
        <f>DP!BC32</f>
        <v>0</v>
      </c>
      <c r="BA158" s="98">
        <f t="shared" si="156"/>
        <v>0</v>
      </c>
      <c r="BB158" s="97"/>
      <c r="BC158" s="102">
        <f t="shared" si="139"/>
        <v>0</v>
      </c>
      <c r="BD158" s="98">
        <f t="shared" si="140"/>
        <v>0</v>
      </c>
      <c r="BE158" s="93">
        <f t="shared" si="141"/>
        <v>0</v>
      </c>
      <c r="BF158" s="99">
        <f t="shared" si="142"/>
        <v>0</v>
      </c>
      <c r="BG158" s="100"/>
      <c r="BH158" s="102">
        <f>IFERROR((BA158*100%)/DP!$AP$29,(0*1))</f>
        <v>0</v>
      </c>
      <c r="BI158" s="102">
        <f>IF(BH158&gt;0,(DP!$AP$31),0*1)</f>
        <v>0</v>
      </c>
      <c r="BJ158" s="435">
        <f t="shared" si="157"/>
        <v>0</v>
      </c>
      <c r="BK158" s="475">
        <f>BA158*DP!$AU$44</f>
        <v>0</v>
      </c>
      <c r="BL158" s="475">
        <f>IF(BA158&gt;0,DP!$AV$44,0*1)</f>
        <v>0</v>
      </c>
      <c r="BM158" s="475">
        <f t="shared" si="158"/>
        <v>0</v>
      </c>
      <c r="BN158" s="102">
        <f>BA158*DP!$AU$45</f>
        <v>0</v>
      </c>
      <c r="BO158" s="102">
        <f>IF(BA158&gt;0,DP!$AV$45,0*1)</f>
        <v>0</v>
      </c>
      <c r="BP158" s="475">
        <f t="shared" si="159"/>
        <v>0</v>
      </c>
      <c r="BQ158" s="100"/>
      <c r="BR158" s="100"/>
      <c r="BS158" s="100"/>
      <c r="BT158" s="93">
        <f>IF(AW158=DP!$AN$15,AY158*(1+DP!$AP$15),IF(AW158=DP!$AN$16,AY158*(1+DP!$AP$16),IF(AW158=DP!$AN$17,AY158*(1+DP!$AP$17),IF(AW158=DP!$AN$18,AY158*(1+DP!$AP$18),0*1))))</f>
        <v>0</v>
      </c>
      <c r="BU158" s="102">
        <f>IF(AW158=DP!$AN$22,(DP!$AO$22),IF(AW158=DP!$AN$23,(DP!$AO$23),IF(AW158=DP!$AN$24,(DP!$AO$24),IF(AW158=DP!$AN$25,(DP!$AO$25),((0*1))))))</f>
        <v>0</v>
      </c>
      <c r="BV158" s="93">
        <f t="shared" si="160"/>
        <v>0</v>
      </c>
      <c r="BW158" s="93">
        <f>IF(AW158=DP!$AN$15,AY158*(1+DP!$AP$15),IF(AW158=DP!$AN$16,AY158*(1+DP!$AP$16),IF(AW158=DP!$AN$17,AY158*(1+DP!$AP$17),IF(AW158=DP!$AN$18,AY158*(1+DP!$AP$18),0*1))))</f>
        <v>0</v>
      </c>
      <c r="BX158" s="102">
        <f>IF(AW158=DP!$AN$22,(DP!$AP$22),IF(AW158=DP!$AN$23,(DP!$AP$23),IF(AW158=DP!$AN$24,(DP!$AP$24),IF(AW158=DP!$AN$25,(DP!$AP$25),((0*1))))))</f>
        <v>0</v>
      </c>
      <c r="BY158" s="93">
        <f t="shared" si="164"/>
        <v>0</v>
      </c>
      <c r="BZ158" s="93">
        <f>IF(AW158=DP!$AN$15,(AY158/DP!$AM$15)*(1+DP!$AP$15),IF(AW158=DP!$AN$16,(AY158/DP!$AM$16)*(1+DP!$AP$16),IF(AW158=DP!$AN$17,(AY158/DP!$AM$17)*(1+DP!$AP$17),IF(AW158=DP!$AN$18,(AY158/DP!$AM$18)*(1+DP!$AP$18),0*1))))</f>
        <v>0</v>
      </c>
      <c r="CA158" s="102">
        <f>IF(AW158=DP!$AN$22,(DP!$AQ$22),IF(AW158=DP!$AN$23,(DP!$AQ$23),IF(AW158=DP!$AN$24,(DP!$AQ$24),IF(AW158=DP!$AN$25,(DP!$AQ$25),((0*1))))))</f>
        <v>0</v>
      </c>
      <c r="CB158" s="93">
        <f t="shared" si="162"/>
        <v>0</v>
      </c>
      <c r="CC158" s="93">
        <f>IF(AW158=DP!$AN$15,AY158*(1+DP!$AP$15),IF(AW158=DP!$AN$16,AY158*(1+DP!$AP$16),IF(AW158=DP!$AN$17,AY158*(1+DP!$AP$17),IF(AW158=DP!$AN$18,AY158*(1+DP!$AP$18),0*1))))</f>
        <v>0</v>
      </c>
      <c r="CD158" s="102">
        <f>IF(AW158=DP!$AN$22,(DP!$AR$22),IF(AW158=DP!$AN$23,(DP!$AR$23),IF(AW158=DP!$AN$24,(DP!$AR$24),IF(AW158=DP!$AN$25,(DP!$AR$25),((0*1))))))</f>
        <v>0</v>
      </c>
      <c r="CE158" s="93">
        <f t="shared" si="163"/>
        <v>0</v>
      </c>
      <c r="CF158" s="100"/>
      <c r="CG158" s="149">
        <f t="shared" si="143"/>
        <v>0</v>
      </c>
      <c r="CH158" s="149">
        <f>DP!$N$35*BA158</f>
        <v>0</v>
      </c>
      <c r="CI158" s="149">
        <f>DP!$O$35*BA158</f>
        <v>0</v>
      </c>
      <c r="CJ158" s="149">
        <f>DP!$P$35*BA158</f>
        <v>0</v>
      </c>
    </row>
    <row r="159" spans="2:88" x14ac:dyDescent="0.35">
      <c r="B159" s="480">
        <f>DP!S33</f>
        <v>0</v>
      </c>
      <c r="C159" s="480">
        <f>DP!T33</f>
        <v>0</v>
      </c>
      <c r="D159" s="480">
        <f>DP!U33</f>
        <v>0</v>
      </c>
      <c r="E159" s="480">
        <f>DP!V33</f>
        <v>0</v>
      </c>
      <c r="F159" s="412">
        <f t="shared" si="144"/>
        <v>0</v>
      </c>
      <c r="G159" s="470">
        <f>DP!AA33</f>
        <v>0</v>
      </c>
      <c r="H159" s="98">
        <f t="shared" si="145"/>
        <v>0</v>
      </c>
      <c r="I159" s="97"/>
      <c r="J159" s="102">
        <f t="shared" si="134"/>
        <v>0</v>
      </c>
      <c r="K159" s="98">
        <f t="shared" si="135"/>
        <v>0</v>
      </c>
      <c r="L159" s="93">
        <f t="shared" si="136"/>
        <v>0</v>
      </c>
      <c r="M159" s="99">
        <f t="shared" si="137"/>
        <v>0</v>
      </c>
      <c r="N159" s="100"/>
      <c r="O159" s="102">
        <f>($E159/DP!$N$29)*F159</f>
        <v>0</v>
      </c>
      <c r="P159" s="102">
        <f>IF(O159&gt;0,(DP!$N$31),0*1)</f>
        <v>0</v>
      </c>
      <c r="Q159" s="102">
        <f t="shared" si="146"/>
        <v>0</v>
      </c>
      <c r="R159" s="102">
        <f t="shared" si="147"/>
        <v>0</v>
      </c>
      <c r="S159" s="418">
        <f t="shared" si="148"/>
        <v>0</v>
      </c>
      <c r="T159" s="475">
        <f>H159*DP!$S$44</f>
        <v>0</v>
      </c>
      <c r="U159" s="475">
        <f>IF(H159&gt;0,DP!$T$44,0*1)</f>
        <v>0</v>
      </c>
      <c r="V159" s="475">
        <f t="shared" si="149"/>
        <v>0</v>
      </c>
      <c r="W159" s="475">
        <f>H159*DP!$S$45</f>
        <v>0</v>
      </c>
      <c r="X159" s="475">
        <f>IF(H159&gt;0,DP!$T$45,0*1)</f>
        <v>0</v>
      </c>
      <c r="Y159" s="475">
        <f t="shared" si="150"/>
        <v>0</v>
      </c>
      <c r="Z159" s="100"/>
      <c r="AA159" s="93">
        <f>IF(D159=DP!$L$15,F159*(1+DP!$N$15),IF(D159=DP!$L$16,F159*(1+DP!$N$16),IF(D159=DP!$L$17,F159*(1+DP!$N$17),IF(D159=DP!$L$18,F159*(1+DP!$N$18),0*1))))</f>
        <v>0</v>
      </c>
      <c r="AB159" s="102">
        <f>IF(D159=DP!$L$22,(DP!$M$22),IF(D159=DP!$L$23,(DP!$M$23),IF(D159=DP!$L$24,(DP!$M$24),IF(D159=DP!$L$25,(DP!$M$25),((0*1))))))</f>
        <v>0</v>
      </c>
      <c r="AC159" s="93">
        <f t="shared" si="151"/>
        <v>0</v>
      </c>
      <c r="AD159" s="93">
        <f>IF(D159=DP!$L$15,F159*(1+DP!$N$15),IF(D159=DP!$L$16,F159*(1+DP!$N$16),IF(D159=DP!$L$17,F159*(1+DP!$N$17),IF(D159=DP!$L$18,F159*(1+DP!$N$18),0*1))))</f>
        <v>0</v>
      </c>
      <c r="AE159" s="102">
        <f>IF(D159=DP!$L$22,(DP!$N$22),IF(D159=DP!$L$23,(DP!$N$23),IF(D159=DP!$L$24,(DP!$N$24),IF(D159=DP!$L$25,(DP!$N$25),((0*1))))))</f>
        <v>0</v>
      </c>
      <c r="AF159" s="93">
        <f t="shared" si="152"/>
        <v>0</v>
      </c>
      <c r="AG159" s="93">
        <f>IF(D159=DP!$L$15,(F159/DP!$K$15)*(1+DP!$N$15),IF(D159=DP!$L$16,(F159/DP!$K$16)*(1+DP!$N$16),IF(D159=DP!$L$17,(F159/DP!$K$17)*(1+DP!$N$17),IF(D159=DP!$L$18,(F159/DP!$K$18)*(1+DP!$N$18),0*1))))</f>
        <v>0</v>
      </c>
      <c r="AH159" s="102">
        <f>IF(D159=DP!$L$22,(DP!$O$22),IF(D159=DP!$L$23,(DP!$O$23),IF(D159=DP!$L$24,(DP!$O$24),IF(D159=DP!$L$25,(DP!$O$25),((0*1))))))</f>
        <v>0</v>
      </c>
      <c r="AI159" s="93">
        <f t="shared" si="153"/>
        <v>0</v>
      </c>
      <c r="AJ159" s="93">
        <f>IF(D159=DP!$L$15,F159*(1+DP!$N$15),IF(D159=DP!$L$16,F159*(1+DP!$N$16),IF(D159=DP!$L$17,F159*(1+DP!$N$17),IF(D159=DP!$L$18,F159*(1+DP!$N$18),0*1))))</f>
        <v>0</v>
      </c>
      <c r="AK159" s="102">
        <f>IF(D159=DP!$L$22,(DP!$P$22),IF(D159=DP!$L$23,(DP!$P$23),IF(D159=DP!$L$24,(DP!$P$24),IF(D159=DP!$L$25,(DP!$P$25),((0*1))))))</f>
        <v>0</v>
      </c>
      <c r="AL159" s="93">
        <f t="shared" si="154"/>
        <v>0</v>
      </c>
      <c r="AM159" s="100"/>
      <c r="AN159" s="149">
        <f t="shared" si="138"/>
        <v>0</v>
      </c>
      <c r="AO159" s="149">
        <f>DP!$N$35*H159</f>
        <v>0</v>
      </c>
      <c r="AP159" s="149">
        <f>DP!$O$35*H159</f>
        <v>0</v>
      </c>
      <c r="AQ159" s="149">
        <f>DP!$P$35*H159</f>
        <v>0</v>
      </c>
      <c r="AV159" s="489">
        <f>DP!AV33</f>
        <v>0</v>
      </c>
      <c r="AW159" s="489">
        <f>DP!AW33</f>
        <v>0</v>
      </c>
      <c r="AX159" s="489">
        <f>DP!AX33</f>
        <v>0</v>
      </c>
      <c r="AY159" s="412">
        <f t="shared" si="155"/>
        <v>0</v>
      </c>
      <c r="AZ159" s="470">
        <f>DP!BC33</f>
        <v>0</v>
      </c>
      <c r="BA159" s="98">
        <f t="shared" si="156"/>
        <v>0</v>
      </c>
      <c r="BB159" s="97"/>
      <c r="BC159" s="102">
        <f t="shared" si="139"/>
        <v>0</v>
      </c>
      <c r="BD159" s="98">
        <f t="shared" si="140"/>
        <v>0</v>
      </c>
      <c r="BE159" s="93">
        <f t="shared" si="141"/>
        <v>0</v>
      </c>
      <c r="BF159" s="99">
        <f t="shared" si="142"/>
        <v>0</v>
      </c>
      <c r="BG159" s="100"/>
      <c r="BH159" s="102">
        <f>IFERROR((BA159*100%)/DP!$AP$29,(0*1))</f>
        <v>0</v>
      </c>
      <c r="BI159" s="102">
        <f>IF(BH159&gt;0,(DP!$AP$31),0*1)</f>
        <v>0</v>
      </c>
      <c r="BJ159" s="435">
        <f t="shared" si="157"/>
        <v>0</v>
      </c>
      <c r="BK159" s="475">
        <f>BA159*DP!$AU$44</f>
        <v>0</v>
      </c>
      <c r="BL159" s="475">
        <f>IF(BA159&gt;0,DP!$AV$44,0*1)</f>
        <v>0</v>
      </c>
      <c r="BM159" s="475">
        <f t="shared" si="158"/>
        <v>0</v>
      </c>
      <c r="BN159" s="102">
        <f>BA159*DP!$AU$45</f>
        <v>0</v>
      </c>
      <c r="BO159" s="102">
        <f>IF(BA159&gt;0,DP!$AV$45,0*1)</f>
        <v>0</v>
      </c>
      <c r="BP159" s="475">
        <f t="shared" si="159"/>
        <v>0</v>
      </c>
      <c r="BQ159" s="100"/>
      <c r="BR159" s="100"/>
      <c r="BS159" s="100"/>
      <c r="BT159" s="93">
        <f>IF(AW159=DP!$AN$15,AY159*(1+DP!$AP$15),IF(AW159=DP!$AN$16,AY159*(1+DP!$AP$16),IF(AW159=DP!$AN$17,AY159*(1+DP!$AP$17),IF(AW159=DP!$AN$18,AY159*(1+DP!$AP$18),0*1))))</f>
        <v>0</v>
      </c>
      <c r="BU159" s="102">
        <f>IF(AW159=DP!$AN$22,(DP!$AO$22),IF(AW159=DP!$AN$23,(DP!$AO$23),IF(AW159=DP!$AN$24,(DP!$AO$24),IF(AW159=DP!$AN$25,(DP!$AO$25),((0*1))))))</f>
        <v>0</v>
      </c>
      <c r="BV159" s="93">
        <f t="shared" si="160"/>
        <v>0</v>
      </c>
      <c r="BW159" s="93">
        <f>IF(AW159=DP!$AN$15,AY159*(1+DP!$AP$15),IF(AW159=DP!$AN$16,AY159*(1+DP!$AP$16),IF(AW159=DP!$AN$17,AY159*(1+DP!$AP$17),IF(AW159=DP!$AN$18,AY159*(1+DP!$AP$18),0*1))))</f>
        <v>0</v>
      </c>
      <c r="BX159" s="102">
        <f>IF(AW159=DP!$AN$22,(DP!$AP$22),IF(AW159=DP!$AN$23,(DP!$AP$23),IF(AW159=DP!$AN$24,(DP!$AP$24),IF(AW159=DP!$AN$25,(DP!$AP$25),((0*1))))))</f>
        <v>0</v>
      </c>
      <c r="BY159" s="93">
        <f t="shared" si="164"/>
        <v>0</v>
      </c>
      <c r="BZ159" s="93">
        <f>IF(AW159=DP!$AN$15,(AY159/DP!$AM$15)*(1+DP!$AP$15),IF(AW159=DP!$AN$16,(AY159/DP!$AM$16)*(1+DP!$AP$16),IF(AW159=DP!$AN$17,(AY159/DP!$AM$17)*(1+DP!$AP$17),IF(AW159=DP!$AN$18,(AY159/DP!$AM$18)*(1+DP!$AP$18),0*1))))</f>
        <v>0</v>
      </c>
      <c r="CA159" s="102">
        <f>IF(AW159=DP!$AN$22,(DP!$AQ$22),IF(AW159=DP!$AN$23,(DP!$AQ$23),IF(AW159=DP!$AN$24,(DP!$AQ$24),IF(AW159=DP!$AN$25,(DP!$AQ$25),((0*1))))))</f>
        <v>0</v>
      </c>
      <c r="CB159" s="93">
        <f t="shared" si="162"/>
        <v>0</v>
      </c>
      <c r="CC159" s="93">
        <f>IF(AW159=DP!$AN$15,AY159*(1+DP!$AP$15),IF(AW159=DP!$AN$16,AY159*(1+DP!$AP$16),IF(AW159=DP!$AN$17,AY159*(1+DP!$AP$17),IF(AW159=DP!$AN$18,AY159*(1+DP!$AP$18),0*1))))</f>
        <v>0</v>
      </c>
      <c r="CD159" s="102">
        <f>IF(AW159=DP!$AN$22,(DP!$AR$22),IF(AW159=DP!$AN$23,(DP!$AR$23),IF(AW159=DP!$AN$24,(DP!$AR$24),IF(AW159=DP!$AN$25,(DP!$AR$25),((0*1))))))</f>
        <v>0</v>
      </c>
      <c r="CE159" s="93">
        <f t="shared" si="163"/>
        <v>0</v>
      </c>
      <c r="CF159" s="100"/>
      <c r="CG159" s="149">
        <f t="shared" si="143"/>
        <v>0</v>
      </c>
      <c r="CH159" s="149">
        <f>DP!$N$35*BA159</f>
        <v>0</v>
      </c>
      <c r="CI159" s="149">
        <f>DP!$O$35*BA159</f>
        <v>0</v>
      </c>
      <c r="CJ159" s="149">
        <f>DP!$P$35*BA159</f>
        <v>0</v>
      </c>
    </row>
    <row r="160" spans="2:88" x14ac:dyDescent="0.35">
      <c r="B160" s="480">
        <f>DP!S34</f>
        <v>0</v>
      </c>
      <c r="C160" s="480">
        <f>DP!T34</f>
        <v>0</v>
      </c>
      <c r="D160" s="480">
        <f>DP!U34</f>
        <v>0</v>
      </c>
      <c r="E160" s="480">
        <f>DP!V34</f>
        <v>0</v>
      </c>
      <c r="F160" s="412">
        <f t="shared" si="144"/>
        <v>0</v>
      </c>
      <c r="G160" s="470">
        <f>DP!AA34</f>
        <v>0</v>
      </c>
      <c r="H160" s="98">
        <f t="shared" si="145"/>
        <v>0</v>
      </c>
      <c r="I160" s="97"/>
      <c r="J160" s="102">
        <f t="shared" si="134"/>
        <v>0</v>
      </c>
      <c r="K160" s="98">
        <f t="shared" si="135"/>
        <v>0</v>
      </c>
      <c r="L160" s="93">
        <f t="shared" si="136"/>
        <v>0</v>
      </c>
      <c r="M160" s="99">
        <f t="shared" si="137"/>
        <v>0</v>
      </c>
      <c r="N160" s="100"/>
      <c r="O160" s="102">
        <f>($E160/DP!$N$29)*F160</f>
        <v>0</v>
      </c>
      <c r="P160" s="102">
        <f>IF(O160&gt;0,(DP!$N$31),0*1)</f>
        <v>0</v>
      </c>
      <c r="Q160" s="102">
        <f t="shared" si="146"/>
        <v>0</v>
      </c>
      <c r="R160" s="102">
        <f t="shared" si="147"/>
        <v>0</v>
      </c>
      <c r="S160" s="418">
        <f t="shared" si="148"/>
        <v>0</v>
      </c>
      <c r="T160" s="475">
        <f>H160*DP!$S$44</f>
        <v>0</v>
      </c>
      <c r="U160" s="475">
        <f>IF(H160&gt;0,DP!$T$44,0*1)</f>
        <v>0</v>
      </c>
      <c r="V160" s="475">
        <f t="shared" si="149"/>
        <v>0</v>
      </c>
      <c r="W160" s="475">
        <f>H160*DP!$S$45</f>
        <v>0</v>
      </c>
      <c r="X160" s="475">
        <f>IF(H160&gt;0,DP!$T$45,0*1)</f>
        <v>0</v>
      </c>
      <c r="Y160" s="475">
        <f t="shared" si="150"/>
        <v>0</v>
      </c>
      <c r="Z160" s="100"/>
      <c r="AA160" s="93">
        <f>IF(D160=DP!$L$15,F160*(1+DP!$N$15),IF(D160=DP!$L$16,F160*(1+DP!$N$16),IF(D160=DP!$L$17,F160*(1+DP!$N$17),IF(D160=DP!$L$18,F160*(1+DP!$N$18),0*1))))</f>
        <v>0</v>
      </c>
      <c r="AB160" s="102">
        <f>IF(D160=DP!$L$22,(DP!$M$22),IF(D160=DP!$L$23,(DP!$M$23),IF(D160=DP!$L$24,(DP!$M$24),IF(D160=DP!$L$25,(DP!$M$25),((0*1))))))</f>
        <v>0</v>
      </c>
      <c r="AC160" s="93">
        <f t="shared" si="151"/>
        <v>0</v>
      </c>
      <c r="AD160" s="93">
        <f>IF(D160=DP!$L$15,F160*(1+DP!$N$15),IF(D160=DP!$L$16,F160*(1+DP!$N$16),IF(D160=DP!$L$17,F160*(1+DP!$N$17),IF(D160=DP!$L$18,F160*(1+DP!$N$18),0*1))))</f>
        <v>0</v>
      </c>
      <c r="AE160" s="102">
        <f>IF(D160=DP!$L$22,(DP!$N$22),IF(D160=DP!$L$23,(DP!$N$23),IF(D160=DP!$L$24,(DP!$N$24),IF(D160=DP!$L$25,(DP!$N$25),((0*1))))))</f>
        <v>0</v>
      </c>
      <c r="AF160" s="93">
        <f t="shared" si="152"/>
        <v>0</v>
      </c>
      <c r="AG160" s="93">
        <f>IF(D160=DP!$L$15,(F160/DP!$K$15)*(1+DP!$N$15),IF(D160=DP!$L$16,(F160/DP!$K$16)*(1+DP!$N$16),IF(D160=DP!$L$17,(F160/DP!$K$17)*(1+DP!$N$17),IF(D160=DP!$L$18,(F160/DP!$K$18)*(1+DP!$N$18),0*1))))</f>
        <v>0</v>
      </c>
      <c r="AH160" s="102">
        <f>IF(D160=DP!$L$22,(DP!$O$22),IF(D160=DP!$L$23,(DP!$O$23),IF(D160=DP!$L$24,(DP!$O$24),IF(D160=DP!$L$25,(DP!$O$25),((0*1))))))</f>
        <v>0</v>
      </c>
      <c r="AI160" s="93">
        <f t="shared" si="153"/>
        <v>0</v>
      </c>
      <c r="AJ160" s="93">
        <f>IF(D160=DP!$L$15,F160*(1+DP!$N$15),IF(D160=DP!$L$16,F160*(1+DP!$N$16),IF(D160=DP!$L$17,F160*(1+DP!$N$17),IF(D160=DP!$L$18,F160*(1+DP!$N$18),0*1))))</f>
        <v>0</v>
      </c>
      <c r="AK160" s="102">
        <f>IF(D160=DP!$L$22,(DP!$P$22),IF(D160=DP!$L$23,(DP!$P$23),IF(D160=DP!$L$24,(DP!$P$24),IF(D160=DP!$L$25,(DP!$P$25),((0*1))))))</f>
        <v>0</v>
      </c>
      <c r="AL160" s="93">
        <f t="shared" si="154"/>
        <v>0</v>
      </c>
      <c r="AM160" s="100"/>
      <c r="AN160" s="149">
        <f t="shared" si="138"/>
        <v>0</v>
      </c>
      <c r="AO160" s="149">
        <f>DP!$N$35*H160</f>
        <v>0</v>
      </c>
      <c r="AP160" s="149">
        <f>DP!$O$35*H160</f>
        <v>0</v>
      </c>
      <c r="AQ160" s="149">
        <f>DP!$P$35*H160</f>
        <v>0</v>
      </c>
      <c r="AV160" s="489">
        <f>DP!AV34</f>
        <v>0</v>
      </c>
      <c r="AW160" s="489">
        <f>DP!AW34</f>
        <v>0</v>
      </c>
      <c r="AX160" s="489">
        <f>DP!AX34</f>
        <v>0</v>
      </c>
      <c r="AY160" s="412">
        <f t="shared" si="155"/>
        <v>0</v>
      </c>
      <c r="AZ160" s="470">
        <f>DP!BC34</f>
        <v>0</v>
      </c>
      <c r="BA160" s="98">
        <f t="shared" si="156"/>
        <v>0</v>
      </c>
      <c r="BB160" s="97"/>
      <c r="BC160" s="102">
        <f t="shared" si="139"/>
        <v>0</v>
      </c>
      <c r="BD160" s="98">
        <f t="shared" si="140"/>
        <v>0</v>
      </c>
      <c r="BE160" s="93">
        <f t="shared" si="141"/>
        <v>0</v>
      </c>
      <c r="BF160" s="99">
        <f t="shared" si="142"/>
        <v>0</v>
      </c>
      <c r="BG160" s="100"/>
      <c r="BH160" s="102">
        <f>IFERROR((BA160*100%)/DP!$AP$29,(0*1))</f>
        <v>0</v>
      </c>
      <c r="BI160" s="102">
        <f>IF(BH160&gt;0,(DP!$AP$31),0*1)</f>
        <v>0</v>
      </c>
      <c r="BJ160" s="435">
        <f>BH160*BI160</f>
        <v>0</v>
      </c>
      <c r="BK160" s="475">
        <f>BA160*DP!$AU$44</f>
        <v>0</v>
      </c>
      <c r="BL160" s="475">
        <f>IF(BA160&gt;0,DP!$AV$44,0*1)</f>
        <v>0</v>
      </c>
      <c r="BM160" s="475">
        <f t="shared" si="158"/>
        <v>0</v>
      </c>
      <c r="BN160" s="102">
        <f>BA160*DP!$AU$45</f>
        <v>0</v>
      </c>
      <c r="BO160" s="102">
        <f>IF(BA160&gt;0,DP!$AV$45,0*1)</f>
        <v>0</v>
      </c>
      <c r="BP160" s="475">
        <f t="shared" si="159"/>
        <v>0</v>
      </c>
      <c r="BQ160" s="100"/>
      <c r="BR160" s="100"/>
      <c r="BS160" s="100"/>
      <c r="BT160" s="93">
        <f>IF(AW160=DP!$AN$15,AY160*(1+DP!$AP$15),IF(AW160=DP!$AN$16,AY160*(1+DP!$AP$16),IF(AW160=DP!$AN$17,AY160*(1+DP!$AP$17),IF(AW160=DP!$AN$18,AY160*(1+DP!$AP$18),0*1))))</f>
        <v>0</v>
      </c>
      <c r="BU160" s="102">
        <f>IF(AW160=DP!$AN$22,(DP!$AO$22),IF(AW160=DP!$AN$23,(DP!$AO$23),IF(AW160=DP!$AN$24,(DP!$AO$24),IF(AW160=DP!$AN$25,(DP!$AO$25),((0*1))))))</f>
        <v>0</v>
      </c>
      <c r="BV160" s="93">
        <f t="shared" si="160"/>
        <v>0</v>
      </c>
      <c r="BW160" s="93">
        <f>IF(AW160=DP!$AN$15,AY160*(1+DP!$AP$15),IF(AW160=DP!$AN$16,AY160*(1+DP!$AP$16),IF(AW160=DP!$AN$17,AY160*(1+DP!$AP$17),IF(AW160=DP!$AN$18,AY160*(1+DP!$AP$18),0*1))))</f>
        <v>0</v>
      </c>
      <c r="BX160" s="102">
        <f>IF(AW160=DP!$AN$22,(DP!$AP$22),IF(AW160=DP!$AN$23,(DP!$AP$23),IF(AW160=DP!$AN$24,(DP!$AP$24),IF(AW160=DP!$AN$25,(DP!$AP$25),((0*1))))))</f>
        <v>0</v>
      </c>
      <c r="BY160" s="93">
        <f t="shared" si="164"/>
        <v>0</v>
      </c>
      <c r="BZ160" s="93">
        <f>IF(AW160=DP!$AN$15,(AY160/DP!$AM$15)*(1+DP!$AP$15),IF(AW160=DP!$AN$16,(AY160/DP!$AM$16)*(1+DP!$AP$16),IF(AW160=DP!$AN$17,(AY160/DP!$AM$17)*(1+DP!$AP$17),IF(AW160=DP!$AN$18,(AY160/DP!$AM$18)*(1+DP!$AP$18),0*1))))</f>
        <v>0</v>
      </c>
      <c r="CA160" s="102">
        <f>IF(AW160=DP!$AN$22,(DP!$AQ$22),IF(AW160=DP!$AN$23,(DP!$AQ$23),IF(AW160=DP!$AN$24,(DP!$AQ$24),IF(AW160=DP!$AN$25,(DP!$AQ$25),((0*1))))))</f>
        <v>0</v>
      </c>
      <c r="CB160" s="93">
        <f t="shared" si="162"/>
        <v>0</v>
      </c>
      <c r="CC160" s="93">
        <f>IF(AW160=DP!$AN$15,AY160*(1+DP!$AP$15),IF(AW160=DP!$AN$16,AY160*(1+DP!$AP$16),IF(AW160=DP!$AN$17,AY160*(1+DP!$AP$17),IF(AW160=DP!$AN$18,AY160*(1+DP!$AP$18),0*1))))</f>
        <v>0</v>
      </c>
      <c r="CD160" s="102">
        <f>IF(AW160=DP!$AN$22,(DP!$AR$22),IF(AW160=DP!$AN$23,(DP!$AR$23),IF(AW160=DP!$AN$24,(DP!$AR$24),IF(AW160=DP!$AN$25,(DP!$AR$25),((0*1))))))</f>
        <v>0</v>
      </c>
      <c r="CE160" s="93">
        <f t="shared" si="163"/>
        <v>0</v>
      </c>
      <c r="CF160" s="100"/>
      <c r="CG160" s="149">
        <f t="shared" si="143"/>
        <v>0</v>
      </c>
      <c r="CH160" s="149">
        <f>DP!$N$35*BA160</f>
        <v>0</v>
      </c>
      <c r="CI160" s="149">
        <f>DP!$O$35*BA160</f>
        <v>0</v>
      </c>
      <c r="CJ160" s="149">
        <f>DP!$P$35*BA160</f>
        <v>0</v>
      </c>
    </row>
    <row r="161" spans="2:88" x14ac:dyDescent="0.35">
      <c r="B161" s="480">
        <f>DP!S35</f>
        <v>0</v>
      </c>
      <c r="C161" s="480">
        <f>DP!T35</f>
        <v>0</v>
      </c>
      <c r="D161" s="480">
        <f>DP!U35</f>
        <v>0</v>
      </c>
      <c r="E161" s="480">
        <f>DP!V35</f>
        <v>0</v>
      </c>
      <c r="F161" s="412">
        <f t="shared" si="144"/>
        <v>0</v>
      </c>
      <c r="G161" s="470">
        <f>DP!AA35</f>
        <v>0</v>
      </c>
      <c r="H161" s="98">
        <f t="shared" si="145"/>
        <v>0</v>
      </c>
      <c r="I161" s="97"/>
      <c r="J161" s="102">
        <f t="shared" si="134"/>
        <v>0</v>
      </c>
      <c r="K161" s="98">
        <f t="shared" si="135"/>
        <v>0</v>
      </c>
      <c r="L161" s="93">
        <f t="shared" si="136"/>
        <v>0</v>
      </c>
      <c r="M161" s="99">
        <f t="shared" si="137"/>
        <v>0</v>
      </c>
      <c r="N161" s="100"/>
      <c r="O161" s="102">
        <f>($E161/DP!$N$29)*F161</f>
        <v>0</v>
      </c>
      <c r="P161" s="102">
        <f>IF(O161&gt;0,(DP!$N$31),0*1)</f>
        <v>0</v>
      </c>
      <c r="Q161" s="102">
        <f t="shared" si="146"/>
        <v>0</v>
      </c>
      <c r="R161" s="102">
        <f t="shared" si="147"/>
        <v>0</v>
      </c>
      <c r="S161" s="418">
        <f t="shared" si="148"/>
        <v>0</v>
      </c>
      <c r="T161" s="475">
        <f>H161*DP!$S$44</f>
        <v>0</v>
      </c>
      <c r="U161" s="475">
        <f>IF(H161&gt;0,DP!$T$44,0*1)</f>
        <v>0</v>
      </c>
      <c r="V161" s="475">
        <f t="shared" si="149"/>
        <v>0</v>
      </c>
      <c r="W161" s="475">
        <f>H161*DP!$S$45</f>
        <v>0</v>
      </c>
      <c r="X161" s="475">
        <f>IF(H161&gt;0,DP!$T$45,0*1)</f>
        <v>0</v>
      </c>
      <c r="Y161" s="475">
        <f t="shared" si="150"/>
        <v>0</v>
      </c>
      <c r="Z161" s="100"/>
      <c r="AA161" s="93">
        <f>IF(D161=DP!$L$15,F161*(1+DP!$N$15),IF(D161=DP!$L$16,F161*(1+DP!$N$16),IF(D161=DP!$L$17,F161*(1+DP!$N$17),IF(D161=DP!$L$18,F161*(1+DP!$N$18),0*1))))</f>
        <v>0</v>
      </c>
      <c r="AB161" s="102">
        <f>IF(D161=DP!$L$22,(DP!$M$22),IF(D161=DP!$L$23,(DP!$M$23),IF(D161=DP!$L$24,(DP!$M$24),IF(D161=DP!$L$25,(DP!$M$25),((0*1))))))</f>
        <v>0</v>
      </c>
      <c r="AC161" s="93">
        <f t="shared" si="151"/>
        <v>0</v>
      </c>
      <c r="AD161" s="93">
        <f>IF(D161=DP!$L$15,F161*(1+DP!$N$15),IF(D161=DP!$L$16,F161*(1+DP!$N$16),IF(D161=DP!$L$17,F161*(1+DP!$N$17),IF(D161=DP!$L$18,F161*(1+DP!$N$18),0*1))))</f>
        <v>0</v>
      </c>
      <c r="AE161" s="102">
        <f>IF(D161=DP!$L$22,(DP!$N$22),IF(D161=DP!$L$23,(DP!$N$23),IF(D161=DP!$L$24,(DP!$N$24),IF(D161=DP!$L$25,(DP!$N$25),((0*1))))))</f>
        <v>0</v>
      </c>
      <c r="AF161" s="93">
        <f t="shared" si="152"/>
        <v>0</v>
      </c>
      <c r="AG161" s="93">
        <f>IF(D161=DP!$L$15,(F161/DP!$K$15)*(1+DP!$N$15),IF(D161=DP!$L$16,(F161/DP!$K$16)*(1+DP!$N$16),IF(D161=DP!$L$17,(F161/DP!$K$17)*(1+DP!$N$17),IF(D161=DP!$L$18,(F161/DP!$K$18)*(1+DP!$N$18),0*1))))</f>
        <v>0</v>
      </c>
      <c r="AH161" s="102">
        <f>IF(D161=DP!$L$22,(DP!$O$22),IF(D161=DP!$L$23,(DP!$O$23),IF(D161=DP!$L$24,(DP!$O$24),IF(D161=DP!$L$25,(DP!$O$25),((0*1))))))</f>
        <v>0</v>
      </c>
      <c r="AI161" s="93">
        <f t="shared" si="153"/>
        <v>0</v>
      </c>
      <c r="AJ161" s="93">
        <f>IF(D161=DP!$L$15,F161*(1+DP!$N$15),IF(D161=DP!$L$16,F161*(1+DP!$N$16),IF(D161=DP!$L$17,F161*(1+DP!$N$17),IF(D161=DP!$L$18,F161*(1+DP!$N$18),0*1))))</f>
        <v>0</v>
      </c>
      <c r="AK161" s="102">
        <f>IF(D161=DP!$L$22,(DP!$P$22),IF(D161=DP!$L$23,(DP!$P$23),IF(D161=DP!$L$24,(DP!$P$24),IF(D161=DP!$L$25,(DP!$P$25),((0*1))))))</f>
        <v>0</v>
      </c>
      <c r="AL161" s="93">
        <f t="shared" si="154"/>
        <v>0</v>
      </c>
      <c r="AM161" s="100"/>
      <c r="AN161" s="149">
        <f t="shared" si="138"/>
        <v>0</v>
      </c>
      <c r="AO161" s="149">
        <f>DP!$N$35*H161</f>
        <v>0</v>
      </c>
      <c r="AP161" s="149">
        <f>DP!$O$35*H161</f>
        <v>0</v>
      </c>
      <c r="AQ161" s="149">
        <f>DP!$P$35*H161</f>
        <v>0</v>
      </c>
      <c r="AV161" s="489">
        <f>DP!AV35</f>
        <v>0</v>
      </c>
      <c r="AW161" s="489">
        <f>DP!AW35</f>
        <v>0</v>
      </c>
      <c r="AX161" s="489">
        <f>DP!AX35</f>
        <v>0</v>
      </c>
      <c r="AY161" s="412">
        <f t="shared" si="155"/>
        <v>0</v>
      </c>
      <c r="AZ161" s="470">
        <f>DP!BC35</f>
        <v>0</v>
      </c>
      <c r="BA161" s="98">
        <f t="shared" si="156"/>
        <v>0</v>
      </c>
      <c r="BB161" s="97"/>
      <c r="BC161" s="102">
        <f t="shared" si="139"/>
        <v>0</v>
      </c>
      <c r="BD161" s="98">
        <f t="shared" si="140"/>
        <v>0</v>
      </c>
      <c r="BE161" s="93">
        <f t="shared" si="141"/>
        <v>0</v>
      </c>
      <c r="BF161" s="99">
        <f t="shared" si="142"/>
        <v>0</v>
      </c>
      <c r="BG161" s="100"/>
      <c r="BH161" s="102">
        <f>IFERROR((BA161*100%)/DP!$AP$29,(0*1))</f>
        <v>0</v>
      </c>
      <c r="BI161" s="102">
        <f>IF(BH161&gt;0,(DP!$AP$31),0*1)</f>
        <v>0</v>
      </c>
      <c r="BJ161" s="435">
        <f t="shared" ref="BJ161:BJ162" si="165">BH161*BI161</f>
        <v>0</v>
      </c>
      <c r="BK161" s="475">
        <f>BA161*DP!$AU$44</f>
        <v>0</v>
      </c>
      <c r="BL161" s="475">
        <f>IF(BA161&gt;0,DP!$AV$44,0*1)</f>
        <v>0</v>
      </c>
      <c r="BM161" s="475">
        <f t="shared" si="158"/>
        <v>0</v>
      </c>
      <c r="BN161" s="102">
        <f>BA161*DP!$AU$45</f>
        <v>0</v>
      </c>
      <c r="BO161" s="102">
        <f>IF(BA161&gt;0,DP!$AV$45,0*1)</f>
        <v>0</v>
      </c>
      <c r="BP161" s="475">
        <f t="shared" si="159"/>
        <v>0</v>
      </c>
      <c r="BQ161" s="100"/>
      <c r="BR161" s="100"/>
      <c r="BS161" s="100"/>
      <c r="BT161" s="93">
        <f>IF(AW161=DP!$AN$15,AY161*(1+DP!$AP$15),IF(AW161=DP!$AN$16,AY161*(1+DP!$AP$16),IF(AW161=DP!$AN$17,AY161*(1+DP!$AP$17),IF(AW161=DP!$AN$18,AY161*(1+DP!$AP$18),0*1))))</f>
        <v>0</v>
      </c>
      <c r="BU161" s="102">
        <f>IF(AW161=DP!$AN$22,(DP!$AO$22),IF(AW161=DP!$AN$23,(DP!$AO$23),IF(AW161=DP!$AN$24,(DP!$AO$24),IF(AW161=DP!$AN$25,(DP!$AO$25),((0*1))))))</f>
        <v>0</v>
      </c>
      <c r="BV161" s="93">
        <f t="shared" si="160"/>
        <v>0</v>
      </c>
      <c r="BW161" s="93">
        <f>IF(AW161=DP!$AN$15,AY161*(1+DP!$AP$15),IF(AW161=DP!$AN$16,AY161*(1+DP!$AP$16),IF(AW161=DP!$AN$17,AY161*(1+DP!$AP$17),IF(AW161=DP!$AN$18,AY161*(1+DP!$AP$18),0*1))))</f>
        <v>0</v>
      </c>
      <c r="BX161" s="102">
        <f>IF(AW161=DP!$AN$22,(DP!$AP$22),IF(AW161=DP!$AN$23,(DP!$AP$23),IF(AW161=DP!$AN$24,(DP!$AP$24),IF(AW161=DP!$AN$25,(DP!$AP$25),((0*1))))))</f>
        <v>0</v>
      </c>
      <c r="BY161" s="93">
        <f t="shared" si="164"/>
        <v>0</v>
      </c>
      <c r="BZ161" s="93">
        <f>IF(AW161=DP!$AN$15,(AY161/DP!$AM$15)*(1+DP!$AP$15),IF(AW161=DP!$AN$16,(AY161/DP!$AM$16)*(1+DP!$AP$16),IF(AW161=DP!$AN$17,(AY161/DP!$AM$17)*(1+DP!$AP$17),IF(AW161=DP!$AN$18,(AY161/DP!$AM$18)*(1+DP!$AP$18),0*1))))</f>
        <v>0</v>
      </c>
      <c r="CA161" s="102">
        <f>IF(AW161=DP!$AN$22,(DP!$AQ$22),IF(AW161=DP!$AN$23,(DP!$AQ$23),IF(AW161=DP!$AN$24,(DP!$AQ$24),IF(AW161=DP!$AN$25,(DP!$AQ$25),((0*1))))))</f>
        <v>0</v>
      </c>
      <c r="CB161" s="93">
        <f t="shared" si="162"/>
        <v>0</v>
      </c>
      <c r="CC161" s="93">
        <f>IF(AW161=DP!$AN$15,AY161*(1+DP!$AP$15),IF(AW161=DP!$AN$16,AY161*(1+DP!$AP$16),IF(AW161=DP!$AN$17,AY161*(1+DP!$AP$17),IF(AW161=DP!$AN$18,AY161*(1+DP!$AP$18),0*1))))</f>
        <v>0</v>
      </c>
      <c r="CD161" s="102">
        <f>IF(AW161=DP!$AN$22,(DP!$AR$22),IF(AW161=DP!$AN$23,(DP!$AR$23),IF(AW161=DP!$AN$24,(DP!$AR$24),IF(AW161=DP!$AN$25,(DP!$AR$25),((0*1))))))</f>
        <v>0</v>
      </c>
      <c r="CE161" s="93">
        <f t="shared" si="163"/>
        <v>0</v>
      </c>
      <c r="CF161" s="100"/>
      <c r="CG161" s="149">
        <f t="shared" si="143"/>
        <v>0</v>
      </c>
      <c r="CH161" s="149">
        <f>DP!$N$35*BA161</f>
        <v>0</v>
      </c>
      <c r="CI161" s="149">
        <f>DP!$O$35*BA161</f>
        <v>0</v>
      </c>
      <c r="CJ161" s="149">
        <f>DP!$P$35*BA161</f>
        <v>0</v>
      </c>
    </row>
    <row r="162" spans="2:88" ht="16" thickBot="1" x14ac:dyDescent="0.4">
      <c r="B162" s="480">
        <f>DP!S36</f>
        <v>0</v>
      </c>
      <c r="C162" s="480">
        <f>DP!T36</f>
        <v>0</v>
      </c>
      <c r="D162" s="480">
        <f>DP!U36</f>
        <v>0</v>
      </c>
      <c r="E162" s="480">
        <f>DP!V36</f>
        <v>0</v>
      </c>
      <c r="F162" s="412">
        <f t="shared" si="144"/>
        <v>0</v>
      </c>
      <c r="G162" s="470">
        <f>DP!AA36</f>
        <v>0</v>
      </c>
      <c r="H162" s="98">
        <f t="shared" si="145"/>
        <v>0</v>
      </c>
      <c r="I162" s="97"/>
      <c r="J162" s="102">
        <f t="shared" si="134"/>
        <v>0</v>
      </c>
      <c r="K162" s="98">
        <f t="shared" si="135"/>
        <v>0</v>
      </c>
      <c r="L162" s="93">
        <f t="shared" si="136"/>
        <v>0</v>
      </c>
      <c r="M162" s="99">
        <f t="shared" si="137"/>
        <v>0</v>
      </c>
      <c r="N162" s="100"/>
      <c r="O162" s="102">
        <f>($E162/DP!$N$29)*F162</f>
        <v>0</v>
      </c>
      <c r="P162" s="102">
        <f>IF(O162&gt;0,(DP!$N$31),0*1)</f>
        <v>0</v>
      </c>
      <c r="Q162" s="102">
        <f t="shared" si="146"/>
        <v>0</v>
      </c>
      <c r="R162" s="102">
        <f t="shared" si="147"/>
        <v>0</v>
      </c>
      <c r="S162" s="418">
        <f t="shared" si="148"/>
        <v>0</v>
      </c>
      <c r="T162" s="475">
        <f>H162*DP!$S$44</f>
        <v>0</v>
      </c>
      <c r="U162" s="475">
        <f>IF(H162&gt;0,DP!$T$44,0*1)</f>
        <v>0</v>
      </c>
      <c r="V162" s="475">
        <f t="shared" si="149"/>
        <v>0</v>
      </c>
      <c r="W162" s="475">
        <f>H162*DP!$S$45</f>
        <v>0</v>
      </c>
      <c r="X162" s="475">
        <f>IF(H162&gt;0,DP!$T$45,0*1)</f>
        <v>0</v>
      </c>
      <c r="Y162" s="475">
        <f t="shared" si="150"/>
        <v>0</v>
      </c>
      <c r="Z162" s="100"/>
      <c r="AA162" s="93">
        <f>IF(D162=DP!$L$15,F162*(1+DP!$N$15),IF(D162=DP!$L$16,F162*(1+DP!$N$16),IF(D162=DP!$L$17,F162*(1+DP!$N$17),IF(D162=DP!$L$18,F162*(1+DP!$N$18),0*1))))</f>
        <v>0</v>
      </c>
      <c r="AB162" s="102">
        <f>IF(D162=DP!$L$22,(DP!$M$22),IF(D162=DP!$L$23,(DP!$M$23),IF(D162=DP!$L$24,(DP!$M$24),IF(D162=DP!$L$25,(DP!$M$25),((0*1))))))</f>
        <v>0</v>
      </c>
      <c r="AC162" s="93">
        <f t="shared" si="151"/>
        <v>0</v>
      </c>
      <c r="AD162" s="93">
        <f>IF(D162=DP!$L$15,F162*(1+DP!$N$15),IF(D162=DP!$L$16,F162*(1+DP!$N$16),IF(D162=DP!$L$17,F162*(1+DP!$N$17),IF(D162=DP!$L$18,F162*(1+DP!$N$18),0*1))))</f>
        <v>0</v>
      </c>
      <c r="AE162" s="102">
        <f>IF(D162=DP!$L$22,(DP!$N$22),IF(D162=DP!$L$23,(DP!$N$23),IF(D162=DP!$L$24,(DP!$N$24),IF(D162=DP!$L$25,(DP!$N$25),((0*1))))))</f>
        <v>0</v>
      </c>
      <c r="AF162" s="93">
        <f t="shared" si="152"/>
        <v>0</v>
      </c>
      <c r="AG162" s="93">
        <f>IF(D162=DP!$L$15,(F162/DP!$K$15)*(1+DP!$N$15),IF(D162=DP!$L$16,(F162/DP!$K$16)*(1+DP!$N$16),IF(D162=DP!$L$17,(F162/DP!$K$17)*(1+DP!$N$17),IF(D162=DP!$L$18,(F162/DP!$K$18)*(1+DP!$N$18),0*1))))</f>
        <v>0</v>
      </c>
      <c r="AH162" s="102">
        <f>IF(D162=DP!$L$22,(DP!$O$22),IF(D162=DP!$L$23,(DP!$O$23),IF(D162=DP!$L$24,(DP!$O$24),IF(D162=DP!$L$25,(DP!$O$25),((0*1))))))</f>
        <v>0</v>
      </c>
      <c r="AI162" s="93">
        <f t="shared" si="153"/>
        <v>0</v>
      </c>
      <c r="AJ162" s="93">
        <f>IF(D162=DP!$L$15,F162*(1+DP!$N$15),IF(D162=DP!$L$16,F162*(1+DP!$N$16),IF(D162=DP!$L$17,F162*(1+DP!$N$17),IF(D162=DP!$L$18,F162*(1+DP!$N$18),0*1))))</f>
        <v>0</v>
      </c>
      <c r="AK162" s="102">
        <f>IF(D162=DP!$L$22,(DP!$P$22),IF(D162=DP!$L$23,(DP!$P$23),IF(D162=DP!$L$24,(DP!$P$24),IF(D162=DP!$L$25,(DP!$P$25),((0*1))))))</f>
        <v>0</v>
      </c>
      <c r="AL162" s="93">
        <f t="shared" si="154"/>
        <v>0</v>
      </c>
      <c r="AM162" s="100"/>
      <c r="AN162" s="149">
        <f t="shared" si="138"/>
        <v>0</v>
      </c>
      <c r="AO162" s="149">
        <f>DP!$N$35*H162</f>
        <v>0</v>
      </c>
      <c r="AP162" s="149">
        <f>DP!$O$35*H162</f>
        <v>0</v>
      </c>
      <c r="AQ162" s="149">
        <f>DP!$P$35*H162</f>
        <v>0</v>
      </c>
      <c r="AV162" s="489">
        <f>DP!AV36</f>
        <v>0</v>
      </c>
      <c r="AW162" s="489">
        <f>DP!AW36</f>
        <v>0</v>
      </c>
      <c r="AX162" s="489">
        <f>DP!AX36</f>
        <v>0</v>
      </c>
      <c r="AY162" s="412">
        <f t="shared" si="155"/>
        <v>0</v>
      </c>
      <c r="AZ162" s="470">
        <f>DP!BC36</f>
        <v>0</v>
      </c>
      <c r="BA162" s="98">
        <f t="shared" si="156"/>
        <v>0</v>
      </c>
      <c r="BB162" s="97"/>
      <c r="BC162" s="102">
        <f t="shared" si="139"/>
        <v>0</v>
      </c>
      <c r="BD162" s="98">
        <f t="shared" si="140"/>
        <v>0</v>
      </c>
      <c r="BE162" s="93">
        <f t="shared" si="141"/>
        <v>0</v>
      </c>
      <c r="BF162" s="99">
        <f t="shared" si="142"/>
        <v>0</v>
      </c>
      <c r="BG162" s="100"/>
      <c r="BH162" s="102">
        <f>IFERROR((BA162*100%)/DP!$AP$29,(0*1))</f>
        <v>0</v>
      </c>
      <c r="BI162" s="102">
        <f>IF(BH162&gt;0,(DP!$AP$31),0*1)</f>
        <v>0</v>
      </c>
      <c r="BJ162" s="435">
        <f t="shared" si="165"/>
        <v>0</v>
      </c>
      <c r="BK162" s="475">
        <f>BA162*DP!$AU$44</f>
        <v>0</v>
      </c>
      <c r="BL162" s="475">
        <f>IF(BA162&gt;0,DP!$AV$44,0*1)</f>
        <v>0</v>
      </c>
      <c r="BM162" s="475">
        <f t="shared" si="158"/>
        <v>0</v>
      </c>
      <c r="BN162" s="102">
        <f>BA162*DP!$AU$45</f>
        <v>0</v>
      </c>
      <c r="BO162" s="102">
        <f>IF(BA162&gt;0,DP!$AV$45,0*1)</f>
        <v>0</v>
      </c>
      <c r="BP162" s="475">
        <f t="shared" si="159"/>
        <v>0</v>
      </c>
      <c r="BQ162" s="100"/>
      <c r="BR162" s="100"/>
      <c r="BS162" s="100"/>
      <c r="BT162" s="93">
        <f>IF(AW162=DP!$AN$15,AY162*(1+DP!$AP$15),IF(AW162=DP!$AN$16,AY162*(1+DP!$AP$16),IF(AW162=DP!$AN$17,AY162*(1+DP!$AP$17),IF(AW162=DP!$AN$18,AY162*(1+DP!$AP$18),0*1))))</f>
        <v>0</v>
      </c>
      <c r="BU162" s="102">
        <f>IF(AW162=DP!$AN$22,(DP!$AO$22),IF(AW162=DP!$AN$23,(DP!$AO$23),IF(AW162=DP!$AN$24,(DP!$AO$24),IF(AW162=DP!$AN$25,(DP!$AO$25),((0*1))))))</f>
        <v>0</v>
      </c>
      <c r="BV162" s="93">
        <f t="shared" si="160"/>
        <v>0</v>
      </c>
      <c r="BW162" s="93">
        <f>IF(AW162=DP!$AN$15,AY162*(1+DP!$AP$15),IF(AW162=DP!$AN$16,AY162*(1+DP!$AP$16),IF(AW162=DP!$AN$17,AY162*(1+DP!$AP$17),IF(AW162=DP!$AN$18,AY162*(1+DP!$AP$18),0*1))))</f>
        <v>0</v>
      </c>
      <c r="BX162" s="102">
        <f>IF(AW162=DP!$AN$22,(DP!$AP$22),IF(AW162=DP!$AN$23,(DP!$AP$23),IF(AW162=DP!$AN$24,(DP!$AP$24),IF(AW162=DP!$AN$25,(DP!$AP$25),((0*1))))))</f>
        <v>0</v>
      </c>
      <c r="BY162" s="93">
        <f t="shared" si="164"/>
        <v>0</v>
      </c>
      <c r="BZ162" s="93">
        <f>IF(AW162=DP!$AN$15,(AY162/DP!$AM$15)*(1+DP!$AP$15),IF(AW162=DP!$AN$16,(AY162/DP!$AM$16)*(1+DP!$AP$16),IF(AW162=DP!$AN$17,(AY162/DP!$AM$17)*(1+DP!$AP$17),IF(AW162=DP!$AN$18,(AY162/DP!$AM$18)*(1+DP!$AP$18),0*1))))</f>
        <v>0</v>
      </c>
      <c r="CA162" s="102">
        <f>IF(AW162=DP!$AN$22,(DP!$AQ$22),IF(AW162=DP!$AN$23,(DP!$AQ$23),IF(AW162=DP!$AN$24,(DP!$AQ$24),IF(AW162=DP!$AN$25,(DP!$AQ$25),((0*1))))))</f>
        <v>0</v>
      </c>
      <c r="CB162" s="93">
        <f t="shared" si="162"/>
        <v>0</v>
      </c>
      <c r="CC162" s="93">
        <f>IF(AW162=DP!$AN$15,AY162*(1+DP!$AP$15),IF(AW162=DP!$AN$16,AY162*(1+DP!$AP$16),IF(AW162=DP!$AN$17,AY162*(1+DP!$AP$17),IF(AW162=DP!$AN$18,AY162*(1+DP!$AP$18),0*1))))</f>
        <v>0</v>
      </c>
      <c r="CD162" s="102">
        <f>IF(AW162=DP!$AN$22,(DP!$AR$22),IF(AW162=DP!$AN$23,(DP!$AR$23),IF(AW162=DP!$AN$24,(DP!$AR$24),IF(AW162=DP!$AN$25,(DP!$AR$25),((0*1))))))</f>
        <v>0</v>
      </c>
      <c r="CE162" s="93">
        <f t="shared" si="163"/>
        <v>0</v>
      </c>
      <c r="CF162" s="100"/>
      <c r="CG162" s="149">
        <f t="shared" si="143"/>
        <v>0</v>
      </c>
      <c r="CH162" s="149">
        <f>DP!$N$35*BA162</f>
        <v>0</v>
      </c>
      <c r="CI162" s="149">
        <f>DP!$O$35*BA162</f>
        <v>0</v>
      </c>
      <c r="CJ162" s="149">
        <f>DP!$P$35*BA162</f>
        <v>0</v>
      </c>
    </row>
    <row r="163" spans="2:88" ht="16" thickBot="1" x14ac:dyDescent="0.4">
      <c r="C163" s="103" t="s">
        <v>222</v>
      </c>
      <c r="D163" s="104"/>
      <c r="E163" s="104"/>
      <c r="F163" s="120">
        <f>SUM(F144:F162)</f>
        <v>0</v>
      </c>
      <c r="G163" s="411">
        <f>SUM(G144:G162)</f>
        <v>0</v>
      </c>
      <c r="H163" s="121">
        <f>SUM(H144:H162)</f>
        <v>0</v>
      </c>
      <c r="I163" s="87"/>
      <c r="J163" s="151"/>
      <c r="K163" s="106"/>
      <c r="L163" s="107">
        <f t="shared" ref="L163" si="166">SUM(L144:L162)</f>
        <v>0</v>
      </c>
      <c r="M163" s="105">
        <f>SUM(M144:M162)</f>
        <v>0</v>
      </c>
      <c r="N163" s="87"/>
      <c r="O163" s="152">
        <f>SUM(O144:O162)</f>
        <v>0</v>
      </c>
      <c r="P163" s="416"/>
      <c r="Q163" s="152">
        <f>SUM(Q144:Q162)</f>
        <v>0</v>
      </c>
      <c r="R163" s="126"/>
      <c r="S163" s="419">
        <f>SUM(S144:S162)</f>
        <v>0</v>
      </c>
      <c r="T163" s="476">
        <f>SUM(T144:T162)</f>
        <v>0</v>
      </c>
      <c r="U163" s="477"/>
      <c r="V163" s="478">
        <f>SUM(V144:V162)</f>
        <v>0</v>
      </c>
      <c r="W163" s="478">
        <f>SUM(W144:W162)</f>
        <v>0</v>
      </c>
      <c r="X163" s="477"/>
      <c r="Y163" s="479">
        <f>SUM(Y144:Y162)</f>
        <v>0</v>
      </c>
      <c r="Z163" s="87"/>
      <c r="AA163" s="152">
        <f>SUM(AA144:AA162)</f>
        <v>0</v>
      </c>
      <c r="AB163" s="77"/>
      <c r="AC163" s="153">
        <f>SUM(AC144:AC162)</f>
        <v>0</v>
      </c>
      <c r="AD163" s="153">
        <f>SUM(AD144:AD162)</f>
        <v>0</v>
      </c>
      <c r="AE163" s="77"/>
      <c r="AF163" s="153">
        <f>SUM(AF144:AF162)</f>
        <v>0</v>
      </c>
      <c r="AG163" s="153">
        <f>SUM(AG144:AG162)</f>
        <v>0</v>
      </c>
      <c r="AH163" s="77"/>
      <c r="AI163" s="153">
        <f>SUM(AI144:AI162)</f>
        <v>0</v>
      </c>
      <c r="AJ163" s="153">
        <f>SUM(AJ144:AJ162)</f>
        <v>0</v>
      </c>
      <c r="AK163" s="77"/>
      <c r="AL163" s="154">
        <f>SUM(AL144:AL162)</f>
        <v>0</v>
      </c>
      <c r="AM163" s="87"/>
      <c r="AN163" s="152">
        <f>SUM(AN144:AN162)</f>
        <v>0</v>
      </c>
      <c r="AO163" s="153">
        <f t="shared" ref="AO163:AQ163" si="167">SUM(AO144:AO162)</f>
        <v>0</v>
      </c>
      <c r="AP163" s="153">
        <f t="shared" si="167"/>
        <v>0</v>
      </c>
      <c r="AQ163" s="153">
        <f t="shared" si="167"/>
        <v>0</v>
      </c>
      <c r="AV163" s="103" t="s">
        <v>222</v>
      </c>
      <c r="AW163" s="104"/>
      <c r="AX163" s="104"/>
      <c r="AY163" s="120">
        <f>SUM(AY144:AY162)</f>
        <v>488160</v>
      </c>
      <c r="AZ163" s="411">
        <f>SUM(AZ144:AZ162)</f>
        <v>0.99999999999999989</v>
      </c>
      <c r="BA163" s="121">
        <f>SUM(BA144:BA162)</f>
        <v>183600</v>
      </c>
      <c r="BB163" s="87"/>
      <c r="BC163" s="151"/>
      <c r="BD163" s="106"/>
      <c r="BE163" s="107">
        <f>SUM(BE144:BE162)</f>
        <v>506070.51072395616</v>
      </c>
      <c r="BF163" s="105">
        <f>SUM(BF144:BF162)</f>
        <v>438138.5107239561</v>
      </c>
      <c r="BG163" s="87"/>
      <c r="BH163" s="152">
        <f>SUM(BH144:BH162)</f>
        <v>408000</v>
      </c>
      <c r="BI163" s="126"/>
      <c r="BJ163" s="419">
        <f>SUM(BJ144:BJ162)</f>
        <v>183600</v>
      </c>
      <c r="BK163" s="492">
        <f>SUM(BK144:BK162)</f>
        <v>459</v>
      </c>
      <c r="BL163" s="491"/>
      <c r="BM163" s="492">
        <f>SUM(BM144:BM162)</f>
        <v>436.04999999999995</v>
      </c>
      <c r="BN163" s="492">
        <f>SUM(BN144:BN162)</f>
        <v>30477.599999999999</v>
      </c>
      <c r="BO163" s="491"/>
      <c r="BP163" s="492">
        <f>SUM(BP144:BP162)</f>
        <v>23443.369920000001</v>
      </c>
      <c r="BQ163" s="87"/>
      <c r="BR163" s="87"/>
      <c r="BS163" s="87"/>
      <c r="BT163" s="152">
        <f>SUM(BT144:BT162)</f>
        <v>490600.8</v>
      </c>
      <c r="BU163" s="77"/>
      <c r="BV163" s="153">
        <f>SUM(BV144:BV162)</f>
        <v>113945.292</v>
      </c>
      <c r="BW163" s="153">
        <f>SUM(BW144:BW162)</f>
        <v>490600.8</v>
      </c>
      <c r="BX163" s="77"/>
      <c r="BY163" s="153">
        <f>SUM(BY144:BY162)</f>
        <v>28643.705999999998</v>
      </c>
      <c r="BZ163" s="153">
        <f>SUM(BZ144:BZ162)</f>
        <v>25054.649999999994</v>
      </c>
      <c r="CA163" s="77"/>
      <c r="CB163" s="153">
        <f>SUM(CB144:CB162)</f>
        <v>12827.98079999999</v>
      </c>
      <c r="CC163" s="153">
        <f>SUM(CC144:CC162)</f>
        <v>490600.8</v>
      </c>
      <c r="CD163" s="77"/>
      <c r="CE163" s="154">
        <f>SUM(CE144:CE162)</f>
        <v>16212.38275862069</v>
      </c>
      <c r="CF163" s="87"/>
      <c r="CG163" s="152">
        <f>SUM(CG144:CG162)</f>
        <v>59029.729245335482</v>
      </c>
      <c r="CH163" s="153">
        <f t="shared" ref="CH163:CJ163" si="168">SUM(CH144:CH162)</f>
        <v>2637.9310344827586</v>
      </c>
      <c r="CI163" s="153">
        <f t="shared" si="168"/>
        <v>10024.137931034486</v>
      </c>
      <c r="CJ163" s="153">
        <f t="shared" si="168"/>
        <v>67932</v>
      </c>
    </row>
    <row r="164" spans="2:88" x14ac:dyDescent="0.35">
      <c r="C164" s="108"/>
      <c r="D164" s="108"/>
      <c r="E164" s="108"/>
      <c r="F164" s="87"/>
      <c r="G164" s="87"/>
      <c r="H164" s="87"/>
      <c r="I164" s="109"/>
      <c r="J164" s="87"/>
      <c r="K164" s="87"/>
      <c r="L164" s="87"/>
      <c r="M164" s="87"/>
      <c r="N164" s="87"/>
      <c r="O164" s="220"/>
      <c r="P164" s="220"/>
      <c r="Q164" s="220"/>
      <c r="R164" s="87"/>
      <c r="S164" s="422">
        <f>Q163</f>
        <v>0</v>
      </c>
      <c r="T164"/>
      <c r="U164"/>
      <c r="V164"/>
      <c r="W164"/>
      <c r="X164"/>
      <c r="Y164"/>
      <c r="Z164" s="87"/>
      <c r="AA164" s="87"/>
      <c r="AB164" s="87"/>
      <c r="AC164" s="87"/>
      <c r="AD164" s="87"/>
      <c r="AM164" s="87"/>
      <c r="AN164" s="420">
        <f>IFERROR(IF(DP!$C$16=PS!$B$3,PS!$K$23*D139/(D139+AW139),IF(DP!$C$16=PS!$N$3,PS!$AC$23*D139/(D139+AW139),IF(DP!$C$16=PS!$AF$3,PS!$AP$23*D139/(D139+AW139)))),0*1)</f>
        <v>0</v>
      </c>
      <c r="AO164" s="220"/>
      <c r="AP164" s="220"/>
      <c r="AQ164" s="433"/>
      <c r="AV164" s="108"/>
      <c r="AW164" s="108"/>
      <c r="AX164" s="108"/>
      <c r="AY164" s="87"/>
      <c r="AZ164" s="87"/>
      <c r="BA164" s="87"/>
      <c r="BB164" s="109"/>
      <c r="BC164" s="87"/>
      <c r="BD164" s="87"/>
      <c r="BE164" s="87"/>
      <c r="BF164" s="87"/>
      <c r="BG164" s="87"/>
      <c r="BH164" s="87"/>
      <c r="BI164" s="87"/>
      <c r="BJ164" s="87"/>
      <c r="BK164"/>
      <c r="BL164"/>
      <c r="BM164"/>
      <c r="BN164"/>
      <c r="BO164"/>
      <c r="BP164"/>
      <c r="BQ164" s="87"/>
      <c r="BR164" s="87"/>
      <c r="BS164" s="87"/>
      <c r="BT164" s="87"/>
      <c r="BU164" s="87"/>
      <c r="BV164" s="87"/>
      <c r="BW164" s="87"/>
      <c r="CF164" s="87"/>
      <c r="CG164" s="420">
        <f>IFERROR(IF(DP!$C$16=PS!$B$3,PS!$K$23*AW139/(AW139+D139),IF(DP!$C$16=PS!$N$3,PS!$AC$23*AW139/(AW139+D139),IF(DP!$C$16=PS!$AF$3,PS!$AP$23*AW139/(AW139+D139)))),0*1)</f>
        <v>59029.729245335482</v>
      </c>
      <c r="CH164" s="220"/>
      <c r="CI164" s="220"/>
      <c r="CJ164" s="433"/>
    </row>
    <row r="165" spans="2:88" x14ac:dyDescent="0.35">
      <c r="C165" s="108"/>
      <c r="D165" s="108"/>
      <c r="E165" s="108"/>
      <c r="F165" s="87"/>
      <c r="G165" s="87"/>
      <c r="H165" s="87"/>
      <c r="I165" s="109"/>
      <c r="J165" s="87"/>
      <c r="K165" s="87"/>
      <c r="L165" s="87"/>
      <c r="M165" s="87"/>
      <c r="N165" s="87"/>
      <c r="O165" s="87"/>
      <c r="P165" s="87"/>
      <c r="Q165" s="87"/>
      <c r="T165" s="87"/>
      <c r="U165" s="87"/>
      <c r="V165" s="87"/>
      <c r="W165" s="87"/>
      <c r="X165" s="87"/>
      <c r="Y165" s="87"/>
      <c r="Z165" s="87"/>
      <c r="AM165" s="87"/>
      <c r="AV165" s="108"/>
      <c r="AW165" s="108"/>
      <c r="AX165" s="108"/>
      <c r="AY165" s="87"/>
      <c r="AZ165" s="87"/>
      <c r="BA165" s="87"/>
      <c r="BB165" s="109"/>
      <c r="BC165" s="87"/>
      <c r="BD165" s="87"/>
      <c r="BE165" s="87"/>
      <c r="BF165" s="87"/>
      <c r="BG165" s="87"/>
      <c r="BH165" s="87"/>
      <c r="BK165" s="87"/>
      <c r="BL165" s="87"/>
      <c r="BM165" s="87"/>
      <c r="BN165" s="87"/>
      <c r="BO165" s="87"/>
      <c r="BP165" s="87"/>
      <c r="BQ165" s="87"/>
      <c r="BR165" s="87"/>
      <c r="BS165" s="87"/>
      <c r="BT165"/>
      <c r="BU165"/>
      <c r="BV165"/>
      <c r="BW165"/>
      <c r="BX165"/>
      <c r="BY165"/>
      <c r="BZ165"/>
      <c r="CA165"/>
      <c r="CB165"/>
      <c r="CC165"/>
      <c r="CF165" s="87"/>
    </row>
    <row r="166" spans="2:88" x14ac:dyDescent="0.35">
      <c r="C166" s="108"/>
      <c r="D166" s="108"/>
      <c r="E166" s="108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116" t="s">
        <v>228</v>
      </c>
      <c r="S166" s="94">
        <f>IFERROR((SUMIF(B144:B162,1,H144:H162))/H163*S164,0*1)</f>
        <v>0</v>
      </c>
      <c r="T166" s="109"/>
      <c r="U166" s="87"/>
      <c r="V166" s="87"/>
      <c r="W166" s="87"/>
      <c r="X166" s="87"/>
      <c r="Y166" s="87"/>
      <c r="Z166" s="87"/>
      <c r="AM166" s="87"/>
      <c r="AV166" s="108"/>
      <c r="AW166" s="108"/>
      <c r="AX166" s="108"/>
      <c r="AY166" s="87"/>
      <c r="AZ166" s="87"/>
      <c r="BA166" s="87"/>
      <c r="BB166" s="87"/>
      <c r="BC166" s="87"/>
      <c r="BD166" s="87"/>
      <c r="BE166" s="87"/>
      <c r="BF166" s="87"/>
      <c r="BG166" s="87"/>
      <c r="BK166" s="109"/>
      <c r="BL166" s="87"/>
      <c r="BM166" s="87"/>
      <c r="BN166" s="87"/>
      <c r="BO166" s="87"/>
      <c r="BP166" s="87"/>
      <c r="BQ166" s="87"/>
      <c r="BR166" s="87"/>
      <c r="BS166" s="87"/>
      <c r="BT166"/>
      <c r="BU166"/>
      <c r="BV166"/>
      <c r="BW166"/>
      <c r="BX166"/>
      <c r="BY166"/>
      <c r="BZ166"/>
      <c r="CA166"/>
      <c r="CB166"/>
      <c r="CC166"/>
      <c r="CF166" s="87"/>
    </row>
    <row r="167" spans="2:88" x14ac:dyDescent="0.35">
      <c r="C167" s="108"/>
      <c r="D167" s="108"/>
      <c r="E167" s="108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116" t="s">
        <v>229</v>
      </c>
      <c r="S167" s="94">
        <f>S164-S166</f>
        <v>0</v>
      </c>
      <c r="T167" s="109"/>
      <c r="U167" s="87"/>
      <c r="V167" s="87"/>
      <c r="W167" s="87"/>
      <c r="X167" s="87"/>
      <c r="Y167" s="87"/>
      <c r="Z167" s="87"/>
      <c r="AM167" s="87"/>
      <c r="AV167" s="108"/>
      <c r="AW167" s="108"/>
      <c r="AX167" s="108"/>
      <c r="AY167" s="87"/>
      <c r="AZ167" s="87"/>
      <c r="BA167" s="87"/>
      <c r="BB167" s="87"/>
      <c r="BC167" s="87"/>
      <c r="BD167" s="87"/>
      <c r="BE167" s="87"/>
      <c r="BF167" s="87"/>
      <c r="BG167" s="87"/>
      <c r="BK167" s="109"/>
      <c r="BL167" s="87"/>
      <c r="BM167" s="87"/>
      <c r="BN167" s="87"/>
      <c r="BO167" s="87"/>
      <c r="BP167" s="87"/>
      <c r="BQ167" s="87"/>
      <c r="BR167" s="87"/>
      <c r="BS167" s="87"/>
      <c r="BT167"/>
      <c r="BU167"/>
      <c r="BV167"/>
      <c r="BW167"/>
      <c r="BX167"/>
      <c r="BY167"/>
      <c r="BZ167"/>
      <c r="CA167"/>
      <c r="CB167"/>
      <c r="CC167"/>
      <c r="CF167" s="87"/>
    </row>
    <row r="168" spans="2:88" x14ac:dyDescent="0.35">
      <c r="C168" s="108"/>
      <c r="D168" s="108"/>
      <c r="E168" s="108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T168" s="87"/>
      <c r="U168" s="87"/>
      <c r="V168" s="87"/>
      <c r="W168" s="87"/>
      <c r="X168" s="87"/>
      <c r="Y168" s="87"/>
      <c r="Z168" s="87"/>
      <c r="AM168" s="87"/>
      <c r="AV168" s="108"/>
      <c r="AW168" s="108"/>
      <c r="AX168" s="108"/>
      <c r="AY168" s="87"/>
      <c r="AZ168" s="87"/>
      <c r="BA168" s="87"/>
      <c r="BB168" s="87"/>
      <c r="BC168" s="87"/>
      <c r="BD168" s="87"/>
      <c r="BE168" s="87"/>
      <c r="BF168" s="87"/>
      <c r="BG168" s="87"/>
      <c r="BK168" s="87"/>
      <c r="BL168" s="87"/>
      <c r="BM168" s="87"/>
      <c r="BN168" s="87"/>
      <c r="BO168" s="87"/>
      <c r="BP168" s="87"/>
      <c r="BQ168" s="87"/>
      <c r="BR168" s="87"/>
      <c r="BS168" s="87"/>
      <c r="BT168"/>
      <c r="BU168"/>
      <c r="BV168"/>
      <c r="BW168"/>
      <c r="BX168"/>
      <c r="BY168"/>
      <c r="BZ168"/>
      <c r="CA168"/>
      <c r="CB168"/>
      <c r="CC168"/>
      <c r="CF168" s="87"/>
    </row>
    <row r="169" spans="2:88" x14ac:dyDescent="0.35">
      <c r="C169" s="108"/>
      <c r="D169" s="108"/>
      <c r="E169" s="108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T169" s="87"/>
      <c r="U169" s="87"/>
      <c r="V169" s="87"/>
      <c r="W169" s="87"/>
      <c r="X169" s="87"/>
      <c r="Y169" s="87"/>
      <c r="Z169" s="87"/>
      <c r="AM169" s="87"/>
      <c r="AV169" s="108"/>
      <c r="AW169" s="108"/>
      <c r="AX169" s="108"/>
      <c r="AY169" s="87"/>
      <c r="AZ169" s="87"/>
      <c r="BA169" s="87"/>
      <c r="BB169" s="87"/>
      <c r="BC169" s="87"/>
      <c r="BD169" s="87"/>
      <c r="BE169" s="87"/>
      <c r="BF169" s="87"/>
      <c r="BG169" s="87"/>
      <c r="BH169" s="87"/>
      <c r="BK169" s="87"/>
      <c r="BL169" s="87"/>
      <c r="BM169" s="87"/>
      <c r="BN169" s="87"/>
      <c r="BO169" s="87"/>
      <c r="BP169" s="87"/>
      <c r="BQ169" s="87"/>
      <c r="BR169" s="87"/>
      <c r="BS169" s="87"/>
      <c r="BT169"/>
      <c r="BU169"/>
      <c r="BV169"/>
      <c r="BW169"/>
      <c r="BX169"/>
      <c r="BY169"/>
      <c r="BZ169"/>
      <c r="CA169"/>
      <c r="CB169"/>
      <c r="CC169"/>
      <c r="CF169" s="87"/>
    </row>
    <row r="170" spans="2:88" x14ac:dyDescent="0.35">
      <c r="C170" s="108"/>
      <c r="D170" s="108"/>
      <c r="E170" s="108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T170" s="87"/>
      <c r="U170" s="87"/>
      <c r="V170" s="87"/>
      <c r="W170" s="87"/>
      <c r="X170" s="87"/>
      <c r="Y170" s="87"/>
      <c r="Z170" s="87"/>
      <c r="AM170" s="87"/>
      <c r="AV170" s="108"/>
      <c r="AW170" s="108"/>
      <c r="AX170" s="108"/>
      <c r="AY170" s="87"/>
      <c r="AZ170" s="87"/>
      <c r="BA170" s="87"/>
      <c r="BB170" s="87"/>
      <c r="BC170" s="87"/>
      <c r="BD170" s="87"/>
      <c r="BE170" s="87"/>
      <c r="BF170" s="87"/>
      <c r="BG170" s="87"/>
      <c r="BH170" s="87"/>
      <c r="BK170" s="87"/>
      <c r="BL170" s="87"/>
      <c r="BM170" s="87"/>
      <c r="BN170" s="87"/>
      <c r="BO170" s="87"/>
      <c r="BP170" s="87"/>
      <c r="BQ170" s="87"/>
      <c r="BR170" s="87"/>
      <c r="BS170" s="87"/>
      <c r="BT170"/>
      <c r="BU170"/>
      <c r="BV170"/>
      <c r="BW170"/>
      <c r="BX170"/>
      <c r="BY170"/>
      <c r="BZ170"/>
      <c r="CA170"/>
      <c r="CB170"/>
      <c r="CC170"/>
      <c r="CF170" s="87"/>
    </row>
    <row r="171" spans="2:88" x14ac:dyDescent="0.35">
      <c r="C171" s="108"/>
      <c r="D171" s="108"/>
      <c r="E171" s="108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T171" s="87"/>
      <c r="U171" s="87"/>
      <c r="V171" s="87"/>
      <c r="W171" s="87"/>
      <c r="X171" s="87"/>
      <c r="Y171" s="87"/>
      <c r="Z171" s="87"/>
      <c r="AB171" s="87"/>
      <c r="AC171" s="87"/>
      <c r="AD171" s="87"/>
      <c r="AM171" s="87"/>
      <c r="AV171" s="108"/>
      <c r="AW171" s="108"/>
      <c r="AX171" s="108"/>
      <c r="AY171" s="87"/>
      <c r="AZ171" s="87"/>
      <c r="BA171" s="87"/>
      <c r="BB171" s="87"/>
      <c r="BC171" s="87"/>
      <c r="BD171" s="87"/>
      <c r="BE171" s="87"/>
      <c r="BF171" s="87"/>
      <c r="BG171" s="87"/>
      <c r="BH171" s="87"/>
      <c r="BK171" s="87"/>
      <c r="BL171" s="87"/>
      <c r="BM171" s="87"/>
      <c r="BN171" s="87"/>
      <c r="BO171" s="87"/>
      <c r="BP171" s="87"/>
      <c r="BQ171" s="87"/>
      <c r="BR171" s="87"/>
      <c r="BS171" s="87"/>
      <c r="BU171" s="87"/>
      <c r="BV171" s="87"/>
      <c r="BW171" s="87"/>
      <c r="CF171" s="87"/>
    </row>
    <row r="172" spans="2:88" ht="16" thickBot="1" x14ac:dyDescent="0.4">
      <c r="C172" s="421" t="s">
        <v>341</v>
      </c>
      <c r="D172" s="482">
        <f>DP!AB14</f>
        <v>0</v>
      </c>
      <c r="E172" s="108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T172" s="87"/>
      <c r="U172" s="87"/>
      <c r="V172" s="87"/>
      <c r="W172" s="87"/>
      <c r="X172" s="87"/>
      <c r="Y172" s="87"/>
      <c r="Z172" s="87"/>
      <c r="AA172" s="87"/>
      <c r="AB172" s="87"/>
      <c r="AC172" s="87"/>
      <c r="AD172" s="87"/>
      <c r="AM172" s="87"/>
      <c r="AV172" s="421" t="s">
        <v>352</v>
      </c>
      <c r="AW172" s="482">
        <f>DP!BD14</f>
        <v>183600</v>
      </c>
      <c r="AX172" s="108"/>
      <c r="AY172" s="87"/>
      <c r="AZ172" s="87"/>
      <c r="BA172" s="87"/>
      <c r="BB172" s="87"/>
      <c r="BC172" s="87"/>
      <c r="BD172" s="87"/>
      <c r="BE172" s="87"/>
      <c r="BF172" s="87"/>
      <c r="BG172" s="87"/>
      <c r="BH172" s="87"/>
      <c r="BK172" s="87"/>
      <c r="BL172" s="87"/>
      <c r="BM172" s="87"/>
      <c r="BN172" s="87"/>
      <c r="BO172" s="87"/>
      <c r="BP172" s="87"/>
      <c r="BQ172" s="87"/>
      <c r="BR172" s="87"/>
      <c r="BS172" s="87"/>
      <c r="BT172" s="87"/>
      <c r="BU172" s="87"/>
      <c r="BV172" s="87"/>
      <c r="BW172" s="87"/>
      <c r="CF172" s="87"/>
    </row>
    <row r="173" spans="2:88" ht="15.5" customHeight="1" x14ac:dyDescent="0.35">
      <c r="C173" s="1026" t="s">
        <v>78</v>
      </c>
      <c r="D173" s="1009" t="s">
        <v>169</v>
      </c>
      <c r="E173" s="1010"/>
      <c r="F173" s="1010"/>
      <c r="G173" s="1010"/>
      <c r="H173" s="1011"/>
      <c r="I173" s="130"/>
      <c r="J173" s="1015" t="s">
        <v>170</v>
      </c>
      <c r="K173" s="1015" t="s">
        <v>215</v>
      </c>
      <c r="L173" s="1015" t="s">
        <v>216</v>
      </c>
      <c r="M173" s="1017" t="s">
        <v>217</v>
      </c>
      <c r="N173" s="130"/>
      <c r="O173" s="1019" t="s">
        <v>213</v>
      </c>
      <c r="P173" s="1007"/>
      <c r="Q173" s="1007"/>
      <c r="R173" s="1007"/>
      <c r="S173" s="1007"/>
      <c r="T173" s="1007"/>
      <c r="U173" s="1007"/>
      <c r="V173" s="1007"/>
      <c r="W173" s="1007"/>
      <c r="X173" s="1007"/>
      <c r="Y173" s="1007"/>
      <c r="Z173" s="130"/>
      <c r="AA173" s="1019" t="s">
        <v>180</v>
      </c>
      <c r="AB173" s="1007"/>
      <c r="AC173" s="1007"/>
      <c r="AD173" s="1007"/>
      <c r="AE173" s="1007"/>
      <c r="AF173" s="1007"/>
      <c r="AG173" s="1007"/>
      <c r="AH173" s="1007"/>
      <c r="AI173" s="1007"/>
      <c r="AJ173" s="1007"/>
      <c r="AK173" s="1007"/>
      <c r="AL173" s="1020"/>
      <c r="AM173" s="130"/>
      <c r="AN173" s="131" t="s">
        <v>214</v>
      </c>
      <c r="AO173" s="1006" t="s">
        <v>361</v>
      </c>
      <c r="AP173" s="1007"/>
      <c r="AQ173" s="1008"/>
      <c r="AV173" s="1026" t="s">
        <v>78</v>
      </c>
      <c r="AW173" s="1009" t="s">
        <v>169</v>
      </c>
      <c r="AX173" s="1010"/>
      <c r="AY173" s="1010"/>
      <c r="AZ173" s="1010"/>
      <c r="BA173" s="1011"/>
      <c r="BB173" s="130"/>
      <c r="BC173" s="1015" t="s">
        <v>170</v>
      </c>
      <c r="BD173" s="1015" t="s">
        <v>215</v>
      </c>
      <c r="BE173" s="1015" t="s">
        <v>216</v>
      </c>
      <c r="BF173" s="1017" t="s">
        <v>217</v>
      </c>
      <c r="BG173" s="130"/>
      <c r="BH173" s="1019" t="s">
        <v>213</v>
      </c>
      <c r="BI173" s="1007"/>
      <c r="BJ173" s="1007"/>
      <c r="BK173" s="1007"/>
      <c r="BL173" s="1007"/>
      <c r="BM173" s="1007"/>
      <c r="BN173" s="1007"/>
      <c r="BO173" s="1007"/>
      <c r="BP173" s="1007"/>
      <c r="BQ173" s="130"/>
      <c r="BR173" s="130"/>
      <c r="BS173" s="130"/>
      <c r="BT173" s="1019" t="s">
        <v>180</v>
      </c>
      <c r="BU173" s="1007"/>
      <c r="BV173" s="1007"/>
      <c r="BW173" s="1007"/>
      <c r="BX173" s="1007"/>
      <c r="BY173" s="1007"/>
      <c r="BZ173" s="1007"/>
      <c r="CA173" s="1007"/>
      <c r="CB173" s="1007"/>
      <c r="CC173" s="1007"/>
      <c r="CD173" s="1007"/>
      <c r="CE173" s="1020"/>
      <c r="CF173" s="130"/>
      <c r="CG173" s="131" t="s">
        <v>214</v>
      </c>
      <c r="CH173" s="1006" t="s">
        <v>361</v>
      </c>
      <c r="CI173" s="1007"/>
      <c r="CJ173" s="1008"/>
    </row>
    <row r="174" spans="2:88" ht="30.5" thickBot="1" x14ac:dyDescent="0.4">
      <c r="C174" s="1027"/>
      <c r="D174" s="1012"/>
      <c r="E174" s="1013"/>
      <c r="F174" s="1013"/>
      <c r="G174" s="1013"/>
      <c r="H174" s="1014"/>
      <c r="I174" s="130"/>
      <c r="J174" s="1016"/>
      <c r="K174" s="1016"/>
      <c r="L174" s="1016"/>
      <c r="M174" s="1018"/>
      <c r="N174" s="130"/>
      <c r="O174" s="134" t="s">
        <v>218</v>
      </c>
      <c r="P174" s="415"/>
      <c r="Q174" s="415"/>
      <c r="R174" s="135"/>
      <c r="S174" s="135"/>
      <c r="T174" s="69" t="s">
        <v>171</v>
      </c>
      <c r="U174" s="69"/>
      <c r="V174" s="69"/>
      <c r="W174" s="69" t="s">
        <v>172</v>
      </c>
      <c r="X174" s="69"/>
      <c r="Y174" s="69"/>
      <c r="Z174" s="130"/>
      <c r="AA174" s="1021" t="s">
        <v>173</v>
      </c>
      <c r="AB174" s="1022"/>
      <c r="AC174" s="1023"/>
      <c r="AD174" s="1024" t="s">
        <v>174</v>
      </c>
      <c r="AE174" s="1022"/>
      <c r="AF174" s="1023"/>
      <c r="AG174" s="1024" t="s">
        <v>175</v>
      </c>
      <c r="AH174" s="1022"/>
      <c r="AI174" s="1023"/>
      <c r="AJ174" s="1024" t="s">
        <v>176</v>
      </c>
      <c r="AK174" s="1022"/>
      <c r="AL174" s="1025"/>
      <c r="AM174" s="130"/>
      <c r="AN174" s="115" t="s">
        <v>177</v>
      </c>
      <c r="AO174" s="458" t="s">
        <v>362</v>
      </c>
      <c r="AP174" s="458" t="s">
        <v>363</v>
      </c>
      <c r="AQ174" s="494" t="s">
        <v>364</v>
      </c>
      <c r="AV174" s="1027"/>
      <c r="AW174" s="1012"/>
      <c r="AX174" s="1013"/>
      <c r="AY174" s="1013"/>
      <c r="AZ174" s="1013"/>
      <c r="BA174" s="1014"/>
      <c r="BB174" s="130"/>
      <c r="BC174" s="1016"/>
      <c r="BD174" s="1016"/>
      <c r="BE174" s="1016"/>
      <c r="BF174" s="1018"/>
      <c r="BG174" s="130"/>
      <c r="BH174" s="1031" t="s">
        <v>234</v>
      </c>
      <c r="BI174" s="1032"/>
      <c r="BJ174" s="1033"/>
      <c r="BK174" s="1024" t="s">
        <v>171</v>
      </c>
      <c r="BL174" s="1022"/>
      <c r="BM174" s="1023"/>
      <c r="BN174" s="1024" t="s">
        <v>231</v>
      </c>
      <c r="BO174" s="1022"/>
      <c r="BP174" s="1023"/>
      <c r="BQ174" s="130"/>
      <c r="BR174" s="130"/>
      <c r="BS174" s="130"/>
      <c r="BT174" s="1021" t="s">
        <v>173</v>
      </c>
      <c r="BU174" s="1022"/>
      <c r="BV174" s="1023"/>
      <c r="BW174" s="1024" t="s">
        <v>174</v>
      </c>
      <c r="BX174" s="1022"/>
      <c r="BY174" s="1023"/>
      <c r="BZ174" s="1024" t="s">
        <v>175</v>
      </c>
      <c r="CA174" s="1022"/>
      <c r="CB174" s="1023"/>
      <c r="CC174" s="1024" t="s">
        <v>176</v>
      </c>
      <c r="CD174" s="1022"/>
      <c r="CE174" s="1025"/>
      <c r="CF174" s="130"/>
      <c r="CG174" s="115" t="s">
        <v>177</v>
      </c>
      <c r="CH174" s="458" t="s">
        <v>362</v>
      </c>
      <c r="CI174" s="458" t="s">
        <v>363</v>
      </c>
      <c r="CJ174" s="494" t="s">
        <v>364</v>
      </c>
    </row>
    <row r="175" spans="2:88" ht="16" thickBot="1" x14ac:dyDescent="0.4">
      <c r="C175" s="1028"/>
      <c r="D175" s="111" t="s">
        <v>225</v>
      </c>
      <c r="E175" s="111"/>
      <c r="F175" s="112" t="s">
        <v>178</v>
      </c>
      <c r="G175" s="113" t="s">
        <v>226</v>
      </c>
      <c r="H175" s="114" t="s">
        <v>227</v>
      </c>
      <c r="I175" s="136"/>
      <c r="J175" s="119" t="s">
        <v>179</v>
      </c>
      <c r="K175" s="137" t="s">
        <v>224</v>
      </c>
      <c r="L175" s="137" t="s">
        <v>224</v>
      </c>
      <c r="M175" s="138" t="s">
        <v>224</v>
      </c>
      <c r="N175" s="136"/>
      <c r="O175" s="118" t="s">
        <v>223</v>
      </c>
      <c r="P175" s="119" t="s">
        <v>179</v>
      </c>
      <c r="Q175" s="137" t="s">
        <v>224</v>
      </c>
      <c r="R175" s="119" t="s">
        <v>179</v>
      </c>
      <c r="S175" s="137" t="s">
        <v>224</v>
      </c>
      <c r="T175" s="119" t="s">
        <v>219</v>
      </c>
      <c r="U175" s="119" t="s">
        <v>179</v>
      </c>
      <c r="V175" s="137" t="s">
        <v>224</v>
      </c>
      <c r="W175" s="119" t="s">
        <v>219</v>
      </c>
      <c r="X175" s="119" t="s">
        <v>179</v>
      </c>
      <c r="Y175" s="137" t="s">
        <v>224</v>
      </c>
      <c r="Z175" s="136"/>
      <c r="AA175" s="118" t="s">
        <v>220</v>
      </c>
      <c r="AB175" s="119" t="s">
        <v>179</v>
      </c>
      <c r="AC175" s="137" t="s">
        <v>224</v>
      </c>
      <c r="AD175" s="119" t="s">
        <v>220</v>
      </c>
      <c r="AE175" s="119" t="s">
        <v>179</v>
      </c>
      <c r="AF175" s="137" t="s">
        <v>224</v>
      </c>
      <c r="AG175" s="119" t="s">
        <v>220</v>
      </c>
      <c r="AH175" s="119" t="s">
        <v>179</v>
      </c>
      <c r="AI175" s="137" t="s">
        <v>224</v>
      </c>
      <c r="AJ175" s="119" t="s">
        <v>221</v>
      </c>
      <c r="AK175" s="119" t="s">
        <v>179</v>
      </c>
      <c r="AL175" s="138" t="s">
        <v>224</v>
      </c>
      <c r="AM175" s="136"/>
      <c r="AN175" s="139" t="s">
        <v>224</v>
      </c>
      <c r="AO175" s="137" t="s">
        <v>224</v>
      </c>
      <c r="AP175" s="137" t="s">
        <v>224</v>
      </c>
      <c r="AQ175" s="137" t="s">
        <v>224</v>
      </c>
      <c r="AV175" s="1028"/>
      <c r="AW175" s="111" t="s">
        <v>225</v>
      </c>
      <c r="AX175" s="111"/>
      <c r="AY175" s="112" t="s">
        <v>178</v>
      </c>
      <c r="AZ175" s="113" t="s">
        <v>226</v>
      </c>
      <c r="BA175" s="114" t="s">
        <v>227</v>
      </c>
      <c r="BB175" s="136"/>
      <c r="BC175" s="119" t="s">
        <v>179</v>
      </c>
      <c r="BD175" s="137" t="s">
        <v>224</v>
      </c>
      <c r="BE175" s="137" t="s">
        <v>224</v>
      </c>
      <c r="BF175" s="138" t="s">
        <v>224</v>
      </c>
      <c r="BG175" s="136"/>
      <c r="BH175" s="118" t="s">
        <v>219</v>
      </c>
      <c r="BI175" s="119" t="s">
        <v>179</v>
      </c>
      <c r="BJ175" s="137" t="s">
        <v>224</v>
      </c>
      <c r="BK175" s="119" t="s">
        <v>219</v>
      </c>
      <c r="BL175" s="119" t="s">
        <v>179</v>
      </c>
      <c r="BM175" s="137" t="s">
        <v>224</v>
      </c>
      <c r="BN175" s="119" t="s">
        <v>219</v>
      </c>
      <c r="BO175" s="119" t="s">
        <v>179</v>
      </c>
      <c r="BP175" s="137" t="s">
        <v>224</v>
      </c>
      <c r="BQ175" s="136"/>
      <c r="BR175" s="136"/>
      <c r="BS175" s="136"/>
      <c r="BT175" s="118" t="s">
        <v>220</v>
      </c>
      <c r="BU175" s="119" t="s">
        <v>179</v>
      </c>
      <c r="BV175" s="137" t="s">
        <v>224</v>
      </c>
      <c r="BW175" s="119" t="s">
        <v>220</v>
      </c>
      <c r="BX175" s="119" t="s">
        <v>179</v>
      </c>
      <c r="BY175" s="137" t="s">
        <v>224</v>
      </c>
      <c r="BZ175" s="119" t="s">
        <v>220</v>
      </c>
      <c r="CA175" s="119" t="s">
        <v>179</v>
      </c>
      <c r="CB175" s="137" t="s">
        <v>224</v>
      </c>
      <c r="CC175" s="119" t="s">
        <v>221</v>
      </c>
      <c r="CD175" s="119" t="s">
        <v>179</v>
      </c>
      <c r="CE175" s="138" t="s">
        <v>224</v>
      </c>
      <c r="CF175" s="136"/>
      <c r="CG175" s="139" t="s">
        <v>224</v>
      </c>
      <c r="CH175" s="137" t="s">
        <v>224</v>
      </c>
      <c r="CI175" s="137" t="s">
        <v>224</v>
      </c>
      <c r="CJ175" s="137" t="s">
        <v>224</v>
      </c>
    </row>
    <row r="176" spans="2:88" ht="16" thickBot="1" x14ac:dyDescent="0.4">
      <c r="C176" s="117" t="s">
        <v>331</v>
      </c>
      <c r="D176" s="117"/>
      <c r="E176" s="11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  <c r="AL176" s="87"/>
      <c r="AM176" s="87"/>
      <c r="AN176" s="87"/>
      <c r="AO176" s="87"/>
      <c r="AP176" s="87"/>
      <c r="AQ176" s="87"/>
      <c r="AV176" s="117" t="s">
        <v>350</v>
      </c>
      <c r="AW176" s="117"/>
      <c r="AX176" s="117"/>
      <c r="AY176" s="87"/>
      <c r="AZ176" s="87"/>
      <c r="BA176" s="87"/>
      <c r="BB176" s="87"/>
      <c r="BC176" s="87"/>
      <c r="BD176" s="87"/>
      <c r="BE176" s="87"/>
      <c r="BF176" s="87"/>
      <c r="BG176" s="87"/>
      <c r="BH176" s="87"/>
      <c r="BI176" s="87"/>
      <c r="BJ176" s="87"/>
      <c r="BK176" s="87"/>
      <c r="BL176" s="87"/>
      <c r="BM176" s="87"/>
      <c r="BN176" s="87"/>
      <c r="BO176" s="87"/>
      <c r="BP176" s="87"/>
      <c r="BQ176" s="87"/>
      <c r="BR176" s="87"/>
      <c r="BS176" s="87"/>
      <c r="BT176" s="87"/>
      <c r="BU176" s="87"/>
      <c r="BV176" s="87"/>
      <c r="BW176" s="87"/>
      <c r="BX176" s="87"/>
      <c r="BY176" s="87"/>
      <c r="BZ176" s="87"/>
      <c r="CA176" s="87"/>
      <c r="CB176" s="87"/>
      <c r="CC176" s="87"/>
      <c r="CD176" s="87"/>
      <c r="CE176" s="87"/>
      <c r="CF176" s="87"/>
      <c r="CG176" s="87"/>
      <c r="CH176" s="87"/>
      <c r="CI176" s="87"/>
      <c r="CJ176" s="87"/>
    </row>
    <row r="177" spans="2:88" x14ac:dyDescent="0.35">
      <c r="B177" s="480">
        <f>DP!S18</f>
        <v>1</v>
      </c>
      <c r="C177" s="480" t="str">
        <f>DP!T18</f>
        <v xml:space="preserve">PALMITO ENTERO 800 </v>
      </c>
      <c r="D177" s="480">
        <f>DP!U18</f>
        <v>800</v>
      </c>
      <c r="E177" s="480">
        <f>DP!V18</f>
        <v>500</v>
      </c>
      <c r="F177" s="412">
        <f>IFERROR((H177*1000)/E177,0*1)</f>
        <v>0</v>
      </c>
      <c r="G177" s="470">
        <f>DP!AB18</f>
        <v>0</v>
      </c>
      <c r="H177" s="98">
        <f>$D$172*G177</f>
        <v>0</v>
      </c>
      <c r="I177" s="97"/>
      <c r="J177" s="101">
        <f t="shared" ref="J177:J195" si="169">IF(F177&gt;0,L177/F177,0*1)</f>
        <v>0</v>
      </c>
      <c r="K177" s="122">
        <f t="shared" ref="K177:K195" si="170">IF(F177&gt;0,M177/F177,0*1)</f>
        <v>0</v>
      </c>
      <c r="L177" s="140">
        <f t="shared" ref="L177:L195" si="171">IF(F177&gt;0,M177+AQ177,0*1)</f>
        <v>0</v>
      </c>
      <c r="M177" s="123">
        <f t="shared" ref="M177:M195" si="172">IF(F177&gt;0,(S177+V177+Y177+AC177+AF177+AI177+AL177+AN177),0*1)</f>
        <v>0</v>
      </c>
      <c r="N177" s="100"/>
      <c r="O177" s="102">
        <f>($E177/DP!$N$29)*F177</f>
        <v>0</v>
      </c>
      <c r="P177" s="102">
        <f>IF(O177&gt;0,(DP!$N$31),0*1)</f>
        <v>0</v>
      </c>
      <c r="Q177" s="102">
        <f>O177*P177</f>
        <v>0</v>
      </c>
      <c r="R177" s="102">
        <f>IF(O177&gt;0,S177/O177,0*1)</f>
        <v>0</v>
      </c>
      <c r="S177" s="418">
        <f>IFERROR(IF(B177=1,(S$199+70%*S$200)/(SUMIF($B$177:$B$195,1,$H$177:$H$195))*H177,(30%*S$200)/(SUMIF($B$177:$B$195,0,$H$177:$H$195))*H177),0*1)</f>
        <v>0</v>
      </c>
      <c r="T177" s="475">
        <f>H177*DP!$U$44</f>
        <v>0</v>
      </c>
      <c r="U177" s="475">
        <f>IF(H177&gt;0,DP!$V$44,0*1)</f>
        <v>0</v>
      </c>
      <c r="V177" s="475">
        <f>T177*U177</f>
        <v>0</v>
      </c>
      <c r="W177" s="475">
        <f>H177*DP!$U$45</f>
        <v>0</v>
      </c>
      <c r="X177" s="475">
        <f>IF(H177&gt;0,DP!$V$45,0*1)</f>
        <v>0</v>
      </c>
      <c r="Y177" s="475">
        <f>W177*X177</f>
        <v>0</v>
      </c>
      <c r="Z177" s="100"/>
      <c r="AA177" s="93">
        <f>IF(D177=DP!$L$15,F177*(1+DP!$N$15),IF(D177=DP!$L$16,F177*(1+DP!$N$16),IF(D177=DP!$L$17,F177*(1+DP!$N$17),IF(D177=DP!$L$18,F177*(1+DP!$N$18),0*1))))</f>
        <v>0</v>
      </c>
      <c r="AB177" s="102">
        <f>IF(D177=DP!$L$22,(DP!$M$22),IF(D177=DP!$L$23,(DP!$M$23),IF(D177=DP!$L$24,(DP!$M$24),IF(D177=DP!$L$25,(DP!$M$25),((0*1))))))</f>
        <v>0</v>
      </c>
      <c r="AC177" s="93">
        <f>AA177*AB177</f>
        <v>0</v>
      </c>
      <c r="AD177" s="93">
        <f>IF(D177=DP!$L$15,F177*(1+DP!$N$15),IF(D177=DP!$L$16,F177*(1+DP!$N$16),IF(D177=DP!$L$17,F177*(1+DP!$N$17),IF(D177=DP!$L$18,F177*(1+DP!$N$18),0*1))))</f>
        <v>0</v>
      </c>
      <c r="AE177" s="102">
        <f>IF(D177=DP!$L$22,(DP!$N$22),IF(D177=DP!$L$23,(DP!$N$23),IF(D177=DP!$L$24,(DP!$N$24),IF(D177=DP!$L$25,(DP!$N$25),((0*1))))))</f>
        <v>0</v>
      </c>
      <c r="AF177" s="93">
        <f>AD177*AE177</f>
        <v>0</v>
      </c>
      <c r="AG177" s="93">
        <f>IF(D177=DP!$L$15,(F177/DP!$K$15)*(1+DP!$N$15),IF(D177=DP!$L$16,(F177/DP!$K$16)*(1+DP!$N$16),IF(D177=DP!$L$17,(F177/DP!$K$17)*(1+DP!$N$17),IF(D177=DP!$L$18,(F177/DP!$K$18)*(1+DP!$N$18),0*1))))</f>
        <v>0</v>
      </c>
      <c r="AH177" s="102">
        <f>IF(D177=DP!$L$22,(DP!$O$22),IF(D177=DP!$L$23,(DP!$O$23),IF(D177=DP!$L$24,(DP!$O$24),IF(D177=DP!$L$25,(DP!$O$25),((0*1))))))</f>
        <v>0</v>
      </c>
      <c r="AI177" s="93">
        <f>AG177*AH177</f>
        <v>0</v>
      </c>
      <c r="AJ177" s="93">
        <f>IF(D177=DP!$L$15,F177*(1+DP!$N$15),IF(D177=DP!$L$16,F177*(1+DP!$N$16),IF(D177=DP!$L$17,F177*(1+DP!$N$17),IF(D177=DP!$L$18,F177*(1+DP!$N$18),0*1))))</f>
        <v>0</v>
      </c>
      <c r="AK177" s="102">
        <f>IF(D177=DP!$L$22,(DP!$P$22),IF(D177=DP!$L$23,(DP!$P$23),IF(D177=DP!$L$24,(DP!$P$24),IF(D177=DP!$L$25,(DP!$P$25),((0*1))))))</f>
        <v>0</v>
      </c>
      <c r="AL177" s="93">
        <f>AJ177*AK177</f>
        <v>0</v>
      </c>
      <c r="AM177" s="100"/>
      <c r="AN177" s="149">
        <f t="shared" ref="AN177:AN195" si="173">IF(F177&gt;0,AN$197/H$196*H177,0*1)</f>
        <v>0</v>
      </c>
      <c r="AO177" s="149">
        <f>DP!$N$35*H177</f>
        <v>0</v>
      </c>
      <c r="AP177" s="149">
        <f>DP!$O$35*H177</f>
        <v>0</v>
      </c>
      <c r="AQ177" s="149">
        <f>DP!$P$35*H177</f>
        <v>0</v>
      </c>
      <c r="AV177" s="489" t="str">
        <f>DP!AV18</f>
        <v>PIÑA RODAJA 850</v>
      </c>
      <c r="AW177" s="489">
        <f>DP!AW18</f>
        <v>850</v>
      </c>
      <c r="AX177" s="489">
        <f>DP!AX18</f>
        <v>425</v>
      </c>
      <c r="AY177" s="412">
        <f>IFERROR((BA177*1000)/AX177,0*1)</f>
        <v>0</v>
      </c>
      <c r="AZ177" s="470">
        <f>DP!BD18</f>
        <v>0</v>
      </c>
      <c r="BA177" s="98">
        <f>$AW$172*AZ177</f>
        <v>0</v>
      </c>
      <c r="BB177" s="97"/>
      <c r="BC177" s="101">
        <f t="shared" ref="BC177:BC195" si="174">IF(AY177&gt;0,BE177/AY177,0*1)</f>
        <v>0</v>
      </c>
      <c r="BD177" s="122">
        <f t="shared" ref="BD177:BD195" si="175">IF(AY177&gt;0,BF177/AY177,0*1)</f>
        <v>0</v>
      </c>
      <c r="BE177" s="140">
        <f t="shared" ref="BE177:BE195" si="176">IF(AY177&gt;0,BF177+CJ177,0*1)</f>
        <v>0</v>
      </c>
      <c r="BF177" s="123">
        <f t="shared" ref="BF177:BF195" si="177">IF(AY177&gt;0,(BJ177+BM177+BP177+BV177+BY177+CB177+CE177+CG177),0*1)</f>
        <v>0</v>
      </c>
      <c r="BG177" s="100"/>
      <c r="BH177" s="102">
        <f>IFERROR((BA177*100%)/DP!$AP$29,(0*1))</f>
        <v>0</v>
      </c>
      <c r="BI177" s="102">
        <f>IF(BH177&gt;0,(DP!$AP$31),0*1)</f>
        <v>0</v>
      </c>
      <c r="BJ177" s="435">
        <f>BH177*BI177</f>
        <v>0</v>
      </c>
      <c r="BK177" s="475">
        <f>BA177*DP!$AW$44</f>
        <v>0</v>
      </c>
      <c r="BL177" s="475">
        <f>IF(BA177&gt;0,DP!$AX$44,0*1)</f>
        <v>0</v>
      </c>
      <c r="BM177" s="475">
        <f>BK177*BL177</f>
        <v>0</v>
      </c>
      <c r="BN177" s="102">
        <f>BA177*DP!$AW$45</f>
        <v>0</v>
      </c>
      <c r="BO177" s="102">
        <f>IF(BA177&gt;0,DP!$AX$45,0*1)</f>
        <v>0</v>
      </c>
      <c r="BP177" s="475">
        <f>BN177*BO177</f>
        <v>0</v>
      </c>
      <c r="BQ177" s="100"/>
      <c r="BR177" s="100"/>
      <c r="BS177" s="100"/>
      <c r="BT177" s="93">
        <f>IF(AW177=DP!$AN$15,AY177*(1+DP!$AP$15),IF(AW177=DP!$AN$16,AY177*(1+DP!$AP$16),IF(AW177=DP!$AN$17,AY177*(1+DP!$AP$17),IF(AW177=DP!$AN$18,AY177*(1+DP!$AP$18),0*1))))</f>
        <v>0</v>
      </c>
      <c r="BU177" s="102">
        <f>IF(AW177=DP!$AN$22,(DP!$AO$22),IF(AW177=DP!$AN$23,(DP!$AO$23),IF(AW177=DP!$AN$24,(DP!$AO$24),IF(AW177=DP!$AN$25,(DP!$AO$25),((0*1))))))</f>
        <v>0</v>
      </c>
      <c r="BV177" s="93">
        <f>BT177*BU177</f>
        <v>0</v>
      </c>
      <c r="BW177" s="93">
        <f>IF(AW177=DP!$AN$15,AY177*(1+DP!$AP$15),IF(AW177=DP!$AN$16,AY177*(1+DP!$AP$16),IF(AW177=DP!$AN$17,AY177*(1+DP!$AP$17),IF(AW177=DP!$AN$18,AY177*(1+DP!$AP$18),0*1))))</f>
        <v>0</v>
      </c>
      <c r="BX177" s="102">
        <f>IF(AW177=DP!$AN$22,(DP!$AP$22),IF(AW177=DP!$AN$23,(DP!$AP$23),IF(AW177=DP!$AN$24,(DP!$AP$24),IF(AW177=DP!$AN$25,(DP!$AP$25),((0*1))))))</f>
        <v>0</v>
      </c>
      <c r="BY177" s="93">
        <f>BW177*BX177</f>
        <v>0</v>
      </c>
      <c r="BZ177" s="93">
        <f>IF(AW177=DP!$AN$15,(AY177/DP!$AM$15)*(1+DP!$AP$15),IF(AW177=DP!$AN$16,(AY177/DP!$AM$16)*(1+DP!$AP$16),IF(AW177=DP!$AN$17,(AY177/DP!$AM$17)*(1+DP!$AP$17),IF(AW177=DP!$AN$18,(AY177/DP!$AM$18)*(1+DP!$AP$18),0*1))))</f>
        <v>0</v>
      </c>
      <c r="CA177" s="102">
        <f>IF(AW177=DP!$AN$22,(DP!$AQ$22),IF(AW177=DP!$AN$23,(DP!$AQ$23),IF(AW177=DP!$AN$24,(DP!$AQ$24),IF(AW177=DP!$AN$25,(DP!$AQ$25),((0*1))))))</f>
        <v>0</v>
      </c>
      <c r="CB177" s="93">
        <f>BZ177*CA177</f>
        <v>0</v>
      </c>
      <c r="CC177" s="93">
        <f>IF(AW177=DP!$AN$15,AY177*(1+DP!$AP$15),IF(AW177=DP!$AN$16,AY177*(1+DP!$AP$16),IF(AW177=DP!$AN$17,AY177*(1+DP!$AP$17),IF(AW177=DP!$AN$18,AY177*(1+DP!$AP$18),0*1))))</f>
        <v>0</v>
      </c>
      <c r="CD177" s="102">
        <f>IF(AW177=DP!$AN$22,(DP!$AR$22),IF(AW177=DP!$AN$23,(DP!$AR$23),IF(AW177=DP!$AN$24,(DP!$AR$24),IF(AW177=DP!$AN$25,(DP!$AR$25),((0*1))))))</f>
        <v>0</v>
      </c>
      <c r="CE177" s="93">
        <f>CC177*CD177</f>
        <v>0</v>
      </c>
      <c r="CF177" s="100"/>
      <c r="CG177" s="149">
        <f t="shared" ref="CG177:CG195" si="178">IF(AY177&gt;0,CG$197/BA$196*BA177,0*1)</f>
        <v>0</v>
      </c>
      <c r="CH177" s="149">
        <f>DP!$N$35*BA177</f>
        <v>0</v>
      </c>
      <c r="CI177" s="149">
        <f>DP!$O$35*BA177</f>
        <v>0</v>
      </c>
      <c r="CJ177" s="149">
        <f>DP!$P$35*BA177</f>
        <v>0</v>
      </c>
    </row>
    <row r="178" spans="2:88" x14ac:dyDescent="0.35">
      <c r="B178" s="480">
        <f>DP!S19</f>
        <v>0</v>
      </c>
      <c r="C178" s="480" t="str">
        <f>DP!T19</f>
        <v>PALMITO RODAJA 800</v>
      </c>
      <c r="D178" s="480">
        <f>DP!U19</f>
        <v>800</v>
      </c>
      <c r="E178" s="480">
        <f>DP!V19</f>
        <v>500</v>
      </c>
      <c r="F178" s="412">
        <f t="shared" ref="F178:F195" si="179">IFERROR((H178*1000)/E178,0*1)</f>
        <v>0</v>
      </c>
      <c r="G178" s="470">
        <f>DP!AB19</f>
        <v>0</v>
      </c>
      <c r="H178" s="98">
        <f t="shared" ref="H178:H195" si="180">$D$172*G178</f>
        <v>0</v>
      </c>
      <c r="I178" s="97"/>
      <c r="J178" s="102">
        <f t="shared" si="169"/>
        <v>0</v>
      </c>
      <c r="K178" s="98">
        <f t="shared" si="170"/>
        <v>0</v>
      </c>
      <c r="L178" s="93">
        <f t="shared" si="171"/>
        <v>0</v>
      </c>
      <c r="M178" s="99">
        <f t="shared" si="172"/>
        <v>0</v>
      </c>
      <c r="N178" s="100"/>
      <c r="O178" s="102">
        <f>($E178/DP!$N$29)*F178</f>
        <v>0</v>
      </c>
      <c r="P178" s="102">
        <f>IF(O178&gt;0,(DP!$N$31),0*1)</f>
        <v>0</v>
      </c>
      <c r="Q178" s="102">
        <f t="shared" ref="Q178:Q195" si="181">O178*P178</f>
        <v>0</v>
      </c>
      <c r="R178" s="102">
        <f t="shared" ref="R178:R195" si="182">IF(O178&gt;0,S178/O178,0*1)</f>
        <v>0</v>
      </c>
      <c r="S178" s="418">
        <f t="shared" ref="S178:S195" si="183">IFERROR(IF(B178=1,(S$199+70%*S$200)/(SUMIF($B$177:$B$195,1,$H$177:$H$195))*H178,(30%*S$200)/(SUMIF($B$177:$B$195,0,$H$177:$H$195))*H178),0*1)</f>
        <v>0</v>
      </c>
      <c r="T178" s="475">
        <f>H178*DP!$U$44</f>
        <v>0</v>
      </c>
      <c r="U178" s="475">
        <f>IF(H178&gt;0,DP!$V$44,0*1)</f>
        <v>0</v>
      </c>
      <c r="V178" s="475">
        <f t="shared" ref="V178:V195" si="184">T178*U178</f>
        <v>0</v>
      </c>
      <c r="W178" s="475">
        <f>H178*DP!$U$45</f>
        <v>0</v>
      </c>
      <c r="X178" s="475">
        <f>IF(H178&gt;0,DP!$V$45,0*1)</f>
        <v>0</v>
      </c>
      <c r="Y178" s="475">
        <f t="shared" ref="Y178:Y195" si="185">W178*X178</f>
        <v>0</v>
      </c>
      <c r="Z178" s="100"/>
      <c r="AA178" s="93">
        <f>IF(D178=DP!$L$15,F178*(1+DP!$N$15),IF(D178=DP!$L$16,F178*(1+DP!$N$16),IF(D178=DP!$L$17,F178*(1+DP!$N$17),IF(D178=DP!$L$18,F178*(1+DP!$N$18),0*1))))</f>
        <v>0</v>
      </c>
      <c r="AB178" s="102">
        <f>IF(D178=DP!$L$22,(DP!$M$22),IF(D178=DP!$L$23,(DP!$M$23),IF(D178=DP!$L$24,(DP!$M$24),IF(D178=DP!$L$25,(DP!$M$25),((0*1))))))</f>
        <v>0</v>
      </c>
      <c r="AC178" s="93">
        <f t="shared" ref="AC178:AC195" si="186">AA178*AB178</f>
        <v>0</v>
      </c>
      <c r="AD178" s="93">
        <f>IF(D178=DP!$L$15,F178*(1+DP!$N$15),IF(D178=DP!$L$16,F178*(1+DP!$N$16),IF(D178=DP!$L$17,F178*(1+DP!$N$17),IF(D178=DP!$L$18,F178*(1+DP!$N$18),0*1))))</f>
        <v>0</v>
      </c>
      <c r="AE178" s="102">
        <f>IF(D178=DP!$L$22,(DP!$N$22),IF(D178=DP!$L$23,(DP!$N$23),IF(D178=DP!$L$24,(DP!$N$24),IF(D178=DP!$L$25,(DP!$N$25),((0*1))))))</f>
        <v>0</v>
      </c>
      <c r="AF178" s="93">
        <f t="shared" ref="AF178:AF195" si="187">AD178*AE178</f>
        <v>0</v>
      </c>
      <c r="AG178" s="93">
        <f>IF(D178=DP!$L$15,(F178/DP!$K$15)*(1+DP!$N$15),IF(D178=DP!$L$16,(F178/DP!$K$16)*(1+DP!$N$16),IF(D178=DP!$L$17,(F178/DP!$K$17)*(1+DP!$N$17),IF(D178=DP!$L$18,(F178/DP!$K$18)*(1+DP!$N$18),0*1))))</f>
        <v>0</v>
      </c>
      <c r="AH178" s="102">
        <f>IF(D178=DP!$L$22,(DP!$O$22),IF(D178=DP!$L$23,(DP!$O$23),IF(D178=DP!$L$24,(DP!$O$24),IF(D178=DP!$L$25,(DP!$O$25),((0*1))))))</f>
        <v>0</v>
      </c>
      <c r="AI178" s="93">
        <f t="shared" ref="AI178:AI195" si="188">AG178*AH178</f>
        <v>0</v>
      </c>
      <c r="AJ178" s="93">
        <f>IF(D178=DP!$L$15,F178*(1+DP!$N$15),IF(D178=DP!$L$16,F178*(1+DP!$N$16),IF(D178=DP!$L$17,F178*(1+DP!$N$17),IF(D178=DP!$L$18,F178*(1+DP!$N$18),0*1))))</f>
        <v>0</v>
      </c>
      <c r="AK178" s="102">
        <f>IF(D178=DP!$L$22,(DP!$P$22),IF(D178=DP!$L$23,(DP!$P$23),IF(D178=DP!$L$24,(DP!$P$24),IF(D178=DP!$L$25,(DP!$P$25),((0*1))))))</f>
        <v>0</v>
      </c>
      <c r="AL178" s="93">
        <f t="shared" ref="AL178:AL195" si="189">AJ178*AK178</f>
        <v>0</v>
      </c>
      <c r="AM178" s="100"/>
      <c r="AN178" s="149">
        <f t="shared" si="173"/>
        <v>0</v>
      </c>
      <c r="AO178" s="149">
        <f>DP!$N$35*H178</f>
        <v>0</v>
      </c>
      <c r="AP178" s="149">
        <f>DP!$O$35*H178</f>
        <v>0</v>
      </c>
      <c r="AQ178" s="149">
        <f>DP!$P$35*H178</f>
        <v>0</v>
      </c>
      <c r="AV178" s="489" t="str">
        <f>DP!AV19</f>
        <v>PIÑA TROZO 850</v>
      </c>
      <c r="AW178" s="489">
        <f>DP!AW19</f>
        <v>850</v>
      </c>
      <c r="AX178" s="489">
        <f>DP!AX19</f>
        <v>440</v>
      </c>
      <c r="AY178" s="412">
        <f t="shared" ref="AY178:AY195" si="190">IFERROR((BA178*1000)/AX178,0*1)</f>
        <v>0</v>
      </c>
      <c r="AZ178" s="470">
        <f>DP!BD19</f>
        <v>0</v>
      </c>
      <c r="BA178" s="98">
        <f t="shared" ref="BA178:BA195" si="191">$AW$172*AZ178</f>
        <v>0</v>
      </c>
      <c r="BB178" s="97"/>
      <c r="BC178" s="102">
        <f t="shared" si="174"/>
        <v>0</v>
      </c>
      <c r="BD178" s="98">
        <f t="shared" si="175"/>
        <v>0</v>
      </c>
      <c r="BE178" s="93">
        <f t="shared" si="176"/>
        <v>0</v>
      </c>
      <c r="BF178" s="99">
        <f t="shared" si="177"/>
        <v>0</v>
      </c>
      <c r="BG178" s="100"/>
      <c r="BH178" s="102">
        <f>IFERROR((BA178*100%)/DP!$AP$29,(0*1))</f>
        <v>0</v>
      </c>
      <c r="BI178" s="102">
        <f>IF(BH178&gt;0,(DP!$AP$31),0*1)</f>
        <v>0</v>
      </c>
      <c r="BJ178" s="435">
        <f t="shared" ref="BJ178:BJ192" si="192">BH178*BI178</f>
        <v>0</v>
      </c>
      <c r="BK178" s="475">
        <f>BA178*DP!$AW$44</f>
        <v>0</v>
      </c>
      <c r="BL178" s="475">
        <f>IF(BA178&gt;0,DP!$AX$44,0*1)</f>
        <v>0</v>
      </c>
      <c r="BM178" s="475">
        <f t="shared" ref="BM178:BM195" si="193">BK178*BL178</f>
        <v>0</v>
      </c>
      <c r="BN178" s="102">
        <f>BA178*DP!$AW$45</f>
        <v>0</v>
      </c>
      <c r="BO178" s="102">
        <f>IF(BA178&gt;0,DP!$AX$45,0*1)</f>
        <v>0</v>
      </c>
      <c r="BP178" s="475">
        <f t="shared" ref="BP178:BP195" si="194">BN178*BO178</f>
        <v>0</v>
      </c>
      <c r="BQ178" s="100"/>
      <c r="BR178" s="100"/>
      <c r="BS178" s="100"/>
      <c r="BT178" s="93">
        <f>IF(AW178=DP!$AN$15,AY178*(1+DP!$AP$15),IF(AW178=DP!$AN$16,AY178*(1+DP!$AP$16),IF(AW178=DP!$AN$17,AY178*(1+DP!$AP$17),IF(AW178=DP!$AN$18,AY178*(1+DP!$AP$18),0*1))))</f>
        <v>0</v>
      </c>
      <c r="BU178" s="102">
        <f>IF(AW178=DP!$AN$22,(DP!$AO$22),IF(AW178=DP!$AN$23,(DP!$AO$23),IF(AW178=DP!$AN$24,(DP!$AO$24),IF(AW178=DP!$AN$25,(DP!$AO$25),((0*1))))))</f>
        <v>0</v>
      </c>
      <c r="BV178" s="93">
        <f t="shared" ref="BV178:BV195" si="195">BT178*BU178</f>
        <v>0</v>
      </c>
      <c r="BW178" s="93">
        <f>IF(AW178=DP!$AN$15,AY178*(1+DP!$AP$15),IF(AW178=DP!$AN$16,AY178*(1+DP!$AP$16),IF(AW178=DP!$AN$17,AY178*(1+DP!$AP$17),IF(AW178=DP!$AN$18,AY178*(1+DP!$AP$18),0*1))))</f>
        <v>0</v>
      </c>
      <c r="BX178" s="102">
        <f>IF(AW178=DP!$AN$22,(DP!$AP$22),IF(AW178=DP!$AN$23,(DP!$AP$23),IF(AW178=DP!$AN$24,(DP!$AP$24),IF(AW178=DP!$AN$25,(DP!$AP$25),((0*1))))))</f>
        <v>0</v>
      </c>
      <c r="BY178" s="93">
        <f t="shared" ref="BY178:BY188" si="196">BW178*BX178</f>
        <v>0</v>
      </c>
      <c r="BZ178" s="93">
        <f>IF(AW178=DP!$AN$15,(AY178/DP!$AM$15)*(1+DP!$AP$15),IF(AW178=DP!$AN$16,(AY178/DP!$AM$16)*(1+DP!$AP$16),IF(AW178=DP!$AN$17,(AY178/DP!$AM$17)*(1+DP!$AP$17),IF(AW178=DP!$AN$18,(AY178/DP!$AM$18)*(1+DP!$AP$18),0*1))))</f>
        <v>0</v>
      </c>
      <c r="CA178" s="102">
        <f>IF(AW178=DP!$AN$22,(DP!$AQ$22),IF(AW178=DP!$AN$23,(DP!$AQ$23),IF(AW178=DP!$AN$24,(DP!$AQ$24),IF(AW178=DP!$AN$25,(DP!$AQ$25),((0*1))))))</f>
        <v>0</v>
      </c>
      <c r="CB178" s="93">
        <f t="shared" ref="CB178:CB195" si="197">BZ178*CA178</f>
        <v>0</v>
      </c>
      <c r="CC178" s="93">
        <f>IF(AW178=DP!$AN$15,AY178*(1+DP!$AP$15),IF(AW178=DP!$AN$16,AY178*(1+DP!$AP$16),IF(AW178=DP!$AN$17,AY178*(1+DP!$AP$17),IF(AW178=DP!$AN$18,AY178*(1+DP!$AP$18),0*1))))</f>
        <v>0</v>
      </c>
      <c r="CD178" s="102">
        <f>IF(AW178=DP!$AN$22,(DP!$AR$22),IF(AW178=DP!$AN$23,(DP!$AR$23),IF(AW178=DP!$AN$24,(DP!$AR$24),IF(AW178=DP!$AN$25,(DP!$AR$25),((0*1))))))</f>
        <v>0</v>
      </c>
      <c r="CE178" s="93">
        <f t="shared" ref="CE178:CE195" si="198">CC178*CD178</f>
        <v>0</v>
      </c>
      <c r="CF178" s="100"/>
      <c r="CG178" s="149">
        <f t="shared" si="178"/>
        <v>0</v>
      </c>
      <c r="CH178" s="149">
        <f>DP!$N$35*BA178</f>
        <v>0</v>
      </c>
      <c r="CI178" s="149">
        <f>DP!$O$35*BA178</f>
        <v>0</v>
      </c>
      <c r="CJ178" s="149">
        <f>DP!$P$35*BA178</f>
        <v>0</v>
      </c>
    </row>
    <row r="179" spans="2:88" x14ac:dyDescent="0.35">
      <c r="B179" s="480">
        <f>DP!S20</f>
        <v>0</v>
      </c>
      <c r="C179" s="480" t="str">
        <f>DP!T20</f>
        <v>PALMITO TROZO 800</v>
      </c>
      <c r="D179" s="480">
        <f>DP!U20</f>
        <v>800</v>
      </c>
      <c r="E179" s="480">
        <f>DP!V20</f>
        <v>500</v>
      </c>
      <c r="F179" s="412">
        <f t="shared" si="179"/>
        <v>0</v>
      </c>
      <c r="G179" s="470">
        <f>DP!AB20</f>
        <v>0</v>
      </c>
      <c r="H179" s="98">
        <f t="shared" si="180"/>
        <v>0</v>
      </c>
      <c r="I179" s="97"/>
      <c r="J179" s="102">
        <f t="shared" si="169"/>
        <v>0</v>
      </c>
      <c r="K179" s="98">
        <f t="shared" si="170"/>
        <v>0</v>
      </c>
      <c r="L179" s="93">
        <f t="shared" si="171"/>
        <v>0</v>
      </c>
      <c r="M179" s="99">
        <f t="shared" si="172"/>
        <v>0</v>
      </c>
      <c r="N179" s="100"/>
      <c r="O179" s="102">
        <f>($E179/DP!$N$29)*F179</f>
        <v>0</v>
      </c>
      <c r="P179" s="102">
        <f>IF(O179&gt;0,(DP!$N$31),0*1)</f>
        <v>0</v>
      </c>
      <c r="Q179" s="102">
        <f t="shared" si="181"/>
        <v>0</v>
      </c>
      <c r="R179" s="102">
        <f t="shared" si="182"/>
        <v>0</v>
      </c>
      <c r="S179" s="418">
        <f t="shared" si="183"/>
        <v>0</v>
      </c>
      <c r="T179" s="475">
        <f>H179*DP!$U$44</f>
        <v>0</v>
      </c>
      <c r="U179" s="475">
        <f>IF(H179&gt;0,DP!$V$44,0*1)</f>
        <v>0</v>
      </c>
      <c r="V179" s="475">
        <f t="shared" si="184"/>
        <v>0</v>
      </c>
      <c r="W179" s="475">
        <f>H179*DP!$U$45</f>
        <v>0</v>
      </c>
      <c r="X179" s="475">
        <f>IF(H179&gt;0,DP!$V$45,0*1)</f>
        <v>0</v>
      </c>
      <c r="Y179" s="475">
        <f t="shared" si="185"/>
        <v>0</v>
      </c>
      <c r="Z179" s="100"/>
      <c r="AA179" s="93">
        <f>IF(D179=DP!$L$15,F179*(1+DP!$N$15),IF(D179=DP!$L$16,F179*(1+DP!$N$16),IF(D179=DP!$L$17,F179*(1+DP!$N$17),IF(D179=DP!$L$18,F179*(1+DP!$N$18),0*1))))</f>
        <v>0</v>
      </c>
      <c r="AB179" s="102">
        <f>IF(D179=DP!$L$22,(DP!$M$22),IF(D179=DP!$L$23,(DP!$M$23),IF(D179=DP!$L$24,(DP!$M$24),IF(D179=DP!$L$25,(DP!$M$25),((0*1))))))</f>
        <v>0</v>
      </c>
      <c r="AC179" s="93">
        <f t="shared" si="186"/>
        <v>0</v>
      </c>
      <c r="AD179" s="93">
        <f>IF(D179=DP!$L$15,F179*(1+DP!$N$15),IF(D179=DP!$L$16,F179*(1+DP!$N$16),IF(D179=DP!$L$17,F179*(1+DP!$N$17),IF(D179=DP!$L$18,F179*(1+DP!$N$18),0*1))))</f>
        <v>0</v>
      </c>
      <c r="AE179" s="102">
        <f>IF(D179=DP!$L$22,(DP!$N$22),IF(D179=DP!$L$23,(DP!$N$23),IF(D179=DP!$L$24,(DP!$N$24),IF(D179=DP!$L$25,(DP!$N$25),((0*1))))))</f>
        <v>0</v>
      </c>
      <c r="AF179" s="93">
        <f t="shared" si="187"/>
        <v>0</v>
      </c>
      <c r="AG179" s="93">
        <f>IF(D179=DP!$L$15,(F179/DP!$K$15)*(1+DP!$N$15),IF(D179=DP!$L$16,(F179/DP!$K$16)*(1+DP!$N$16),IF(D179=DP!$L$17,(F179/DP!$K$17)*(1+DP!$N$17),IF(D179=DP!$L$18,(F179/DP!$K$18)*(1+DP!$N$18),0*1))))</f>
        <v>0</v>
      </c>
      <c r="AH179" s="102">
        <f>IF(D179=DP!$L$22,(DP!$O$22),IF(D179=DP!$L$23,(DP!$O$23),IF(D179=DP!$L$24,(DP!$O$24),IF(D179=DP!$L$25,(DP!$O$25),((0*1))))))</f>
        <v>0</v>
      </c>
      <c r="AI179" s="93">
        <f t="shared" si="188"/>
        <v>0</v>
      </c>
      <c r="AJ179" s="93">
        <f>IF(D179=DP!$L$15,F179*(1+DP!$N$15),IF(D179=DP!$L$16,F179*(1+DP!$N$16),IF(D179=DP!$L$17,F179*(1+DP!$N$17),IF(D179=DP!$L$18,F179*(1+DP!$N$18),0*1))))</f>
        <v>0</v>
      </c>
      <c r="AK179" s="102">
        <f>IF(D179=DP!$L$22,(DP!$P$22),IF(D179=DP!$L$23,(DP!$P$23),IF(D179=DP!$L$24,(DP!$P$24),IF(D179=DP!$L$25,(DP!$P$25),((0*1))))))</f>
        <v>0</v>
      </c>
      <c r="AL179" s="93">
        <f t="shared" si="189"/>
        <v>0</v>
      </c>
      <c r="AM179" s="100"/>
      <c r="AN179" s="149">
        <f t="shared" si="173"/>
        <v>0</v>
      </c>
      <c r="AO179" s="149">
        <f>DP!$N$35*H179</f>
        <v>0</v>
      </c>
      <c r="AP179" s="149">
        <f>DP!$O$35*H179</f>
        <v>0</v>
      </c>
      <c r="AQ179" s="149">
        <f>DP!$P$35*H179</f>
        <v>0</v>
      </c>
      <c r="AV179" s="489" t="str">
        <f>DP!AV20</f>
        <v>PIÑA TROZO A-10</v>
      </c>
      <c r="AW179" s="489">
        <f>DP!AW20</f>
        <v>2920</v>
      </c>
      <c r="AX179" s="489">
        <f>DP!AX20</f>
        <v>1825</v>
      </c>
      <c r="AY179" s="412">
        <f t="shared" si="190"/>
        <v>0</v>
      </c>
      <c r="AZ179" s="470">
        <f>DP!BD20</f>
        <v>0</v>
      </c>
      <c r="BA179" s="98">
        <f t="shared" si="191"/>
        <v>0</v>
      </c>
      <c r="BB179" s="97"/>
      <c r="BC179" s="102">
        <f t="shared" si="174"/>
        <v>0</v>
      </c>
      <c r="BD179" s="98">
        <f t="shared" si="175"/>
        <v>0</v>
      </c>
      <c r="BE179" s="93">
        <f t="shared" si="176"/>
        <v>0</v>
      </c>
      <c r="BF179" s="99">
        <f t="shared" si="177"/>
        <v>0</v>
      </c>
      <c r="BG179" s="100"/>
      <c r="BH179" s="102">
        <f>IFERROR((BA179*100%)/DP!$AP$29,(0*1))</f>
        <v>0</v>
      </c>
      <c r="BI179" s="102">
        <f>IF(BH179&gt;0,(DP!$AP$31),0*1)</f>
        <v>0</v>
      </c>
      <c r="BJ179" s="435">
        <f t="shared" si="192"/>
        <v>0</v>
      </c>
      <c r="BK179" s="475">
        <f>BA179*DP!$AW$44</f>
        <v>0</v>
      </c>
      <c r="BL179" s="475">
        <f>IF(BA179&gt;0,DP!$AX$44,0*1)</f>
        <v>0</v>
      </c>
      <c r="BM179" s="475">
        <f t="shared" si="193"/>
        <v>0</v>
      </c>
      <c r="BN179" s="102">
        <f>BA179*DP!$AW$45</f>
        <v>0</v>
      </c>
      <c r="BO179" s="102">
        <f>IF(BA179&gt;0,DP!$AX$45,0*1)</f>
        <v>0</v>
      </c>
      <c r="BP179" s="475">
        <f t="shared" si="194"/>
        <v>0</v>
      </c>
      <c r="BQ179" s="100"/>
      <c r="BR179" s="100"/>
      <c r="BS179" s="100"/>
      <c r="BT179" s="93">
        <f>IF(AW179=DP!$AN$15,AY179*(1+DP!$AP$15),IF(AW179=DP!$AN$16,AY179*(1+DP!$AP$16),IF(AW179=DP!$AN$17,AY179*(1+DP!$AP$17),IF(AW179=DP!$AN$18,AY179*(1+DP!$AP$18),0*1))))</f>
        <v>0</v>
      </c>
      <c r="BU179" s="102">
        <f>IF(AW179=DP!$AN$22,(DP!$AO$22),IF(AW179=DP!$AN$23,(DP!$AO$23),IF(AW179=DP!$AN$24,(DP!$AO$24),IF(AW179=DP!$AN$25,(DP!$AO$25),((0*1))))))</f>
        <v>0</v>
      </c>
      <c r="BV179" s="93">
        <f t="shared" si="195"/>
        <v>0</v>
      </c>
      <c r="BW179" s="93">
        <f>IF(AW179=DP!$AN$15,AY179*(1+DP!$AP$15),IF(AW179=DP!$AN$16,AY179*(1+DP!$AP$16),IF(AW179=DP!$AN$17,AY179*(1+DP!$AP$17),IF(AW179=DP!$AN$18,AY179*(1+DP!$AP$18),0*1))))</f>
        <v>0</v>
      </c>
      <c r="BX179" s="102">
        <f>IF(AW179=DP!$AN$22,(DP!$AP$22),IF(AW179=DP!$AN$23,(DP!$AP$23),IF(AW179=DP!$AN$24,(DP!$AP$24),IF(AW179=DP!$AN$25,(DP!$AP$25),((0*1))))))</f>
        <v>0</v>
      </c>
      <c r="BY179" s="93">
        <f t="shared" si="196"/>
        <v>0</v>
      </c>
      <c r="BZ179" s="93">
        <f>IF(AW179=DP!$AN$15,(AY179/DP!$AM$15)*(1+DP!$AP$15),IF(AW179=DP!$AN$16,(AY179/DP!$AM$16)*(1+DP!$AP$16),IF(AW179=DP!$AN$17,(AY179/DP!$AM$17)*(1+DP!$AP$17),IF(AW179=DP!$AN$18,(AY179/DP!$AM$18)*(1+DP!$AP$18),0*1))))</f>
        <v>0</v>
      </c>
      <c r="CA179" s="102">
        <f>IF(AW179=DP!$AN$22,(DP!$AQ$22),IF(AW179=DP!$AN$23,(DP!$AQ$23),IF(AW179=DP!$AN$24,(DP!$AQ$24),IF(AW179=DP!$AN$25,(DP!$AQ$25),((0*1))))))</f>
        <v>0</v>
      </c>
      <c r="CB179" s="93">
        <f t="shared" si="197"/>
        <v>0</v>
      </c>
      <c r="CC179" s="93">
        <f>IF(AW179=DP!$AN$15,AY179*(1+DP!$AP$15),IF(AW179=DP!$AN$16,AY179*(1+DP!$AP$16),IF(AW179=DP!$AN$17,AY179*(1+DP!$AP$17),IF(AW179=DP!$AN$18,AY179*(1+DP!$AP$18),0*1))))</f>
        <v>0</v>
      </c>
      <c r="CD179" s="102">
        <f>IF(AW179=DP!$AN$22,(DP!$AR$22),IF(AW179=DP!$AN$23,(DP!$AR$23),IF(AW179=DP!$AN$24,(DP!$AR$24),IF(AW179=DP!$AN$25,(DP!$AR$25),((0*1))))))</f>
        <v>0</v>
      </c>
      <c r="CE179" s="93">
        <f t="shared" si="198"/>
        <v>0</v>
      </c>
      <c r="CF179" s="100"/>
      <c r="CG179" s="149">
        <f t="shared" si="178"/>
        <v>0</v>
      </c>
      <c r="CH179" s="149">
        <f>DP!$N$35*BA179</f>
        <v>0</v>
      </c>
      <c r="CI179" s="149">
        <f>DP!$O$35*BA179</f>
        <v>0</v>
      </c>
      <c r="CJ179" s="149">
        <f>DP!$P$35*BA179</f>
        <v>0</v>
      </c>
    </row>
    <row r="180" spans="2:88" x14ac:dyDescent="0.35">
      <c r="B180" s="480">
        <f>DP!S21</f>
        <v>1</v>
      </c>
      <c r="C180" s="480" t="str">
        <f>DP!T21</f>
        <v>PALMITO ENTERO 400</v>
      </c>
      <c r="D180" s="480">
        <f>DP!U21</f>
        <v>400</v>
      </c>
      <c r="E180" s="480">
        <f>DP!V21</f>
        <v>220</v>
      </c>
      <c r="F180" s="412">
        <f t="shared" si="179"/>
        <v>0</v>
      </c>
      <c r="G180" s="470">
        <f>DP!AB21</f>
        <v>0</v>
      </c>
      <c r="H180" s="98">
        <f t="shared" si="180"/>
        <v>0</v>
      </c>
      <c r="I180" s="97"/>
      <c r="J180" s="102">
        <f t="shared" si="169"/>
        <v>0</v>
      </c>
      <c r="K180" s="98">
        <f t="shared" si="170"/>
        <v>0</v>
      </c>
      <c r="L180" s="93">
        <f t="shared" si="171"/>
        <v>0</v>
      </c>
      <c r="M180" s="99">
        <f t="shared" si="172"/>
        <v>0</v>
      </c>
      <c r="N180" s="100"/>
      <c r="O180" s="102">
        <f>($E180/DP!$N$29)*F180</f>
        <v>0</v>
      </c>
      <c r="P180" s="102">
        <f>IF(O180&gt;0,(DP!$N$31),0*1)</f>
        <v>0</v>
      </c>
      <c r="Q180" s="102">
        <f t="shared" si="181"/>
        <v>0</v>
      </c>
      <c r="R180" s="102">
        <f t="shared" si="182"/>
        <v>0</v>
      </c>
      <c r="S180" s="418">
        <f t="shared" si="183"/>
        <v>0</v>
      </c>
      <c r="T180" s="475">
        <f>H180*DP!$U$44</f>
        <v>0</v>
      </c>
      <c r="U180" s="475">
        <f>IF(H180&gt;0,DP!$V$44,0*1)</f>
        <v>0</v>
      </c>
      <c r="V180" s="475">
        <f t="shared" si="184"/>
        <v>0</v>
      </c>
      <c r="W180" s="475">
        <f>H180*DP!$U$45</f>
        <v>0</v>
      </c>
      <c r="X180" s="475">
        <f>IF(H180&gt;0,DP!$V$45,0*1)</f>
        <v>0</v>
      </c>
      <c r="Y180" s="475">
        <f t="shared" si="185"/>
        <v>0</v>
      </c>
      <c r="Z180" s="100"/>
      <c r="AA180" s="93">
        <f>IF(D180=DP!$L$15,F180*(1+DP!$N$15),IF(D180=DP!$L$16,F180*(1+DP!$N$16),IF(D180=DP!$L$17,F180*(1+DP!$N$17),IF(D180=DP!$L$18,F180*(1+DP!$N$18),0*1))))</f>
        <v>0</v>
      </c>
      <c r="AB180" s="102">
        <f>IF(D180=DP!$L$22,(DP!$M$22),IF(D180=DP!$L$23,(DP!$M$23),IF(D180=DP!$L$24,(DP!$M$24),IF(D180=DP!$L$25,(DP!$M$25),((0*1))))))</f>
        <v>0</v>
      </c>
      <c r="AC180" s="93">
        <f t="shared" si="186"/>
        <v>0</v>
      </c>
      <c r="AD180" s="93">
        <f>IF(D180=DP!$L$15,F180*(1+DP!$N$15),IF(D180=DP!$L$16,F180*(1+DP!$N$16),IF(D180=DP!$L$17,F180*(1+DP!$N$17),IF(D180=DP!$L$18,F180*(1+DP!$N$18),0*1))))</f>
        <v>0</v>
      </c>
      <c r="AE180" s="102">
        <f>IF(D180=DP!$L$22,(DP!$N$22),IF(D180=DP!$L$23,(DP!$N$23),IF(D180=DP!$L$24,(DP!$N$24),IF(D180=DP!$L$25,(DP!$N$25),((0*1))))))</f>
        <v>0</v>
      </c>
      <c r="AF180" s="93">
        <f t="shared" si="187"/>
        <v>0</v>
      </c>
      <c r="AG180" s="93">
        <f>IF(D180=DP!$L$15,(F180/DP!$K$15)*(1+DP!$N$15),IF(D180=DP!$L$16,(F180/DP!$K$16)*(1+DP!$N$16),IF(D180=DP!$L$17,(F180/DP!$K$17)*(1+DP!$N$17),IF(D180=DP!$L$18,(F180/DP!$K$18)*(1+DP!$N$18),0*1))))</f>
        <v>0</v>
      </c>
      <c r="AH180" s="102">
        <f>IF(D180=DP!$L$22,(DP!$O$22),IF(D180=DP!$L$23,(DP!$O$23),IF(D180=DP!$L$24,(DP!$O$24),IF(D180=DP!$L$25,(DP!$O$25),((0*1))))))</f>
        <v>0</v>
      </c>
      <c r="AI180" s="93">
        <f t="shared" si="188"/>
        <v>0</v>
      </c>
      <c r="AJ180" s="93">
        <f>IF(D180=DP!$L$15,F180*(1+DP!$N$15),IF(D180=DP!$L$16,F180*(1+DP!$N$16),IF(D180=DP!$L$17,F180*(1+DP!$N$17),IF(D180=DP!$L$18,F180*(1+DP!$N$18),0*1))))</f>
        <v>0</v>
      </c>
      <c r="AK180" s="102">
        <f>IF(D180=DP!$L$22,(DP!$P$22),IF(D180=DP!$L$23,(DP!$P$23),IF(D180=DP!$L$24,(DP!$P$24),IF(D180=DP!$L$25,(DP!$P$25),((0*1))))))</f>
        <v>0</v>
      </c>
      <c r="AL180" s="93">
        <f t="shared" si="189"/>
        <v>0</v>
      </c>
      <c r="AM180" s="100"/>
      <c r="AN180" s="149">
        <f t="shared" si="173"/>
        <v>0</v>
      </c>
      <c r="AO180" s="149">
        <f>DP!$N$35*H180</f>
        <v>0</v>
      </c>
      <c r="AP180" s="149">
        <f>DP!$O$35*H180</f>
        <v>0</v>
      </c>
      <c r="AQ180" s="149">
        <f>DP!$P$35*H180</f>
        <v>0</v>
      </c>
      <c r="AV180" s="489" t="str">
        <f>DP!AV21</f>
        <v>PIÑA RODAJA A-10</v>
      </c>
      <c r="AW180" s="489">
        <f>DP!AW21</f>
        <v>2920</v>
      </c>
      <c r="AX180" s="489">
        <f>DP!AX21</f>
        <v>1825</v>
      </c>
      <c r="AY180" s="412">
        <f t="shared" si="190"/>
        <v>0</v>
      </c>
      <c r="AZ180" s="470">
        <f>DP!BD21</f>
        <v>0</v>
      </c>
      <c r="BA180" s="98">
        <f t="shared" si="191"/>
        <v>0</v>
      </c>
      <c r="BB180" s="97"/>
      <c r="BC180" s="102">
        <f t="shared" si="174"/>
        <v>0</v>
      </c>
      <c r="BD180" s="98">
        <f t="shared" si="175"/>
        <v>0</v>
      </c>
      <c r="BE180" s="93">
        <f t="shared" si="176"/>
        <v>0</v>
      </c>
      <c r="BF180" s="99">
        <f t="shared" si="177"/>
        <v>0</v>
      </c>
      <c r="BG180" s="100"/>
      <c r="BH180" s="102">
        <f>IFERROR((BA180*100%)/DP!$AP$29,(0*1))</f>
        <v>0</v>
      </c>
      <c r="BI180" s="102">
        <f>IF(BH180&gt;0,(DP!$AP$31),0*1)</f>
        <v>0</v>
      </c>
      <c r="BJ180" s="435">
        <f t="shared" si="192"/>
        <v>0</v>
      </c>
      <c r="BK180" s="475">
        <f>BA180*DP!$AW$44</f>
        <v>0</v>
      </c>
      <c r="BL180" s="475">
        <f>IF(BA180&gt;0,DP!$AX$44,0*1)</f>
        <v>0</v>
      </c>
      <c r="BM180" s="475">
        <f t="shared" si="193"/>
        <v>0</v>
      </c>
      <c r="BN180" s="102">
        <f>BA180*DP!$AW$45</f>
        <v>0</v>
      </c>
      <c r="BO180" s="102">
        <f>IF(BA180&gt;0,DP!$AX$45,0*1)</f>
        <v>0</v>
      </c>
      <c r="BP180" s="475">
        <f t="shared" si="194"/>
        <v>0</v>
      </c>
      <c r="BQ180" s="100"/>
      <c r="BR180" s="100"/>
      <c r="BS180" s="100"/>
      <c r="BT180" s="93">
        <f>IF(AW180=DP!$AN$15,AY180*(1+DP!$AP$15),IF(AW180=DP!$AN$16,AY180*(1+DP!$AP$16),IF(AW180=DP!$AN$17,AY180*(1+DP!$AP$17),IF(AW180=DP!$AN$18,AY180*(1+DP!$AP$18),0*1))))</f>
        <v>0</v>
      </c>
      <c r="BU180" s="102">
        <f>IF(AW180=DP!$AN$22,(DP!$AO$22),IF(AW180=DP!$AN$23,(DP!$AO$23),IF(AW180=DP!$AN$24,(DP!$AO$24),IF(AW180=DP!$AN$25,(DP!$AO$25),((0*1))))))</f>
        <v>0</v>
      </c>
      <c r="BV180" s="93">
        <f t="shared" si="195"/>
        <v>0</v>
      </c>
      <c r="BW180" s="93">
        <f>IF(AW180=DP!$AN$15,AY180*(1+DP!$AP$15),IF(AW180=DP!$AN$16,AY180*(1+DP!$AP$16),IF(AW180=DP!$AN$17,AY180*(1+DP!$AP$17),IF(AW180=DP!$AN$18,AY180*(1+DP!$AP$18),0*1))))</f>
        <v>0</v>
      </c>
      <c r="BX180" s="102">
        <f>IF(AW180=DP!$AN$22,(DP!$AP$22),IF(AW180=DP!$AN$23,(DP!$AP$23),IF(AW180=DP!$AN$24,(DP!$AP$24),IF(AW180=DP!$AN$25,(DP!$AP$25),((0*1))))))</f>
        <v>0</v>
      </c>
      <c r="BY180" s="93">
        <f t="shared" si="196"/>
        <v>0</v>
      </c>
      <c r="BZ180" s="93">
        <f>IF(AW180=DP!$AN$15,(AY180/DP!$AM$15)*(1+DP!$AP$15),IF(AW180=DP!$AN$16,(AY180/DP!$AM$16)*(1+DP!$AP$16),IF(AW180=DP!$AN$17,(AY180/DP!$AM$17)*(1+DP!$AP$17),IF(AW180=DP!$AN$18,(AY180/DP!$AM$18)*(1+DP!$AP$18),0*1))))</f>
        <v>0</v>
      </c>
      <c r="CA180" s="102">
        <f>IF(AW180=DP!$AN$22,(DP!$AQ$22),IF(AW180=DP!$AN$23,(DP!$AQ$23),IF(AW180=DP!$AN$24,(DP!$AQ$24),IF(AW180=DP!$AN$25,(DP!$AQ$25),((0*1))))))</f>
        <v>0</v>
      </c>
      <c r="CB180" s="93">
        <f t="shared" si="197"/>
        <v>0</v>
      </c>
      <c r="CC180" s="93">
        <f>IF(AW180=DP!$AN$15,AY180*(1+DP!$AP$15),IF(AW180=DP!$AN$16,AY180*(1+DP!$AP$16),IF(AW180=DP!$AN$17,AY180*(1+DP!$AP$17),IF(AW180=DP!$AN$18,AY180*(1+DP!$AP$18),0*1))))</f>
        <v>0</v>
      </c>
      <c r="CD180" s="102">
        <f>IF(AW180=DP!$AN$22,(DP!$AR$22),IF(AW180=DP!$AN$23,(DP!$AR$23),IF(AW180=DP!$AN$24,(DP!$AR$24),IF(AW180=DP!$AN$25,(DP!$AR$25),((0*1))))))</f>
        <v>0</v>
      </c>
      <c r="CE180" s="93">
        <f t="shared" si="198"/>
        <v>0</v>
      </c>
      <c r="CF180" s="100"/>
      <c r="CG180" s="149">
        <f t="shared" si="178"/>
        <v>0</v>
      </c>
      <c r="CH180" s="149">
        <f>DP!$N$35*BA180</f>
        <v>0</v>
      </c>
      <c r="CI180" s="149">
        <f>DP!$O$35*BA180</f>
        <v>0</v>
      </c>
      <c r="CJ180" s="149">
        <f>DP!$P$35*BA180</f>
        <v>0</v>
      </c>
    </row>
    <row r="181" spans="2:88" x14ac:dyDescent="0.35">
      <c r="B181" s="480">
        <f>DP!S22</f>
        <v>0</v>
      </c>
      <c r="C181" s="480" t="str">
        <f>DP!T22</f>
        <v>PALMITO RODAJA 400</v>
      </c>
      <c r="D181" s="480">
        <f>DP!U22</f>
        <v>400</v>
      </c>
      <c r="E181" s="480">
        <f>DP!V22</f>
        <v>220</v>
      </c>
      <c r="F181" s="412">
        <f t="shared" si="179"/>
        <v>0</v>
      </c>
      <c r="G181" s="470">
        <f>DP!AB22</f>
        <v>0</v>
      </c>
      <c r="H181" s="98">
        <f t="shared" si="180"/>
        <v>0</v>
      </c>
      <c r="I181" s="97"/>
      <c r="J181" s="102">
        <f t="shared" si="169"/>
        <v>0</v>
      </c>
      <c r="K181" s="98">
        <f t="shared" si="170"/>
        <v>0</v>
      </c>
      <c r="L181" s="93">
        <f t="shared" si="171"/>
        <v>0</v>
      </c>
      <c r="M181" s="99">
        <f t="shared" si="172"/>
        <v>0</v>
      </c>
      <c r="N181" s="100"/>
      <c r="O181" s="102">
        <f>($E181/DP!$N$29)*F181</f>
        <v>0</v>
      </c>
      <c r="P181" s="102">
        <f>IF(O181&gt;0,(DP!$N$31),0*1)</f>
        <v>0</v>
      </c>
      <c r="Q181" s="102">
        <f t="shared" si="181"/>
        <v>0</v>
      </c>
      <c r="R181" s="102">
        <f t="shared" si="182"/>
        <v>0</v>
      </c>
      <c r="S181" s="418">
        <f t="shared" si="183"/>
        <v>0</v>
      </c>
      <c r="T181" s="475">
        <f>H181*DP!$U$44</f>
        <v>0</v>
      </c>
      <c r="U181" s="475">
        <f>IF(H181&gt;0,DP!$V$44,0*1)</f>
        <v>0</v>
      </c>
      <c r="V181" s="475">
        <f t="shared" si="184"/>
        <v>0</v>
      </c>
      <c r="W181" s="475">
        <f>H181*DP!$U$45</f>
        <v>0</v>
      </c>
      <c r="X181" s="475">
        <f>IF(H181&gt;0,DP!$V$45,0*1)</f>
        <v>0</v>
      </c>
      <c r="Y181" s="475">
        <f t="shared" si="185"/>
        <v>0</v>
      </c>
      <c r="Z181" s="100"/>
      <c r="AA181" s="93">
        <f>IF(D181=DP!$L$15,F181*(1+DP!$N$15),IF(D181=DP!$L$16,F181*(1+DP!$N$16),IF(D181=DP!$L$17,F181*(1+DP!$N$17),IF(D181=DP!$L$18,F181*(1+DP!$N$18),0*1))))</f>
        <v>0</v>
      </c>
      <c r="AB181" s="102">
        <f>IF(D181=DP!$L$22,(DP!$M$22),IF(D181=DP!$L$23,(DP!$M$23),IF(D181=DP!$L$24,(DP!$M$24),IF(D181=DP!$L$25,(DP!$M$25),((0*1))))))</f>
        <v>0</v>
      </c>
      <c r="AC181" s="93">
        <f t="shared" si="186"/>
        <v>0</v>
      </c>
      <c r="AD181" s="93">
        <f>IF(D181=DP!$L$15,F181*(1+DP!$N$15),IF(D181=DP!$L$16,F181*(1+DP!$N$16),IF(D181=DP!$L$17,F181*(1+DP!$N$17),IF(D181=DP!$L$18,F181*(1+DP!$N$18),0*1))))</f>
        <v>0</v>
      </c>
      <c r="AE181" s="102">
        <f>IF(D181=DP!$L$22,(DP!$N$22),IF(D181=DP!$L$23,(DP!$N$23),IF(D181=DP!$L$24,(DP!$N$24),IF(D181=DP!$L$25,(DP!$N$25),((0*1))))))</f>
        <v>0</v>
      </c>
      <c r="AF181" s="93">
        <f t="shared" si="187"/>
        <v>0</v>
      </c>
      <c r="AG181" s="93">
        <f>IF(D181=DP!$L$15,(F181/DP!$K$15)*(1+DP!$N$15),IF(D181=DP!$L$16,(F181/DP!$K$16)*(1+DP!$N$16),IF(D181=DP!$L$17,(F181/DP!$K$17)*(1+DP!$N$17),IF(D181=DP!$L$18,(F181/DP!$K$18)*(1+DP!$N$18),0*1))))</f>
        <v>0</v>
      </c>
      <c r="AH181" s="102">
        <f>IF(D181=DP!$L$22,(DP!$O$22),IF(D181=DP!$L$23,(DP!$O$23),IF(D181=DP!$L$24,(DP!$O$24),IF(D181=DP!$L$25,(DP!$O$25),((0*1))))))</f>
        <v>0</v>
      </c>
      <c r="AI181" s="93">
        <f t="shared" si="188"/>
        <v>0</v>
      </c>
      <c r="AJ181" s="93">
        <f>IF(D181=DP!$L$15,F181*(1+DP!$N$15),IF(D181=DP!$L$16,F181*(1+DP!$N$16),IF(D181=DP!$L$17,F181*(1+DP!$N$17),IF(D181=DP!$L$18,F181*(1+DP!$N$18),0*1))))</f>
        <v>0</v>
      </c>
      <c r="AK181" s="102">
        <f>IF(D181=DP!$L$22,(DP!$P$22),IF(D181=DP!$L$23,(DP!$P$23),IF(D181=DP!$L$24,(DP!$P$24),IF(D181=DP!$L$25,(DP!$P$25),((0*1))))))</f>
        <v>0</v>
      </c>
      <c r="AL181" s="93">
        <f t="shared" si="189"/>
        <v>0</v>
      </c>
      <c r="AM181" s="100"/>
      <c r="AN181" s="149">
        <f t="shared" si="173"/>
        <v>0</v>
      </c>
      <c r="AO181" s="149">
        <f>DP!$N$35*H181</f>
        <v>0</v>
      </c>
      <c r="AP181" s="149">
        <f>DP!$O$35*H181</f>
        <v>0</v>
      </c>
      <c r="AQ181" s="149">
        <f>DP!$P$35*H181</f>
        <v>0</v>
      </c>
      <c r="AV181" s="489" t="str">
        <f>DP!AV22</f>
        <v>PIÑA RODAJA 567</v>
      </c>
      <c r="AW181" s="489">
        <f>DP!AW22</f>
        <v>567</v>
      </c>
      <c r="AX181" s="489">
        <f>DP!AX22</f>
        <v>340</v>
      </c>
      <c r="AY181" s="412">
        <f t="shared" si="190"/>
        <v>270000</v>
      </c>
      <c r="AZ181" s="470">
        <f>DP!BD22</f>
        <v>0.5</v>
      </c>
      <c r="BA181" s="98">
        <f t="shared" si="191"/>
        <v>91800</v>
      </c>
      <c r="BB181" s="97"/>
      <c r="BC181" s="102">
        <f t="shared" si="174"/>
        <v>0.96041166831383962</v>
      </c>
      <c r="BD181" s="98">
        <f t="shared" si="175"/>
        <v>0.83461166831383959</v>
      </c>
      <c r="BE181" s="93">
        <f t="shared" si="176"/>
        <v>259311.1504447367</v>
      </c>
      <c r="BF181" s="99">
        <f t="shared" si="177"/>
        <v>225345.1504447367</v>
      </c>
      <c r="BG181" s="100"/>
      <c r="BH181" s="102">
        <f>IFERROR((BA181*100%)/DP!$AP$29,(0*1))</f>
        <v>204000</v>
      </c>
      <c r="BI181" s="102">
        <f>IF(BH181&gt;0,(DP!$AP$31),0*1)</f>
        <v>0.45</v>
      </c>
      <c r="BJ181" s="435">
        <f t="shared" si="192"/>
        <v>91800</v>
      </c>
      <c r="BK181" s="475">
        <f>BA181*DP!$AW$44</f>
        <v>229.5</v>
      </c>
      <c r="BL181" s="475">
        <f>IF(BA181&gt;0,DP!$AX$44,0*1)</f>
        <v>0.95</v>
      </c>
      <c r="BM181" s="475">
        <f t="shared" si="193"/>
        <v>218.02499999999998</v>
      </c>
      <c r="BN181" s="102">
        <f>BA181*DP!$AW$45</f>
        <v>15238.800000000001</v>
      </c>
      <c r="BO181" s="102">
        <f>IF(BA181&gt;0,DP!$AX$45,0*1)</f>
        <v>0.76919999999999999</v>
      </c>
      <c r="BP181" s="475">
        <f t="shared" si="194"/>
        <v>11721.684960000001</v>
      </c>
      <c r="BQ181" s="100"/>
      <c r="BR181" s="100"/>
      <c r="BS181" s="100"/>
      <c r="BT181" s="93">
        <f>IF(AW181=DP!$AN$15,AY181*(1+DP!$AP$15),IF(AW181=DP!$AN$16,AY181*(1+DP!$AP$16),IF(AW181=DP!$AN$17,AY181*(1+DP!$AP$17),IF(AW181=DP!$AN$18,AY181*(1+DP!$AP$18),0*1))))</f>
        <v>271350</v>
      </c>
      <c r="BU181" s="102">
        <f>IF(AW181=DP!$AN$22,(DP!$AO$22),IF(AW181=DP!$AN$23,(DP!$AO$23),IF(AW181=DP!$AN$24,(DP!$AO$24),IF(AW181=DP!$AN$25,(DP!$AO$25),((0*1))))))</f>
        <v>0.23</v>
      </c>
      <c r="BV181" s="93">
        <f t="shared" si="195"/>
        <v>62410.5</v>
      </c>
      <c r="BW181" s="93">
        <f>IF(AW181=DP!$AN$15,AY181*(1+DP!$AP$15),IF(AW181=DP!$AN$16,AY181*(1+DP!$AP$16),IF(AW181=DP!$AN$17,AY181*(1+DP!$AP$17),IF(AW181=DP!$AN$18,AY181*(1+DP!$AP$18),0*1))))</f>
        <v>271350</v>
      </c>
      <c r="BX181" s="102">
        <f>IF(AW181=DP!$AN$22,(DP!$AP$22),IF(AW181=DP!$AN$23,(DP!$AP$23),IF(AW181=DP!$AN$24,(DP!$AP$24),IF(AW181=DP!$AN$25,(DP!$AP$25),((0*1))))))</f>
        <v>5.5E-2</v>
      </c>
      <c r="BY181" s="93">
        <f t="shared" si="196"/>
        <v>14924.25</v>
      </c>
      <c r="BZ181" s="93">
        <f>IF(AW181=DP!$AN$15,(AY181/DP!$AM$15)*(1+DP!$AP$15),IF(AW181=DP!$AN$16,(AY181/DP!$AM$16)*(1+DP!$AP$16),IF(AW181=DP!$AN$17,(AY181/DP!$AM$17)*(1+DP!$AP$17),IF(AW181=DP!$AN$18,(AY181/DP!$AM$18)*(1+DP!$AP$18),0*1))))</f>
        <v>11306.249999999998</v>
      </c>
      <c r="CA181" s="102">
        <f>IF(AW181=DP!$AN$22,(DP!$AQ$22),IF(AW181=DP!$AN$23,(DP!$AQ$23),IF(AW181=DP!$AN$24,(DP!$AQ$24),IF(AW181=DP!$AN$25,(DP!$AQ$25),((0*1))))))</f>
        <v>0.51199999999999923</v>
      </c>
      <c r="CB181" s="93">
        <f t="shared" si="197"/>
        <v>5788.7999999999902</v>
      </c>
      <c r="CC181" s="93">
        <f>IF(AW181=DP!$AN$15,AY181*(1+DP!$AP$15),IF(AW181=DP!$AN$16,AY181*(1+DP!$AP$16),IF(AW181=DP!$AN$17,AY181*(1+DP!$AP$17),IF(AW181=DP!$AN$18,AY181*(1+DP!$AP$18),0*1))))</f>
        <v>271350</v>
      </c>
      <c r="CD181" s="102">
        <f>IF(AW181=DP!$AN$22,(DP!$AR$22),IF(AW181=DP!$AN$23,(DP!$AR$23),IF(AW181=DP!$AN$24,(DP!$AR$24),IF(AW181=DP!$AN$25,(DP!$AR$25),((0*1))))))</f>
        <v>3.3045977011494254E-2</v>
      </c>
      <c r="CE181" s="93">
        <f t="shared" si="198"/>
        <v>8967.0258620689656</v>
      </c>
      <c r="CF181" s="100"/>
      <c r="CG181" s="149">
        <f t="shared" si="178"/>
        <v>29514.864622667745</v>
      </c>
      <c r="CH181" s="149">
        <f>DP!$N$35*BA181</f>
        <v>1318.9655172413795</v>
      </c>
      <c r="CI181" s="149">
        <f>DP!$O$35*BA181</f>
        <v>5012.0689655172418</v>
      </c>
      <c r="CJ181" s="149">
        <f>DP!$P$35*BA181</f>
        <v>33966</v>
      </c>
    </row>
    <row r="182" spans="2:88" x14ac:dyDescent="0.35">
      <c r="B182" s="480">
        <f>DP!S23</f>
        <v>0</v>
      </c>
      <c r="C182" s="480" t="str">
        <f>DP!T23</f>
        <v>PALMITO TROZO 400</v>
      </c>
      <c r="D182" s="480">
        <f>DP!U23</f>
        <v>400</v>
      </c>
      <c r="E182" s="480">
        <f>DP!V23</f>
        <v>236</v>
      </c>
      <c r="F182" s="412">
        <f t="shared" si="179"/>
        <v>0</v>
      </c>
      <c r="G182" s="470">
        <f>DP!AB23</f>
        <v>0</v>
      </c>
      <c r="H182" s="98">
        <f t="shared" si="180"/>
        <v>0</v>
      </c>
      <c r="I182" s="97"/>
      <c r="J182" s="102">
        <f t="shared" si="169"/>
        <v>0</v>
      </c>
      <c r="K182" s="98">
        <f t="shared" si="170"/>
        <v>0</v>
      </c>
      <c r="L182" s="93">
        <f t="shared" si="171"/>
        <v>0</v>
      </c>
      <c r="M182" s="99">
        <f t="shared" si="172"/>
        <v>0</v>
      </c>
      <c r="N182" s="100"/>
      <c r="O182" s="102">
        <f>($E182/DP!$N$29)*F182</f>
        <v>0</v>
      </c>
      <c r="P182" s="102">
        <f>IF(O182&gt;0,(DP!$N$31),0*1)</f>
        <v>0</v>
      </c>
      <c r="Q182" s="102">
        <f t="shared" si="181"/>
        <v>0</v>
      </c>
      <c r="R182" s="102">
        <f t="shared" si="182"/>
        <v>0</v>
      </c>
      <c r="S182" s="418">
        <f t="shared" si="183"/>
        <v>0</v>
      </c>
      <c r="T182" s="475">
        <f>H182*DP!$U$44</f>
        <v>0</v>
      </c>
      <c r="U182" s="475">
        <f>IF(H182&gt;0,DP!$V$44,0*1)</f>
        <v>0</v>
      </c>
      <c r="V182" s="475">
        <f t="shared" si="184"/>
        <v>0</v>
      </c>
      <c r="W182" s="475">
        <f>H182*DP!$U$45</f>
        <v>0</v>
      </c>
      <c r="X182" s="475">
        <f>IF(H182&gt;0,DP!$V$45,0*1)</f>
        <v>0</v>
      </c>
      <c r="Y182" s="475">
        <f t="shared" si="185"/>
        <v>0</v>
      </c>
      <c r="Z182" s="100"/>
      <c r="AA182" s="93">
        <f>IF(D182=DP!$L$15,F182*(1+DP!$N$15),IF(D182=DP!$L$16,F182*(1+DP!$N$16),IF(D182=DP!$L$17,F182*(1+DP!$N$17),IF(D182=DP!$L$18,F182*(1+DP!$N$18),0*1))))</f>
        <v>0</v>
      </c>
      <c r="AB182" s="102">
        <f>IF(D182=DP!$L$22,(DP!$M$22),IF(D182=DP!$L$23,(DP!$M$23),IF(D182=DP!$L$24,(DP!$M$24),IF(D182=DP!$L$25,(DP!$M$25),((0*1))))))</f>
        <v>0</v>
      </c>
      <c r="AC182" s="93">
        <f t="shared" si="186"/>
        <v>0</v>
      </c>
      <c r="AD182" s="93">
        <f>IF(D182=DP!$L$15,F182*(1+DP!$N$15),IF(D182=DP!$L$16,F182*(1+DP!$N$16),IF(D182=DP!$L$17,F182*(1+DP!$N$17),IF(D182=DP!$L$18,F182*(1+DP!$N$18),0*1))))</f>
        <v>0</v>
      </c>
      <c r="AE182" s="102">
        <f>IF(D182=DP!$L$22,(DP!$N$22),IF(D182=DP!$L$23,(DP!$N$23),IF(D182=DP!$L$24,(DP!$N$24),IF(D182=DP!$L$25,(DP!$N$25),((0*1))))))</f>
        <v>0</v>
      </c>
      <c r="AF182" s="93">
        <f t="shared" si="187"/>
        <v>0</v>
      </c>
      <c r="AG182" s="93">
        <f>IF(D182=DP!$L$15,(F182/DP!$K$15)*(1+DP!$N$15),IF(D182=DP!$L$16,(F182/DP!$K$16)*(1+DP!$N$16),IF(D182=DP!$L$17,(F182/DP!$K$17)*(1+DP!$N$17),IF(D182=DP!$L$18,(F182/DP!$K$18)*(1+DP!$N$18),0*1))))</f>
        <v>0</v>
      </c>
      <c r="AH182" s="102">
        <f>IF(D182=DP!$L$22,(DP!$O$22),IF(D182=DP!$L$23,(DP!$O$23),IF(D182=DP!$L$24,(DP!$O$24),IF(D182=DP!$L$25,(DP!$O$25),((0*1))))))</f>
        <v>0</v>
      </c>
      <c r="AI182" s="93">
        <f t="shared" si="188"/>
        <v>0</v>
      </c>
      <c r="AJ182" s="93">
        <f>IF(D182=DP!$L$15,F182*(1+DP!$N$15),IF(D182=DP!$L$16,F182*(1+DP!$N$16),IF(D182=DP!$L$17,F182*(1+DP!$N$17),IF(D182=DP!$L$18,F182*(1+DP!$N$18),0*1))))</f>
        <v>0</v>
      </c>
      <c r="AK182" s="102">
        <f>IF(D182=DP!$L$22,(DP!$P$22),IF(D182=DP!$L$23,(DP!$P$23),IF(D182=DP!$L$24,(DP!$P$24),IF(D182=DP!$L$25,(DP!$P$25),((0*1))))))</f>
        <v>0</v>
      </c>
      <c r="AL182" s="93">
        <f t="shared" si="189"/>
        <v>0</v>
      </c>
      <c r="AM182" s="100"/>
      <c r="AN182" s="149">
        <f t="shared" si="173"/>
        <v>0</v>
      </c>
      <c r="AO182" s="149">
        <f>DP!$N$35*H182</f>
        <v>0</v>
      </c>
      <c r="AP182" s="149">
        <f>DP!$O$35*H182</f>
        <v>0</v>
      </c>
      <c r="AQ182" s="149">
        <f>DP!$P$35*H182</f>
        <v>0</v>
      </c>
      <c r="AV182" s="489" t="str">
        <f>DP!AV23</f>
        <v>PIÑA TROZO 567</v>
      </c>
      <c r="AW182" s="489">
        <f>DP!AW23</f>
        <v>567</v>
      </c>
      <c r="AX182" s="489">
        <f>DP!AX23</f>
        <v>340</v>
      </c>
      <c r="AY182" s="412">
        <f t="shared" si="190"/>
        <v>108000</v>
      </c>
      <c r="AZ182" s="470">
        <f>DP!BD23</f>
        <v>0.2</v>
      </c>
      <c r="BA182" s="98">
        <f t="shared" si="191"/>
        <v>36720</v>
      </c>
      <c r="BB182" s="97"/>
      <c r="BC182" s="102">
        <f t="shared" si="174"/>
        <v>0.9604116683138394</v>
      </c>
      <c r="BD182" s="98">
        <f t="shared" si="175"/>
        <v>0.83461166831383948</v>
      </c>
      <c r="BE182" s="93">
        <f t="shared" si="176"/>
        <v>103724.46017789465</v>
      </c>
      <c r="BF182" s="99">
        <f t="shared" si="177"/>
        <v>90138.060177894658</v>
      </c>
      <c r="BG182" s="100"/>
      <c r="BH182" s="102">
        <f>IFERROR((BA182*100%)/DP!$AP$29,(0*1))</f>
        <v>81600</v>
      </c>
      <c r="BI182" s="102">
        <f>IF(BH182&gt;0,(DP!$AP$31),0*1)</f>
        <v>0.45</v>
      </c>
      <c r="BJ182" s="435">
        <f t="shared" si="192"/>
        <v>36720</v>
      </c>
      <c r="BK182" s="475">
        <f>BA182*DP!$AW$44</f>
        <v>91.8</v>
      </c>
      <c r="BL182" s="475">
        <f>IF(BA182&gt;0,DP!$AX$44,0*1)</f>
        <v>0.95</v>
      </c>
      <c r="BM182" s="475">
        <f t="shared" si="193"/>
        <v>87.21</v>
      </c>
      <c r="BN182" s="102">
        <f>BA182*DP!$AW$45</f>
        <v>6095.52</v>
      </c>
      <c r="BO182" s="102">
        <f>IF(BA182&gt;0,DP!$AX$45,0*1)</f>
        <v>0.76919999999999999</v>
      </c>
      <c r="BP182" s="475">
        <f t="shared" si="194"/>
        <v>4688.673984</v>
      </c>
      <c r="BQ182" s="100"/>
      <c r="BR182" s="100"/>
      <c r="BS182" s="100"/>
      <c r="BT182" s="93">
        <f>IF(AW182=DP!$AN$15,AY182*(1+DP!$AP$15),IF(AW182=DP!$AN$16,AY182*(1+DP!$AP$16),IF(AW182=DP!$AN$17,AY182*(1+DP!$AP$17),IF(AW182=DP!$AN$18,AY182*(1+DP!$AP$18),0*1))))</f>
        <v>108539.99999999999</v>
      </c>
      <c r="BU182" s="102">
        <f>IF(AW182=DP!$AN$22,(DP!$AO$22),IF(AW182=DP!$AN$23,(DP!$AO$23),IF(AW182=DP!$AN$24,(DP!$AO$24),IF(AW182=DP!$AN$25,(DP!$AO$25),((0*1))))))</f>
        <v>0.23</v>
      </c>
      <c r="BV182" s="93">
        <f t="shared" si="195"/>
        <v>24964.199999999997</v>
      </c>
      <c r="BW182" s="93">
        <f>IF(AW182=DP!$AN$15,AY182*(1+DP!$AP$15),IF(AW182=DP!$AN$16,AY182*(1+DP!$AP$16),IF(AW182=DP!$AN$17,AY182*(1+DP!$AP$17),IF(AW182=DP!$AN$18,AY182*(1+DP!$AP$18),0*1))))</f>
        <v>108539.99999999999</v>
      </c>
      <c r="BX182" s="102">
        <f>IF(AW182=DP!$AN$22,(DP!$AP$22),IF(AW182=DP!$AN$23,(DP!$AP$23),IF(AW182=DP!$AN$24,(DP!$AP$24),IF(AW182=DP!$AN$25,(DP!$AP$25),((0*1))))))</f>
        <v>5.5E-2</v>
      </c>
      <c r="BY182" s="93">
        <f t="shared" si="196"/>
        <v>5969.6999999999989</v>
      </c>
      <c r="BZ182" s="93">
        <f>IF(AW182=DP!$AN$15,(AY182/DP!$AM$15)*(1+DP!$AP$15),IF(AW182=DP!$AN$16,(AY182/DP!$AM$16)*(1+DP!$AP$16),IF(AW182=DP!$AN$17,(AY182/DP!$AM$17)*(1+DP!$AP$17),IF(AW182=DP!$AN$18,(AY182/DP!$AM$18)*(1+DP!$AP$18),0*1))))</f>
        <v>4522.4999999999991</v>
      </c>
      <c r="CA182" s="102">
        <f>IF(AW182=DP!$AN$22,(DP!$AQ$22),IF(AW182=DP!$AN$23,(DP!$AQ$23),IF(AW182=DP!$AN$24,(DP!$AQ$24),IF(AW182=DP!$AN$25,(DP!$AQ$25),((0*1))))))</f>
        <v>0.51199999999999923</v>
      </c>
      <c r="CB182" s="93">
        <f t="shared" si="197"/>
        <v>2315.5199999999959</v>
      </c>
      <c r="CC182" s="93">
        <f>IF(AW182=DP!$AN$15,AY182*(1+DP!$AP$15),IF(AW182=DP!$AN$16,AY182*(1+DP!$AP$16),IF(AW182=DP!$AN$17,AY182*(1+DP!$AP$17),IF(AW182=DP!$AN$18,AY182*(1+DP!$AP$18),0*1))))</f>
        <v>108539.99999999999</v>
      </c>
      <c r="CD182" s="102">
        <f>IF(AW182=DP!$AN$22,(DP!$AR$22),IF(AW182=DP!$AN$23,(DP!$AR$23),IF(AW182=DP!$AN$24,(DP!$AR$24),IF(AW182=DP!$AN$25,(DP!$AR$25),((0*1))))))</f>
        <v>3.3045977011494254E-2</v>
      </c>
      <c r="CE182" s="93">
        <f t="shared" si="198"/>
        <v>3586.8103448275861</v>
      </c>
      <c r="CF182" s="100"/>
      <c r="CG182" s="149">
        <f t="shared" si="178"/>
        <v>11805.945849067097</v>
      </c>
      <c r="CH182" s="149">
        <f>DP!$N$35*BA182</f>
        <v>527.58620689655174</v>
      </c>
      <c r="CI182" s="149">
        <f>DP!$O$35*BA182</f>
        <v>2004.8275862068967</v>
      </c>
      <c r="CJ182" s="149">
        <f>DP!$P$35*BA182</f>
        <v>13586.4</v>
      </c>
    </row>
    <row r="183" spans="2:88" x14ac:dyDescent="0.35">
      <c r="B183" s="480">
        <f>DP!S24</f>
        <v>0</v>
      </c>
      <c r="C183" s="480" t="str">
        <f>DP!T24</f>
        <v>PALMITO TROZO  A-10</v>
      </c>
      <c r="D183" s="480">
        <f>DP!U24</f>
        <v>2920</v>
      </c>
      <c r="E183" s="480">
        <f>DP!V24</f>
        <v>1825</v>
      </c>
      <c r="F183" s="412">
        <f t="shared" si="179"/>
        <v>0</v>
      </c>
      <c r="G183" s="470">
        <f>DP!AB24</f>
        <v>0</v>
      </c>
      <c r="H183" s="98">
        <f t="shared" si="180"/>
        <v>0</v>
      </c>
      <c r="I183" s="97"/>
      <c r="J183" s="102">
        <f t="shared" si="169"/>
        <v>0</v>
      </c>
      <c r="K183" s="98">
        <f t="shared" si="170"/>
        <v>0</v>
      </c>
      <c r="L183" s="93">
        <f t="shared" si="171"/>
        <v>0</v>
      </c>
      <c r="M183" s="99">
        <f t="shared" si="172"/>
        <v>0</v>
      </c>
      <c r="N183" s="100"/>
      <c r="O183" s="102">
        <f>($E183/DP!$N$29)*F183</f>
        <v>0</v>
      </c>
      <c r="P183" s="102">
        <f>IF(O183&gt;0,(DP!$N$31),0*1)</f>
        <v>0</v>
      </c>
      <c r="Q183" s="102">
        <f t="shared" si="181"/>
        <v>0</v>
      </c>
      <c r="R183" s="102">
        <f t="shared" si="182"/>
        <v>0</v>
      </c>
      <c r="S183" s="418">
        <f t="shared" si="183"/>
        <v>0</v>
      </c>
      <c r="T183" s="475">
        <f>H183*DP!$U$44</f>
        <v>0</v>
      </c>
      <c r="U183" s="475">
        <f>IF(H183&gt;0,DP!$V$44,0*1)</f>
        <v>0</v>
      </c>
      <c r="V183" s="475">
        <f t="shared" si="184"/>
        <v>0</v>
      </c>
      <c r="W183" s="475">
        <f>H183*DP!$U$45</f>
        <v>0</v>
      </c>
      <c r="X183" s="475">
        <f>IF(H183&gt;0,DP!$V$45,0*1)</f>
        <v>0</v>
      </c>
      <c r="Y183" s="475">
        <f t="shared" si="185"/>
        <v>0</v>
      </c>
      <c r="Z183" s="100"/>
      <c r="AA183" s="93">
        <f>IF(D183=DP!$L$15,F183*(1+DP!$N$15),IF(D183=DP!$L$16,F183*(1+DP!$N$16),IF(D183=DP!$L$17,F183*(1+DP!$N$17),IF(D183=DP!$L$18,F183*(1+DP!$N$18),0*1))))</f>
        <v>0</v>
      </c>
      <c r="AB183" s="102">
        <f>IF(D183=DP!$L$22,(DP!$M$22),IF(D183=DP!$L$23,(DP!$M$23),IF(D183=DP!$L$24,(DP!$M$24),IF(D183=DP!$L$25,(DP!$M$25),((0*1))))))</f>
        <v>0</v>
      </c>
      <c r="AC183" s="93">
        <f t="shared" si="186"/>
        <v>0</v>
      </c>
      <c r="AD183" s="93">
        <f>IF(D183=DP!$L$15,F183*(1+DP!$N$15),IF(D183=DP!$L$16,F183*(1+DP!$N$16),IF(D183=DP!$L$17,F183*(1+DP!$N$17),IF(D183=DP!$L$18,F183*(1+DP!$N$18),0*1))))</f>
        <v>0</v>
      </c>
      <c r="AE183" s="102">
        <f>IF(D183=DP!$L$22,(DP!$N$22),IF(D183=DP!$L$23,(DP!$N$23),IF(D183=DP!$L$24,(DP!$N$24),IF(D183=DP!$L$25,(DP!$N$25),((0*1))))))</f>
        <v>0</v>
      </c>
      <c r="AF183" s="93">
        <f t="shared" si="187"/>
        <v>0</v>
      </c>
      <c r="AG183" s="93">
        <f>IF(D183=DP!$L$15,(F183/DP!$K$15)*(1+DP!$N$15),IF(D183=DP!$L$16,(F183/DP!$K$16)*(1+DP!$N$16),IF(D183=DP!$L$17,(F183/DP!$K$17)*(1+DP!$N$17),IF(D183=DP!$L$18,(F183/DP!$K$18)*(1+DP!$N$18),0*1))))</f>
        <v>0</v>
      </c>
      <c r="AH183" s="102">
        <f>IF(D183=DP!$L$22,(DP!$O$22),IF(D183=DP!$L$23,(DP!$O$23),IF(D183=DP!$L$24,(DP!$O$24),IF(D183=DP!$L$25,(DP!$O$25),((0*1))))))</f>
        <v>0</v>
      </c>
      <c r="AI183" s="93">
        <f t="shared" si="188"/>
        <v>0</v>
      </c>
      <c r="AJ183" s="93">
        <f>IF(D183=DP!$L$15,F183*(1+DP!$N$15),IF(D183=DP!$L$16,F183*(1+DP!$N$16),IF(D183=DP!$L$17,F183*(1+DP!$N$17),IF(D183=DP!$L$18,F183*(1+DP!$N$18),0*1))))</f>
        <v>0</v>
      </c>
      <c r="AK183" s="102">
        <f>IF(D183=DP!$L$22,(DP!$P$22),IF(D183=DP!$L$23,(DP!$P$23),IF(D183=DP!$L$24,(DP!$P$24),IF(D183=DP!$L$25,(DP!$P$25),((0*1))))))</f>
        <v>0</v>
      </c>
      <c r="AL183" s="93">
        <f t="shared" si="189"/>
        <v>0</v>
      </c>
      <c r="AM183" s="100"/>
      <c r="AN183" s="149">
        <f t="shared" si="173"/>
        <v>0</v>
      </c>
      <c r="AO183" s="149">
        <f>DP!$N$35*H183</f>
        <v>0</v>
      </c>
      <c r="AP183" s="149">
        <f>DP!$O$35*H183</f>
        <v>0</v>
      </c>
      <c r="AQ183" s="149">
        <f>DP!$P$35*H183</f>
        <v>0</v>
      </c>
      <c r="AV183" s="489" t="str">
        <f>DP!AV24</f>
        <v>PIÑA RODAJA 822</v>
      </c>
      <c r="AW183" s="489">
        <f>DP!AW24</f>
        <v>822</v>
      </c>
      <c r="AX183" s="489">
        <f>DP!AX24</f>
        <v>500</v>
      </c>
      <c r="AY183" s="412">
        <f t="shared" si="190"/>
        <v>73440</v>
      </c>
      <c r="AZ183" s="470">
        <f>DP!BD24</f>
        <v>0.2</v>
      </c>
      <c r="BA183" s="98">
        <f t="shared" si="191"/>
        <v>36720</v>
      </c>
      <c r="BB183" s="97"/>
      <c r="BC183" s="102">
        <f t="shared" si="174"/>
        <v>1.2984286501572693</v>
      </c>
      <c r="BD183" s="98">
        <f t="shared" si="175"/>
        <v>1.1134286501572692</v>
      </c>
      <c r="BE183" s="93">
        <f t="shared" si="176"/>
        <v>95356.600067549851</v>
      </c>
      <c r="BF183" s="99">
        <f t="shared" si="177"/>
        <v>81770.200067549857</v>
      </c>
      <c r="BG183" s="100"/>
      <c r="BH183" s="102">
        <f>IFERROR((BA183*100%)/DP!$AP$29,(0*1))</f>
        <v>81600</v>
      </c>
      <c r="BI183" s="102">
        <f>IF(BH183&gt;0,(DP!$AP$31),0*1)</f>
        <v>0.45</v>
      </c>
      <c r="BJ183" s="435">
        <f t="shared" si="192"/>
        <v>36720</v>
      </c>
      <c r="BK183" s="475">
        <f>BA183*DP!$AW$44</f>
        <v>91.8</v>
      </c>
      <c r="BL183" s="475">
        <f>IF(BA183&gt;0,DP!$AX$44,0*1)</f>
        <v>0.95</v>
      </c>
      <c r="BM183" s="475">
        <f t="shared" si="193"/>
        <v>87.21</v>
      </c>
      <c r="BN183" s="102">
        <f>BA183*DP!$AW$45</f>
        <v>6095.52</v>
      </c>
      <c r="BO183" s="102">
        <f>IF(BA183&gt;0,DP!$AX$45,0*1)</f>
        <v>0.76919999999999999</v>
      </c>
      <c r="BP183" s="475">
        <f t="shared" si="194"/>
        <v>4688.673984</v>
      </c>
      <c r="BQ183" s="100"/>
      <c r="BR183" s="100"/>
      <c r="BS183" s="100"/>
      <c r="BT183" s="93">
        <f>IF(AW183=DP!$AN$15,AY183*(1+DP!$AP$15),IF(AW183=DP!$AN$16,AY183*(1+DP!$AP$16),IF(AW183=DP!$AN$17,AY183*(1+DP!$AP$17),IF(AW183=DP!$AN$18,AY183*(1+DP!$AP$18),0*1))))</f>
        <v>73807.199999999997</v>
      </c>
      <c r="BU183" s="102">
        <f>IF(AW183=DP!$AN$22,(DP!$AO$22),IF(AW183=DP!$AN$23,(DP!$AO$23),IF(AW183=DP!$AN$24,(DP!$AO$24),IF(AW183=DP!$AN$25,(DP!$AO$25),((0*1))))))</f>
        <v>0.24</v>
      </c>
      <c r="BV183" s="93">
        <f t="shared" si="195"/>
        <v>17713.727999999999</v>
      </c>
      <c r="BW183" s="93">
        <f>IF(AW183=DP!$AN$15,AY183*(1+DP!$AP$15),IF(AW183=DP!$AN$16,AY183*(1+DP!$AP$16),IF(AW183=DP!$AN$17,AY183*(1+DP!$AP$17),IF(AW183=DP!$AN$18,AY183*(1+DP!$AP$18),0*1))))</f>
        <v>73807.199999999997</v>
      </c>
      <c r="BX183" s="102">
        <f>IF(AW183=DP!$AN$22,(DP!$AP$22),IF(AW183=DP!$AN$23,(DP!$AP$23),IF(AW183=DP!$AN$24,(DP!$AP$24),IF(AW183=DP!$AN$25,(DP!$AP$25),((0*1))))))</f>
        <v>7.0000000000000007E-2</v>
      </c>
      <c r="BY183" s="93">
        <f t="shared" si="196"/>
        <v>5166.5039999999999</v>
      </c>
      <c r="BZ183" s="93">
        <f>IF(AW183=DP!$AN$15,(AY183/DP!$AM$15)*(1+DP!$AP$15),IF(AW183=DP!$AN$16,(AY183/DP!$AM$16)*(1+DP!$AP$16),IF(AW183=DP!$AN$17,(AY183/DP!$AM$17)*(1+DP!$AP$17),IF(AW183=DP!$AN$18,(AY183/DP!$AM$18)*(1+DP!$AP$18),0*1))))</f>
        <v>6150.5999999999995</v>
      </c>
      <c r="CA183" s="102">
        <f>IF(AW183=DP!$AN$22,(DP!$AQ$22),IF(AW183=DP!$AN$23,(DP!$AQ$23),IF(AW183=DP!$AN$24,(DP!$AQ$24),IF(AW183=DP!$AN$25,(DP!$AQ$25),((0*1))))))</f>
        <v>0.51200000000000045</v>
      </c>
      <c r="CB183" s="93">
        <f t="shared" si="197"/>
        <v>3149.1072000000026</v>
      </c>
      <c r="CC183" s="93">
        <f>IF(AW183=DP!$AN$15,AY183*(1+DP!$AP$15),IF(AW183=DP!$AN$16,AY183*(1+DP!$AP$16),IF(AW183=DP!$AN$17,AY183*(1+DP!$AP$17),IF(AW183=DP!$AN$18,AY183*(1+DP!$AP$18),0*1))))</f>
        <v>73807.199999999997</v>
      </c>
      <c r="CD183" s="102">
        <f>IF(AW183=DP!$AN$22,(DP!$AR$22),IF(AW183=DP!$AN$23,(DP!$AR$23),IF(AW183=DP!$AN$24,(DP!$AR$24),IF(AW183=DP!$AN$25,(DP!$AR$25),((0*1))))))</f>
        <v>3.3045977011494254E-2</v>
      </c>
      <c r="CE183" s="93">
        <f t="shared" si="198"/>
        <v>2439.0310344827585</v>
      </c>
      <c r="CF183" s="100"/>
      <c r="CG183" s="149">
        <f t="shared" si="178"/>
        <v>11805.945849067097</v>
      </c>
      <c r="CH183" s="149">
        <f>DP!$N$35*BA183</f>
        <v>527.58620689655174</v>
      </c>
      <c r="CI183" s="149">
        <f>DP!$O$35*BA183</f>
        <v>2004.8275862068967</v>
      </c>
      <c r="CJ183" s="149">
        <f>DP!$P$35*BA183</f>
        <v>13586.4</v>
      </c>
    </row>
    <row r="184" spans="2:88" x14ac:dyDescent="0.35">
      <c r="B184" s="480">
        <f>DP!S25</f>
        <v>0</v>
      </c>
      <c r="C184" s="480" t="str">
        <f>DP!T25</f>
        <v>PALMITO RODAJA  A-10</v>
      </c>
      <c r="D184" s="480">
        <f>DP!U25</f>
        <v>2920</v>
      </c>
      <c r="E184" s="480">
        <f>DP!V25</f>
        <v>1825</v>
      </c>
      <c r="F184" s="412">
        <f t="shared" si="179"/>
        <v>0</v>
      </c>
      <c r="G184" s="470">
        <f>DP!AB25</f>
        <v>0</v>
      </c>
      <c r="H184" s="98">
        <f t="shared" si="180"/>
        <v>0</v>
      </c>
      <c r="I184" s="97"/>
      <c r="J184" s="102">
        <f t="shared" si="169"/>
        <v>0</v>
      </c>
      <c r="K184" s="98">
        <f t="shared" si="170"/>
        <v>0</v>
      </c>
      <c r="L184" s="93">
        <f t="shared" si="171"/>
        <v>0</v>
      </c>
      <c r="M184" s="99">
        <f t="shared" si="172"/>
        <v>0</v>
      </c>
      <c r="N184" s="100"/>
      <c r="O184" s="102">
        <f>($E184/DP!$N$29)*F184</f>
        <v>0</v>
      </c>
      <c r="P184" s="102">
        <f>IF(O184&gt;0,(DP!$N$31),0*1)</f>
        <v>0</v>
      </c>
      <c r="Q184" s="102">
        <f t="shared" si="181"/>
        <v>0</v>
      </c>
      <c r="R184" s="102">
        <f t="shared" si="182"/>
        <v>0</v>
      </c>
      <c r="S184" s="418">
        <f t="shared" si="183"/>
        <v>0</v>
      </c>
      <c r="T184" s="475">
        <f>H184*DP!$U$44</f>
        <v>0</v>
      </c>
      <c r="U184" s="475">
        <f>IF(H184&gt;0,DP!$V$44,0*1)</f>
        <v>0</v>
      </c>
      <c r="V184" s="475">
        <f t="shared" si="184"/>
        <v>0</v>
      </c>
      <c r="W184" s="475">
        <f>H184*DP!$U$45</f>
        <v>0</v>
      </c>
      <c r="X184" s="475">
        <f>IF(H184&gt;0,DP!$V$45,0*1)</f>
        <v>0</v>
      </c>
      <c r="Y184" s="475">
        <f t="shared" si="185"/>
        <v>0</v>
      </c>
      <c r="Z184" s="100"/>
      <c r="AA184" s="93">
        <f>IF(D184=DP!$L$15,F184*(1+DP!$N$15),IF(D184=DP!$L$16,F184*(1+DP!$N$16),IF(D184=DP!$L$17,F184*(1+DP!$N$17),IF(D184=DP!$L$18,F184*(1+DP!$N$18),0*1))))</f>
        <v>0</v>
      </c>
      <c r="AB184" s="102">
        <f>IF(D184=DP!$L$22,(DP!$M$22),IF(D184=DP!$L$23,(DP!$M$23),IF(D184=DP!$L$24,(DP!$M$24),IF(D184=DP!$L$25,(DP!$M$25),((0*1))))))</f>
        <v>0</v>
      </c>
      <c r="AC184" s="93">
        <f t="shared" si="186"/>
        <v>0</v>
      </c>
      <c r="AD184" s="93">
        <f>IF(D184=DP!$L$15,F184*(1+DP!$N$15),IF(D184=DP!$L$16,F184*(1+DP!$N$16),IF(D184=DP!$L$17,F184*(1+DP!$N$17),IF(D184=DP!$L$18,F184*(1+DP!$N$18),0*1))))</f>
        <v>0</v>
      </c>
      <c r="AE184" s="102">
        <f>IF(D184=DP!$L$22,(DP!$N$22),IF(D184=DP!$L$23,(DP!$N$23),IF(D184=DP!$L$24,(DP!$N$24),IF(D184=DP!$L$25,(DP!$N$25),((0*1))))))</f>
        <v>0</v>
      </c>
      <c r="AF184" s="93">
        <f t="shared" si="187"/>
        <v>0</v>
      </c>
      <c r="AG184" s="93">
        <f>IF(D184=DP!$L$15,(F184/DP!$K$15)*(1+DP!$N$15),IF(D184=DP!$L$16,(F184/DP!$K$16)*(1+DP!$N$16),IF(D184=DP!$L$17,(F184/DP!$K$17)*(1+DP!$N$17),IF(D184=DP!$L$18,(F184/DP!$K$18)*(1+DP!$N$18),0*1))))</f>
        <v>0</v>
      </c>
      <c r="AH184" s="102">
        <f>IF(D184=DP!$L$22,(DP!$O$22),IF(D184=DP!$L$23,(DP!$O$23),IF(D184=DP!$L$24,(DP!$O$24),IF(D184=DP!$L$25,(DP!$O$25),((0*1))))))</f>
        <v>0</v>
      </c>
      <c r="AI184" s="93">
        <f t="shared" si="188"/>
        <v>0</v>
      </c>
      <c r="AJ184" s="93">
        <f>IF(D184=DP!$L$15,F184*(1+DP!$N$15),IF(D184=DP!$L$16,F184*(1+DP!$N$16),IF(D184=DP!$L$17,F184*(1+DP!$N$17),IF(D184=DP!$L$18,F184*(1+DP!$N$18),0*1))))</f>
        <v>0</v>
      </c>
      <c r="AK184" s="102">
        <f>IF(D184=DP!$L$22,(DP!$P$22),IF(D184=DP!$L$23,(DP!$P$23),IF(D184=DP!$L$24,(DP!$P$24),IF(D184=DP!$L$25,(DP!$P$25),((0*1))))))</f>
        <v>0</v>
      </c>
      <c r="AL184" s="93">
        <f t="shared" si="189"/>
        <v>0</v>
      </c>
      <c r="AM184" s="100"/>
      <c r="AN184" s="149">
        <f t="shared" si="173"/>
        <v>0</v>
      </c>
      <c r="AO184" s="149">
        <f>DP!$N$35*H184</f>
        <v>0</v>
      </c>
      <c r="AP184" s="149">
        <f>DP!$O$35*H184</f>
        <v>0</v>
      </c>
      <c r="AQ184" s="149">
        <f>DP!$P$35*H184</f>
        <v>0</v>
      </c>
      <c r="AV184" s="489" t="str">
        <f>DP!AV25</f>
        <v>PIÑA TROZO 822</v>
      </c>
      <c r="AW184" s="489">
        <f>DP!AW25</f>
        <v>822</v>
      </c>
      <c r="AX184" s="489">
        <f>DP!AX25</f>
        <v>500</v>
      </c>
      <c r="AY184" s="412">
        <f t="shared" si="190"/>
        <v>36720</v>
      </c>
      <c r="AZ184" s="470">
        <f>DP!BD25</f>
        <v>0.1</v>
      </c>
      <c r="BA184" s="98">
        <f t="shared" si="191"/>
        <v>18360</v>
      </c>
      <c r="BB184" s="97"/>
      <c r="BC184" s="102">
        <f t="shared" si="174"/>
        <v>1.2984286501572693</v>
      </c>
      <c r="BD184" s="98">
        <f t="shared" si="175"/>
        <v>1.1134286501572692</v>
      </c>
      <c r="BE184" s="93">
        <f t="shared" si="176"/>
        <v>47678.300033774925</v>
      </c>
      <c r="BF184" s="99">
        <f t="shared" si="177"/>
        <v>40885.100033774928</v>
      </c>
      <c r="BG184" s="100"/>
      <c r="BH184" s="102">
        <f>IFERROR((BA184*100%)/DP!$AP$29,(0*1))</f>
        <v>40800</v>
      </c>
      <c r="BI184" s="102">
        <f>IF(BH184&gt;0,(DP!$AP$31),0*1)</f>
        <v>0.45</v>
      </c>
      <c r="BJ184" s="435">
        <f t="shared" si="192"/>
        <v>18360</v>
      </c>
      <c r="BK184" s="475">
        <f>BA184*DP!$AW$44</f>
        <v>45.9</v>
      </c>
      <c r="BL184" s="475">
        <f>IF(BA184&gt;0,DP!$AX$44,0*1)</f>
        <v>0.95</v>
      </c>
      <c r="BM184" s="475">
        <f t="shared" si="193"/>
        <v>43.604999999999997</v>
      </c>
      <c r="BN184" s="102">
        <f>BA184*DP!$AW$45</f>
        <v>3047.76</v>
      </c>
      <c r="BO184" s="102">
        <f>IF(BA184&gt;0,DP!$AX$45,0*1)</f>
        <v>0.76919999999999999</v>
      </c>
      <c r="BP184" s="475">
        <f t="shared" si="194"/>
        <v>2344.336992</v>
      </c>
      <c r="BQ184" s="100"/>
      <c r="BR184" s="100"/>
      <c r="BS184" s="100"/>
      <c r="BT184" s="93">
        <f>IF(AW184=DP!$AN$15,AY184*(1+DP!$AP$15),IF(AW184=DP!$AN$16,AY184*(1+DP!$AP$16),IF(AW184=DP!$AN$17,AY184*(1+DP!$AP$17),IF(AW184=DP!$AN$18,AY184*(1+DP!$AP$18),0*1))))</f>
        <v>36903.599999999999</v>
      </c>
      <c r="BU184" s="102">
        <f>IF(AW184=DP!$AN$22,(DP!$AO$22),IF(AW184=DP!$AN$23,(DP!$AO$23),IF(AW184=DP!$AN$24,(DP!$AO$24),IF(AW184=DP!$AN$25,(DP!$AO$25),((0*1))))))</f>
        <v>0.24</v>
      </c>
      <c r="BV184" s="93">
        <f t="shared" si="195"/>
        <v>8856.8639999999996</v>
      </c>
      <c r="BW184" s="93">
        <f>IF(AW184=DP!$AN$15,AY184*(1+DP!$AP$15),IF(AW184=DP!$AN$16,AY184*(1+DP!$AP$16),IF(AW184=DP!$AN$17,AY184*(1+DP!$AP$17),IF(AW184=DP!$AN$18,AY184*(1+DP!$AP$18),0*1))))</f>
        <v>36903.599999999999</v>
      </c>
      <c r="BX184" s="102">
        <f>IF(AW184=DP!$AN$22,(DP!$AP$22),IF(AW184=DP!$AN$23,(DP!$AP$23),IF(AW184=DP!$AN$24,(DP!$AP$24),IF(AW184=DP!$AN$25,(DP!$AP$25),((0*1))))))</f>
        <v>7.0000000000000007E-2</v>
      </c>
      <c r="BY184" s="93">
        <f t="shared" si="196"/>
        <v>2583.252</v>
      </c>
      <c r="BZ184" s="93">
        <f>IF(AW184=DP!$AN$15,(AY184/DP!$AM$15)*(1+DP!$AP$15),IF(AW184=DP!$AN$16,(AY184/DP!$AM$16)*(1+DP!$AP$16),IF(AW184=DP!$AN$17,(AY184/DP!$AM$17)*(1+DP!$AP$17),IF(AW184=DP!$AN$18,(AY184/DP!$AM$18)*(1+DP!$AP$18),0*1))))</f>
        <v>3075.2999999999997</v>
      </c>
      <c r="CA184" s="102">
        <f>IF(AW184=DP!$AN$22,(DP!$AQ$22),IF(AW184=DP!$AN$23,(DP!$AQ$23),IF(AW184=DP!$AN$24,(DP!$AQ$24),IF(AW184=DP!$AN$25,(DP!$AQ$25),((0*1))))))</f>
        <v>0.51200000000000045</v>
      </c>
      <c r="CB184" s="93">
        <f t="shared" si="197"/>
        <v>1574.5536000000013</v>
      </c>
      <c r="CC184" s="93">
        <f>IF(AW184=DP!$AN$15,AY184*(1+DP!$AP$15),IF(AW184=DP!$AN$16,AY184*(1+DP!$AP$16),IF(AW184=DP!$AN$17,AY184*(1+DP!$AP$17),IF(AW184=DP!$AN$18,AY184*(1+DP!$AP$18),0*1))))</f>
        <v>36903.599999999999</v>
      </c>
      <c r="CD184" s="102">
        <f>IF(AW184=DP!$AN$22,(DP!$AR$22),IF(AW184=DP!$AN$23,(DP!$AR$23),IF(AW184=DP!$AN$24,(DP!$AR$24),IF(AW184=DP!$AN$25,(DP!$AR$25),((0*1))))))</f>
        <v>3.3045977011494254E-2</v>
      </c>
      <c r="CE184" s="93">
        <f t="shared" si="198"/>
        <v>1219.5155172413793</v>
      </c>
      <c r="CF184" s="100"/>
      <c r="CG184" s="149">
        <f t="shared" si="178"/>
        <v>5902.9729245335484</v>
      </c>
      <c r="CH184" s="149">
        <f>DP!$N$35*BA184</f>
        <v>263.79310344827587</v>
      </c>
      <c r="CI184" s="149">
        <f>DP!$O$35*BA184</f>
        <v>1002.4137931034484</v>
      </c>
      <c r="CJ184" s="149">
        <f>DP!$P$35*BA184</f>
        <v>6793.2</v>
      </c>
    </row>
    <row r="185" spans="2:88" x14ac:dyDescent="0.35">
      <c r="B185" s="480">
        <f>DP!S26</f>
        <v>0</v>
      </c>
      <c r="C185" s="480">
        <f>DP!T26</f>
        <v>0</v>
      </c>
      <c r="D185" s="480">
        <f>DP!U26</f>
        <v>0</v>
      </c>
      <c r="E185" s="480">
        <f>DP!V26</f>
        <v>0</v>
      </c>
      <c r="F185" s="412">
        <f t="shared" si="179"/>
        <v>0</v>
      </c>
      <c r="G185" s="470">
        <f>DP!AB26</f>
        <v>0</v>
      </c>
      <c r="H185" s="98">
        <f t="shared" si="180"/>
        <v>0</v>
      </c>
      <c r="I185" s="97"/>
      <c r="J185" s="102">
        <f t="shared" si="169"/>
        <v>0</v>
      </c>
      <c r="K185" s="98">
        <f t="shared" si="170"/>
        <v>0</v>
      </c>
      <c r="L185" s="93">
        <f t="shared" si="171"/>
        <v>0</v>
      </c>
      <c r="M185" s="99">
        <f t="shared" si="172"/>
        <v>0</v>
      </c>
      <c r="N185" s="100"/>
      <c r="O185" s="102">
        <f>($E185/DP!$N$29)*F185</f>
        <v>0</v>
      </c>
      <c r="P185" s="102">
        <f>IF(O185&gt;0,(DP!$N$31),0*1)</f>
        <v>0</v>
      </c>
      <c r="Q185" s="102">
        <f t="shared" si="181"/>
        <v>0</v>
      </c>
      <c r="R185" s="102">
        <f t="shared" si="182"/>
        <v>0</v>
      </c>
      <c r="S185" s="418">
        <f t="shared" si="183"/>
        <v>0</v>
      </c>
      <c r="T185" s="475">
        <f>H185*DP!$U$44</f>
        <v>0</v>
      </c>
      <c r="U185" s="475">
        <f>IF(H185&gt;0,DP!$V$44,0*1)</f>
        <v>0</v>
      </c>
      <c r="V185" s="475">
        <f t="shared" si="184"/>
        <v>0</v>
      </c>
      <c r="W185" s="475">
        <f>H185*DP!$U$45</f>
        <v>0</v>
      </c>
      <c r="X185" s="475">
        <f>IF(H185&gt;0,DP!$V$45,0*1)</f>
        <v>0</v>
      </c>
      <c r="Y185" s="475">
        <f t="shared" si="185"/>
        <v>0</v>
      </c>
      <c r="Z185" s="100"/>
      <c r="AA185" s="93">
        <f>IF(D185=DP!$L$15,F185*(1+DP!$N$15),IF(D185=DP!$L$16,F185*(1+DP!$N$16),IF(D185=DP!$L$17,F185*(1+DP!$N$17),IF(D185=DP!$L$18,F185*(1+DP!$N$18),0*1))))</f>
        <v>0</v>
      </c>
      <c r="AB185" s="102">
        <f>IF(D185=DP!$L$22,(DP!$M$22),IF(D185=DP!$L$23,(DP!$M$23),IF(D185=DP!$L$24,(DP!$M$24),IF(D185=DP!$L$25,(DP!$M$25),((0*1))))))</f>
        <v>0</v>
      </c>
      <c r="AC185" s="93">
        <f t="shared" si="186"/>
        <v>0</v>
      </c>
      <c r="AD185" s="93">
        <f>IF(D185=DP!$L$15,F185*(1+DP!$N$15),IF(D185=DP!$L$16,F185*(1+DP!$N$16),IF(D185=DP!$L$17,F185*(1+DP!$N$17),IF(D185=DP!$L$18,F185*(1+DP!$N$18),0*1))))</f>
        <v>0</v>
      </c>
      <c r="AE185" s="102">
        <f>IF(D185=DP!$L$22,(DP!$N$22),IF(D185=DP!$L$23,(DP!$N$23),IF(D185=DP!$L$24,(DP!$N$24),IF(D185=DP!$L$25,(DP!$N$25),((0*1))))))</f>
        <v>0</v>
      </c>
      <c r="AF185" s="93">
        <f t="shared" si="187"/>
        <v>0</v>
      </c>
      <c r="AG185" s="93">
        <f>IF(D185=DP!$L$15,(F185/DP!$K$15)*(1+DP!$N$15),IF(D185=DP!$L$16,(F185/DP!$K$16)*(1+DP!$N$16),IF(D185=DP!$L$17,(F185/DP!$K$17)*(1+DP!$N$17),IF(D185=DP!$L$18,(F185/DP!$K$18)*(1+DP!$N$18),0*1))))</f>
        <v>0</v>
      </c>
      <c r="AH185" s="102">
        <f>IF(D185=DP!$L$22,(DP!$O$22),IF(D185=DP!$L$23,(DP!$O$23),IF(D185=DP!$L$24,(DP!$O$24),IF(D185=DP!$L$25,(DP!$O$25),((0*1))))))</f>
        <v>0</v>
      </c>
      <c r="AI185" s="93">
        <f t="shared" si="188"/>
        <v>0</v>
      </c>
      <c r="AJ185" s="93">
        <f>IF(D185=DP!$L$15,F185*(1+DP!$N$15),IF(D185=DP!$L$16,F185*(1+DP!$N$16),IF(D185=DP!$L$17,F185*(1+DP!$N$17),IF(D185=DP!$L$18,F185*(1+DP!$N$18),0*1))))</f>
        <v>0</v>
      </c>
      <c r="AK185" s="102">
        <f>IF(D185=DP!$L$22,(DP!$P$22),IF(D185=DP!$L$23,(DP!$P$23),IF(D185=DP!$L$24,(DP!$P$24),IF(D185=DP!$L$25,(DP!$P$25),((0*1))))))</f>
        <v>0</v>
      </c>
      <c r="AL185" s="93">
        <f t="shared" si="189"/>
        <v>0</v>
      </c>
      <c r="AM185" s="100"/>
      <c r="AN185" s="149">
        <f t="shared" si="173"/>
        <v>0</v>
      </c>
      <c r="AO185" s="149">
        <f>DP!$N$35*H185</f>
        <v>0</v>
      </c>
      <c r="AP185" s="149">
        <f>DP!$O$35*H185</f>
        <v>0</v>
      </c>
      <c r="AQ185" s="149">
        <f>DP!$P$35*H185</f>
        <v>0</v>
      </c>
      <c r="AV185" s="489">
        <f>DP!AV26</f>
        <v>0</v>
      </c>
      <c r="AW185" s="489">
        <f>DP!AW26</f>
        <v>0</v>
      </c>
      <c r="AX185" s="489">
        <f>DP!AX26</f>
        <v>0</v>
      </c>
      <c r="AY185" s="412">
        <f t="shared" si="190"/>
        <v>0</v>
      </c>
      <c r="AZ185" s="470">
        <f>DP!BD26</f>
        <v>0</v>
      </c>
      <c r="BA185" s="98">
        <f t="shared" si="191"/>
        <v>0</v>
      </c>
      <c r="BB185" s="97"/>
      <c r="BC185" s="102">
        <f t="shared" si="174"/>
        <v>0</v>
      </c>
      <c r="BD185" s="98">
        <f t="shared" si="175"/>
        <v>0</v>
      </c>
      <c r="BE185" s="93">
        <f t="shared" si="176"/>
        <v>0</v>
      </c>
      <c r="BF185" s="99">
        <f t="shared" si="177"/>
        <v>0</v>
      </c>
      <c r="BG185" s="100"/>
      <c r="BH185" s="102">
        <f>IFERROR((BA185*100%)/DP!$AP$29,(0*1))</f>
        <v>0</v>
      </c>
      <c r="BI185" s="102">
        <f>IF(BH185&gt;0,(DP!$AP$31),0*1)</f>
        <v>0</v>
      </c>
      <c r="BJ185" s="435">
        <f t="shared" si="192"/>
        <v>0</v>
      </c>
      <c r="BK185" s="475">
        <f>BA185*DP!$AW$44</f>
        <v>0</v>
      </c>
      <c r="BL185" s="475">
        <f>IF(BA185&gt;0,DP!$AX$44,0*1)</f>
        <v>0</v>
      </c>
      <c r="BM185" s="475">
        <f t="shared" si="193"/>
        <v>0</v>
      </c>
      <c r="BN185" s="102">
        <f>BA185*DP!$AW$45</f>
        <v>0</v>
      </c>
      <c r="BO185" s="102">
        <f>IF(BA185&gt;0,DP!$AX$45,0*1)</f>
        <v>0</v>
      </c>
      <c r="BP185" s="475">
        <f t="shared" si="194"/>
        <v>0</v>
      </c>
      <c r="BQ185" s="100"/>
      <c r="BR185" s="100"/>
      <c r="BS185" s="100"/>
      <c r="BT185" s="93">
        <f>IF(AW185=DP!$AN$15,AY185*(1+DP!$AP$15),IF(AW185=DP!$AN$16,AY185*(1+DP!$AP$16),IF(AW185=DP!$AN$17,AY185*(1+DP!$AP$17),IF(AW185=DP!$AN$18,AY185*(1+DP!$AP$18),0*1))))</f>
        <v>0</v>
      </c>
      <c r="BU185" s="102">
        <f>IF(AW185=DP!$AN$22,(DP!$AO$22),IF(AW185=DP!$AN$23,(DP!$AO$23),IF(AW185=DP!$AN$24,(DP!$AO$24),IF(AW185=DP!$AN$25,(DP!$AO$25),((0*1))))))</f>
        <v>0</v>
      </c>
      <c r="BV185" s="93">
        <f t="shared" si="195"/>
        <v>0</v>
      </c>
      <c r="BW185" s="93">
        <f>IF(AW185=DP!$AN$15,AY185*(1+DP!$AP$15),IF(AW185=DP!$AN$16,AY185*(1+DP!$AP$16),IF(AW185=DP!$AN$17,AY185*(1+DP!$AP$17),IF(AW185=DP!$AN$18,AY185*(1+DP!$AP$18),0*1))))</f>
        <v>0</v>
      </c>
      <c r="BX185" s="102">
        <f>IF(AW185=DP!$AN$22,(DP!$AP$22),IF(AW185=DP!$AN$23,(DP!$AP$23),IF(AW185=DP!$AN$24,(DP!$AP$24),IF(AW185=DP!$AN$25,(DP!$AP$25),((0*1))))))</f>
        <v>0</v>
      </c>
      <c r="BY185" s="93">
        <f t="shared" si="196"/>
        <v>0</v>
      </c>
      <c r="BZ185" s="93">
        <f>IF(AW185=DP!$AN$15,(AY185/DP!$AM$15)*(1+DP!$AP$15),IF(AW185=DP!$AN$16,(AY185/DP!$AM$16)*(1+DP!$AP$16),IF(AW185=DP!$AN$17,(AY185/DP!$AM$17)*(1+DP!$AP$17),IF(AW185=DP!$AN$18,(AY185/DP!$AM$18)*(1+DP!$AP$18),0*1))))</f>
        <v>0</v>
      </c>
      <c r="CA185" s="102">
        <f>IF(AW185=DP!$AN$22,(DP!$AQ$22),IF(AW185=DP!$AN$23,(DP!$AQ$23),IF(AW185=DP!$AN$24,(DP!$AQ$24),IF(AW185=DP!$AN$25,(DP!$AQ$25),((0*1))))))</f>
        <v>0</v>
      </c>
      <c r="CB185" s="93">
        <f t="shared" si="197"/>
        <v>0</v>
      </c>
      <c r="CC185" s="93">
        <f>IF(AW185=DP!$AN$15,AY185*(1+DP!$AP$15),IF(AW185=DP!$AN$16,AY185*(1+DP!$AP$16),IF(AW185=DP!$AN$17,AY185*(1+DP!$AP$17),IF(AW185=DP!$AN$18,AY185*(1+DP!$AP$18),0*1))))</f>
        <v>0</v>
      </c>
      <c r="CD185" s="102">
        <f>IF(AW185=DP!$AN$22,(DP!$AR$22),IF(AW185=DP!$AN$23,(DP!$AR$23),IF(AW185=DP!$AN$24,(DP!$AR$24),IF(AW185=DP!$AN$25,(DP!$AR$25),((0*1))))))</f>
        <v>0</v>
      </c>
      <c r="CE185" s="93">
        <f t="shared" si="198"/>
        <v>0</v>
      </c>
      <c r="CF185" s="100"/>
      <c r="CG185" s="149">
        <f t="shared" si="178"/>
        <v>0</v>
      </c>
      <c r="CH185" s="149">
        <f>DP!$N$35*BA185</f>
        <v>0</v>
      </c>
      <c r="CI185" s="149">
        <f>DP!$O$35*BA185</f>
        <v>0</v>
      </c>
      <c r="CJ185" s="149">
        <f>DP!$P$35*BA185</f>
        <v>0</v>
      </c>
    </row>
    <row r="186" spans="2:88" x14ac:dyDescent="0.35">
      <c r="B186" s="480">
        <f>DP!S27</f>
        <v>0</v>
      </c>
      <c r="C186" s="480">
        <f>DP!T27</f>
        <v>0</v>
      </c>
      <c r="D186" s="480">
        <f>DP!U27</f>
        <v>0</v>
      </c>
      <c r="E186" s="480">
        <f>DP!V27</f>
        <v>0</v>
      </c>
      <c r="F186" s="412">
        <f t="shared" si="179"/>
        <v>0</v>
      </c>
      <c r="G186" s="470">
        <f>DP!AB27</f>
        <v>0</v>
      </c>
      <c r="H186" s="98">
        <f t="shared" si="180"/>
        <v>0</v>
      </c>
      <c r="I186" s="97"/>
      <c r="J186" s="102">
        <f t="shared" si="169"/>
        <v>0</v>
      </c>
      <c r="K186" s="98">
        <f t="shared" si="170"/>
        <v>0</v>
      </c>
      <c r="L186" s="93">
        <f t="shared" si="171"/>
        <v>0</v>
      </c>
      <c r="M186" s="99">
        <f t="shared" si="172"/>
        <v>0</v>
      </c>
      <c r="N186" s="100"/>
      <c r="O186" s="102">
        <f>($E186/DP!$N$29)*F186</f>
        <v>0</v>
      </c>
      <c r="P186" s="102">
        <f>IF(O186&gt;0,(DP!$N$31),0*1)</f>
        <v>0</v>
      </c>
      <c r="Q186" s="102">
        <f t="shared" si="181"/>
        <v>0</v>
      </c>
      <c r="R186" s="102">
        <f t="shared" si="182"/>
        <v>0</v>
      </c>
      <c r="S186" s="418">
        <f t="shared" si="183"/>
        <v>0</v>
      </c>
      <c r="T186" s="475">
        <f>H186*DP!$U$44</f>
        <v>0</v>
      </c>
      <c r="U186" s="475">
        <f>IF(H186&gt;0,DP!$V$44,0*1)</f>
        <v>0</v>
      </c>
      <c r="V186" s="475">
        <f t="shared" si="184"/>
        <v>0</v>
      </c>
      <c r="W186" s="475">
        <f>H186*DP!$U$45</f>
        <v>0</v>
      </c>
      <c r="X186" s="475">
        <f>IF(H186&gt;0,DP!$V$45,0*1)</f>
        <v>0</v>
      </c>
      <c r="Y186" s="475">
        <f t="shared" si="185"/>
        <v>0</v>
      </c>
      <c r="Z186" s="100"/>
      <c r="AA186" s="93">
        <f>IF(D186=DP!$L$15,F186*(1+DP!$N$15),IF(D186=DP!$L$16,F186*(1+DP!$N$16),IF(D186=DP!$L$17,F186*(1+DP!$N$17),IF(D186=DP!$L$18,F186*(1+DP!$N$18),0*1))))</f>
        <v>0</v>
      </c>
      <c r="AB186" s="102">
        <f>IF(D186=DP!$L$22,(DP!$M$22),IF(D186=DP!$L$23,(DP!$M$23),IF(D186=DP!$L$24,(DP!$M$24),IF(D186=DP!$L$25,(DP!$M$25),((0*1))))))</f>
        <v>0</v>
      </c>
      <c r="AC186" s="93">
        <f t="shared" si="186"/>
        <v>0</v>
      </c>
      <c r="AD186" s="93">
        <f>IF(D186=DP!$L$15,F186*(1+DP!$N$15),IF(D186=DP!$L$16,F186*(1+DP!$N$16),IF(D186=DP!$L$17,F186*(1+DP!$N$17),IF(D186=DP!$L$18,F186*(1+DP!$N$18),0*1))))</f>
        <v>0</v>
      </c>
      <c r="AE186" s="102">
        <f>IF(D186=DP!$L$22,(DP!$N$22),IF(D186=DP!$L$23,(DP!$N$23),IF(D186=DP!$L$24,(DP!$N$24),IF(D186=DP!$L$25,(DP!$N$25),((0*1))))))</f>
        <v>0</v>
      </c>
      <c r="AF186" s="93">
        <f t="shared" si="187"/>
        <v>0</v>
      </c>
      <c r="AG186" s="93">
        <f>IF(D186=DP!$L$15,(F186/DP!$K$15)*(1+DP!$N$15),IF(D186=DP!$L$16,(F186/DP!$K$16)*(1+DP!$N$16),IF(D186=DP!$L$17,(F186/DP!$K$17)*(1+DP!$N$17),IF(D186=DP!$L$18,(F186/DP!$K$18)*(1+DP!$N$18),0*1))))</f>
        <v>0</v>
      </c>
      <c r="AH186" s="102">
        <f>IF(D186=DP!$L$22,(DP!$O$22),IF(D186=DP!$L$23,(DP!$O$23),IF(D186=DP!$L$24,(DP!$O$24),IF(D186=DP!$L$25,(DP!$O$25),((0*1))))))</f>
        <v>0</v>
      </c>
      <c r="AI186" s="93">
        <f t="shared" si="188"/>
        <v>0</v>
      </c>
      <c r="AJ186" s="93">
        <f>IF(D186=DP!$L$15,F186*(1+DP!$N$15),IF(D186=DP!$L$16,F186*(1+DP!$N$16),IF(D186=DP!$L$17,F186*(1+DP!$N$17),IF(D186=DP!$L$18,F186*(1+DP!$N$18),0*1))))</f>
        <v>0</v>
      </c>
      <c r="AK186" s="102">
        <f>IF(D186=DP!$L$22,(DP!$P$22),IF(D186=DP!$L$23,(DP!$P$23),IF(D186=DP!$L$24,(DP!$P$24),IF(D186=DP!$L$25,(DP!$P$25),((0*1))))))</f>
        <v>0</v>
      </c>
      <c r="AL186" s="93">
        <f t="shared" si="189"/>
        <v>0</v>
      </c>
      <c r="AM186" s="100"/>
      <c r="AN186" s="149">
        <f t="shared" si="173"/>
        <v>0</v>
      </c>
      <c r="AO186" s="149">
        <f>DP!$N$35*H186</f>
        <v>0</v>
      </c>
      <c r="AP186" s="149">
        <f>DP!$O$35*H186</f>
        <v>0</v>
      </c>
      <c r="AQ186" s="149">
        <f>DP!$P$35*H186</f>
        <v>0</v>
      </c>
      <c r="AV186" s="489">
        <f>DP!AV27</f>
        <v>0</v>
      </c>
      <c r="AW186" s="489">
        <f>DP!AW27</f>
        <v>0</v>
      </c>
      <c r="AX186" s="489">
        <f>DP!AX27</f>
        <v>0</v>
      </c>
      <c r="AY186" s="412">
        <f t="shared" si="190"/>
        <v>0</v>
      </c>
      <c r="AZ186" s="470">
        <f>DP!BD27</f>
        <v>0</v>
      </c>
      <c r="BA186" s="98">
        <f t="shared" si="191"/>
        <v>0</v>
      </c>
      <c r="BB186" s="97"/>
      <c r="BC186" s="102">
        <f t="shared" si="174"/>
        <v>0</v>
      </c>
      <c r="BD186" s="98">
        <f t="shared" si="175"/>
        <v>0</v>
      </c>
      <c r="BE186" s="93">
        <f t="shared" si="176"/>
        <v>0</v>
      </c>
      <c r="BF186" s="99">
        <f t="shared" si="177"/>
        <v>0</v>
      </c>
      <c r="BG186" s="100"/>
      <c r="BH186" s="102">
        <f>IFERROR((BA186*100%)/DP!$AP$29,(0*1))</f>
        <v>0</v>
      </c>
      <c r="BI186" s="102">
        <f>IF(BH186&gt;0,(DP!$AP$31),0*1)</f>
        <v>0</v>
      </c>
      <c r="BJ186" s="435">
        <f t="shared" si="192"/>
        <v>0</v>
      </c>
      <c r="BK186" s="475">
        <f>BA186*DP!$AW$44</f>
        <v>0</v>
      </c>
      <c r="BL186" s="475">
        <f>IF(BA186&gt;0,DP!$AX$44,0*1)</f>
        <v>0</v>
      </c>
      <c r="BM186" s="475">
        <f t="shared" si="193"/>
        <v>0</v>
      </c>
      <c r="BN186" s="102">
        <f>BA186*DP!$AW$45</f>
        <v>0</v>
      </c>
      <c r="BO186" s="102">
        <f>IF(BA186&gt;0,DP!$AX$45,0*1)</f>
        <v>0</v>
      </c>
      <c r="BP186" s="475">
        <f t="shared" si="194"/>
        <v>0</v>
      </c>
      <c r="BQ186" s="100"/>
      <c r="BR186" s="100"/>
      <c r="BS186" s="100"/>
      <c r="BT186" s="93">
        <f>IF(AW186=DP!$AN$15,AY186*(1+DP!$AP$15),IF(AW186=DP!$AN$16,AY186*(1+DP!$AP$16),IF(AW186=DP!$AN$17,AY186*(1+DP!$AP$17),IF(AW186=DP!$AN$18,AY186*(1+DP!$AP$18),0*1))))</f>
        <v>0</v>
      </c>
      <c r="BU186" s="102">
        <f>IF(AW186=DP!$AN$22,(DP!$AO$22),IF(AW186=DP!$AN$23,(DP!$AO$23),IF(AW186=DP!$AN$24,(DP!$AO$24),IF(AW186=DP!$AN$25,(DP!$AO$25),((0*1))))))</f>
        <v>0</v>
      </c>
      <c r="BV186" s="93">
        <f t="shared" si="195"/>
        <v>0</v>
      </c>
      <c r="BW186" s="93">
        <f>IF(AW186=DP!$AN$15,AY186*(1+DP!$AP$15),IF(AW186=DP!$AN$16,AY186*(1+DP!$AP$16),IF(AW186=DP!$AN$17,AY186*(1+DP!$AP$17),IF(AW186=DP!$AN$18,AY186*(1+DP!$AP$18),0*1))))</f>
        <v>0</v>
      </c>
      <c r="BX186" s="102">
        <f>IF(AW186=DP!$AN$22,(DP!$AP$22),IF(AW186=DP!$AN$23,(DP!$AP$23),IF(AW186=DP!$AN$24,(DP!$AP$24),IF(AW186=DP!$AN$25,(DP!$AP$25),((0*1))))))</f>
        <v>0</v>
      </c>
      <c r="BY186" s="93">
        <f t="shared" si="196"/>
        <v>0</v>
      </c>
      <c r="BZ186" s="93">
        <f>IF(AW186=DP!$AN$15,(AY186/DP!$AM$15)*(1+DP!$AP$15),IF(AW186=DP!$AN$16,(AY186/DP!$AM$16)*(1+DP!$AP$16),IF(AW186=DP!$AN$17,(AY186/DP!$AM$17)*(1+DP!$AP$17),IF(AW186=DP!$AN$18,(AY186/DP!$AM$18)*(1+DP!$AP$18),0*1))))</f>
        <v>0</v>
      </c>
      <c r="CA186" s="102">
        <f>IF(AW186=DP!$AN$22,(DP!$AQ$22),IF(AW186=DP!$AN$23,(DP!$AQ$23),IF(AW186=DP!$AN$24,(DP!$AQ$24),IF(AW186=DP!$AN$25,(DP!$AQ$25),((0*1))))))</f>
        <v>0</v>
      </c>
      <c r="CB186" s="93">
        <f t="shared" si="197"/>
        <v>0</v>
      </c>
      <c r="CC186" s="93">
        <f>IF(AW186=DP!$AN$15,AY186*(1+DP!$AP$15),IF(AW186=DP!$AN$16,AY186*(1+DP!$AP$16),IF(AW186=DP!$AN$17,AY186*(1+DP!$AP$17),IF(AW186=DP!$AN$18,AY186*(1+DP!$AP$18),0*1))))</f>
        <v>0</v>
      </c>
      <c r="CD186" s="102">
        <f>IF(AW186=DP!$AN$22,(DP!$AR$22),IF(AW186=DP!$AN$23,(DP!$AR$23),IF(AW186=DP!$AN$24,(DP!$AR$24),IF(AW186=DP!$AN$25,(DP!$AR$25),((0*1))))))</f>
        <v>0</v>
      </c>
      <c r="CE186" s="93">
        <f t="shared" si="198"/>
        <v>0</v>
      </c>
      <c r="CF186" s="100"/>
      <c r="CG186" s="149">
        <f t="shared" si="178"/>
        <v>0</v>
      </c>
      <c r="CH186" s="149">
        <f>DP!$N$35*BA186</f>
        <v>0</v>
      </c>
      <c r="CI186" s="149">
        <f>DP!$O$35*BA186</f>
        <v>0</v>
      </c>
      <c r="CJ186" s="149">
        <f>DP!$P$35*BA186</f>
        <v>0</v>
      </c>
    </row>
    <row r="187" spans="2:88" x14ac:dyDescent="0.35">
      <c r="B187" s="480">
        <f>DP!S28</f>
        <v>0</v>
      </c>
      <c r="C187" s="480">
        <f>DP!T28</f>
        <v>0</v>
      </c>
      <c r="D187" s="480">
        <f>DP!U28</f>
        <v>0</v>
      </c>
      <c r="E187" s="480">
        <f>DP!V28</f>
        <v>0</v>
      </c>
      <c r="F187" s="412">
        <f t="shared" si="179"/>
        <v>0</v>
      </c>
      <c r="G187" s="470">
        <f>DP!AB28</f>
        <v>0</v>
      </c>
      <c r="H187" s="98">
        <f t="shared" si="180"/>
        <v>0</v>
      </c>
      <c r="I187" s="97"/>
      <c r="J187" s="102">
        <f t="shared" si="169"/>
        <v>0</v>
      </c>
      <c r="K187" s="98">
        <f t="shared" si="170"/>
        <v>0</v>
      </c>
      <c r="L187" s="93">
        <f t="shared" si="171"/>
        <v>0</v>
      </c>
      <c r="M187" s="99">
        <f t="shared" si="172"/>
        <v>0</v>
      </c>
      <c r="N187" s="100"/>
      <c r="O187" s="102">
        <f>($E187/DP!$N$29)*F187</f>
        <v>0</v>
      </c>
      <c r="P187" s="102">
        <f>IF(O187&gt;0,(DP!$N$31),0*1)</f>
        <v>0</v>
      </c>
      <c r="Q187" s="102">
        <f t="shared" si="181"/>
        <v>0</v>
      </c>
      <c r="R187" s="102">
        <f t="shared" si="182"/>
        <v>0</v>
      </c>
      <c r="S187" s="418">
        <f t="shared" si="183"/>
        <v>0</v>
      </c>
      <c r="T187" s="475">
        <f>H187*DP!$U$44</f>
        <v>0</v>
      </c>
      <c r="U187" s="475">
        <f>IF(H187&gt;0,DP!$V$44,0*1)</f>
        <v>0</v>
      </c>
      <c r="V187" s="475">
        <f t="shared" si="184"/>
        <v>0</v>
      </c>
      <c r="W187" s="475">
        <f>H187*DP!$U$45</f>
        <v>0</v>
      </c>
      <c r="X187" s="475">
        <f>IF(H187&gt;0,DP!$V$45,0*1)</f>
        <v>0</v>
      </c>
      <c r="Y187" s="475">
        <f t="shared" si="185"/>
        <v>0</v>
      </c>
      <c r="Z187" s="100"/>
      <c r="AA187" s="93">
        <f>IF(D187=DP!$L$15,F187*(1+DP!$N$15),IF(D187=DP!$L$16,F187*(1+DP!$N$16),IF(D187=DP!$L$17,F187*(1+DP!$N$17),IF(D187=DP!$L$18,F187*(1+DP!$N$18),0*1))))</f>
        <v>0</v>
      </c>
      <c r="AB187" s="102">
        <f>IF(D187=DP!$L$22,(DP!$M$22),IF(D187=DP!$L$23,(DP!$M$23),IF(D187=DP!$L$24,(DP!$M$24),IF(D187=DP!$L$25,(DP!$M$25),((0*1))))))</f>
        <v>0</v>
      </c>
      <c r="AC187" s="93">
        <f t="shared" si="186"/>
        <v>0</v>
      </c>
      <c r="AD187" s="93">
        <f>IF(D187=DP!$L$15,F187*(1+DP!$N$15),IF(D187=DP!$L$16,F187*(1+DP!$N$16),IF(D187=DP!$L$17,F187*(1+DP!$N$17),IF(D187=DP!$L$18,F187*(1+DP!$N$18),0*1))))</f>
        <v>0</v>
      </c>
      <c r="AE187" s="102">
        <f>IF(D187=DP!$L$22,(DP!$N$22),IF(D187=DP!$L$23,(DP!$N$23),IF(D187=DP!$L$24,(DP!$N$24),IF(D187=DP!$L$25,(DP!$N$25),((0*1))))))</f>
        <v>0</v>
      </c>
      <c r="AF187" s="93">
        <f t="shared" si="187"/>
        <v>0</v>
      </c>
      <c r="AG187" s="93">
        <f>IF(D187=DP!$L$15,(F187/DP!$K$15)*(1+DP!$N$15),IF(D187=DP!$L$16,(F187/DP!$K$16)*(1+DP!$N$16),IF(D187=DP!$L$17,(F187/DP!$K$17)*(1+DP!$N$17),IF(D187=DP!$L$18,(F187/DP!$K$18)*(1+DP!$N$18),0*1))))</f>
        <v>0</v>
      </c>
      <c r="AH187" s="102">
        <f>IF(D187=DP!$L$22,(DP!$O$22),IF(D187=DP!$L$23,(DP!$O$23),IF(D187=DP!$L$24,(DP!$O$24),IF(D187=DP!$L$25,(DP!$O$25),((0*1))))))</f>
        <v>0</v>
      </c>
      <c r="AI187" s="93">
        <f t="shared" si="188"/>
        <v>0</v>
      </c>
      <c r="AJ187" s="93">
        <f>IF(D187=DP!$L$15,F187*(1+DP!$N$15),IF(D187=DP!$L$16,F187*(1+DP!$N$16),IF(D187=DP!$L$17,F187*(1+DP!$N$17),IF(D187=DP!$L$18,F187*(1+DP!$N$18),0*1))))</f>
        <v>0</v>
      </c>
      <c r="AK187" s="102">
        <f>IF(D187=DP!$L$22,(DP!$P$22),IF(D187=DP!$L$23,(DP!$P$23),IF(D187=DP!$L$24,(DP!$P$24),IF(D187=DP!$L$25,(DP!$P$25),((0*1))))))</f>
        <v>0</v>
      </c>
      <c r="AL187" s="93">
        <f t="shared" si="189"/>
        <v>0</v>
      </c>
      <c r="AM187" s="100"/>
      <c r="AN187" s="149">
        <f t="shared" si="173"/>
        <v>0</v>
      </c>
      <c r="AO187" s="149">
        <f>DP!$N$35*H187</f>
        <v>0</v>
      </c>
      <c r="AP187" s="149">
        <f>DP!$O$35*H187</f>
        <v>0</v>
      </c>
      <c r="AQ187" s="149">
        <f>DP!$P$35*H187</f>
        <v>0</v>
      </c>
      <c r="AV187" s="489">
        <f>DP!AV28</f>
        <v>0</v>
      </c>
      <c r="AW187" s="489">
        <f>DP!AW28</f>
        <v>0</v>
      </c>
      <c r="AX187" s="489">
        <f>DP!AX28</f>
        <v>0</v>
      </c>
      <c r="AY187" s="412">
        <f t="shared" si="190"/>
        <v>0</v>
      </c>
      <c r="AZ187" s="470">
        <f>DP!BD28</f>
        <v>0</v>
      </c>
      <c r="BA187" s="98">
        <f t="shared" si="191"/>
        <v>0</v>
      </c>
      <c r="BB187" s="97"/>
      <c r="BC187" s="102">
        <f t="shared" si="174"/>
        <v>0</v>
      </c>
      <c r="BD187" s="98">
        <f t="shared" si="175"/>
        <v>0</v>
      </c>
      <c r="BE187" s="93">
        <f t="shared" si="176"/>
        <v>0</v>
      </c>
      <c r="BF187" s="99">
        <f t="shared" si="177"/>
        <v>0</v>
      </c>
      <c r="BG187" s="100"/>
      <c r="BH187" s="102">
        <f>IFERROR((BA187*100%)/DP!$AP$29,(0*1))</f>
        <v>0</v>
      </c>
      <c r="BI187" s="102">
        <f>IF(BH187&gt;0,(DP!$AP$31),0*1)</f>
        <v>0</v>
      </c>
      <c r="BJ187" s="435">
        <f t="shared" si="192"/>
        <v>0</v>
      </c>
      <c r="BK187" s="475">
        <f>BA187*DP!$AW$44</f>
        <v>0</v>
      </c>
      <c r="BL187" s="475">
        <f>IF(BA187&gt;0,DP!$AX$44,0*1)</f>
        <v>0</v>
      </c>
      <c r="BM187" s="475">
        <f t="shared" si="193"/>
        <v>0</v>
      </c>
      <c r="BN187" s="102">
        <f>BA187*DP!$AW$45</f>
        <v>0</v>
      </c>
      <c r="BO187" s="102">
        <f>IF(BA187&gt;0,DP!$AX$45,0*1)</f>
        <v>0</v>
      </c>
      <c r="BP187" s="475">
        <f t="shared" si="194"/>
        <v>0</v>
      </c>
      <c r="BQ187" s="100"/>
      <c r="BR187" s="100"/>
      <c r="BS187" s="100"/>
      <c r="BT187" s="93">
        <f>IF(AW187=DP!$AN$15,AY187*(1+DP!$AP$15),IF(AW187=DP!$AN$16,AY187*(1+DP!$AP$16),IF(AW187=DP!$AN$17,AY187*(1+DP!$AP$17),IF(AW187=DP!$AN$18,AY187*(1+DP!$AP$18),0*1))))</f>
        <v>0</v>
      </c>
      <c r="BU187" s="102">
        <f>IF(AW187=DP!$AN$22,(DP!$AO$22),IF(AW187=DP!$AN$23,(DP!$AO$23),IF(AW187=DP!$AN$24,(DP!$AO$24),IF(AW187=DP!$AN$25,(DP!$AO$25),((0*1))))))</f>
        <v>0</v>
      </c>
      <c r="BV187" s="93">
        <f t="shared" si="195"/>
        <v>0</v>
      </c>
      <c r="BW187" s="93">
        <f>IF(AW187=DP!$AN$15,AY187*(1+DP!$AP$15),IF(AW187=DP!$AN$16,AY187*(1+DP!$AP$16),IF(AW187=DP!$AN$17,AY187*(1+DP!$AP$17),IF(AW187=DP!$AN$18,AY187*(1+DP!$AP$18),0*1))))</f>
        <v>0</v>
      </c>
      <c r="BX187" s="102">
        <f>IF(AW187=DP!$AN$22,(DP!$AP$22),IF(AW187=DP!$AN$23,(DP!$AP$23),IF(AW187=DP!$AN$24,(DP!$AP$24),IF(AW187=DP!$AN$25,(DP!$AP$25),((0*1))))))</f>
        <v>0</v>
      </c>
      <c r="BY187" s="93">
        <f t="shared" si="196"/>
        <v>0</v>
      </c>
      <c r="BZ187" s="93">
        <f>IF(AW187=DP!$AN$15,(AY187/DP!$AM$15)*(1+DP!$AP$15),IF(AW187=DP!$AN$16,(AY187/DP!$AM$16)*(1+DP!$AP$16),IF(AW187=DP!$AN$17,(AY187/DP!$AM$17)*(1+DP!$AP$17),IF(AW187=DP!$AN$18,(AY187/DP!$AM$18)*(1+DP!$AP$18),0*1))))</f>
        <v>0</v>
      </c>
      <c r="CA187" s="102">
        <f>IF(AW187=DP!$AN$22,(DP!$AQ$22),IF(AW187=DP!$AN$23,(DP!$AQ$23),IF(AW187=DP!$AN$24,(DP!$AQ$24),IF(AW187=DP!$AN$25,(DP!$AQ$25),((0*1))))))</f>
        <v>0</v>
      </c>
      <c r="CB187" s="93">
        <f t="shared" si="197"/>
        <v>0</v>
      </c>
      <c r="CC187" s="93">
        <f>IF(AW187=DP!$AN$15,AY187*(1+DP!$AP$15),IF(AW187=DP!$AN$16,AY187*(1+DP!$AP$16),IF(AW187=DP!$AN$17,AY187*(1+DP!$AP$17),IF(AW187=DP!$AN$18,AY187*(1+DP!$AP$18),0*1))))</f>
        <v>0</v>
      </c>
      <c r="CD187" s="102">
        <f>IF(AW187=DP!$AN$22,(DP!$AR$22),IF(AW187=DP!$AN$23,(DP!$AR$23),IF(AW187=DP!$AN$24,(DP!$AR$24),IF(AW187=DP!$AN$25,(DP!$AR$25),((0*1))))))</f>
        <v>0</v>
      </c>
      <c r="CE187" s="93">
        <f t="shared" si="198"/>
        <v>0</v>
      </c>
      <c r="CF187" s="100"/>
      <c r="CG187" s="149">
        <f t="shared" si="178"/>
        <v>0</v>
      </c>
      <c r="CH187" s="149">
        <f>DP!$N$35*BA187</f>
        <v>0</v>
      </c>
      <c r="CI187" s="149">
        <f>DP!$O$35*BA187</f>
        <v>0</v>
      </c>
      <c r="CJ187" s="149">
        <f>DP!$P$35*BA187</f>
        <v>0</v>
      </c>
    </row>
    <row r="188" spans="2:88" x14ac:dyDescent="0.35">
      <c r="B188" s="480">
        <f>DP!S29</f>
        <v>0</v>
      </c>
      <c r="C188" s="480">
        <f>DP!T29</f>
        <v>0</v>
      </c>
      <c r="D188" s="480">
        <f>DP!U29</f>
        <v>0</v>
      </c>
      <c r="E188" s="480">
        <f>DP!V29</f>
        <v>0</v>
      </c>
      <c r="F188" s="412">
        <f t="shared" si="179"/>
        <v>0</v>
      </c>
      <c r="G188" s="470">
        <f>DP!AB29</f>
        <v>0</v>
      </c>
      <c r="H188" s="98">
        <f t="shared" si="180"/>
        <v>0</v>
      </c>
      <c r="I188" s="97"/>
      <c r="J188" s="102">
        <f t="shared" si="169"/>
        <v>0</v>
      </c>
      <c r="K188" s="98">
        <f t="shared" si="170"/>
        <v>0</v>
      </c>
      <c r="L188" s="93">
        <f t="shared" si="171"/>
        <v>0</v>
      </c>
      <c r="M188" s="99">
        <f t="shared" si="172"/>
        <v>0</v>
      </c>
      <c r="N188" s="100"/>
      <c r="O188" s="102">
        <f>($E188/DP!$N$29)*F188</f>
        <v>0</v>
      </c>
      <c r="P188" s="102">
        <f>IF(O188&gt;0,(DP!$N$31),0*1)</f>
        <v>0</v>
      </c>
      <c r="Q188" s="102">
        <f t="shared" si="181"/>
        <v>0</v>
      </c>
      <c r="R188" s="102">
        <f t="shared" si="182"/>
        <v>0</v>
      </c>
      <c r="S188" s="418">
        <f t="shared" si="183"/>
        <v>0</v>
      </c>
      <c r="T188" s="475">
        <f>H188*DP!$U$44</f>
        <v>0</v>
      </c>
      <c r="U188" s="475">
        <f>IF(H188&gt;0,DP!$V$44,0*1)</f>
        <v>0</v>
      </c>
      <c r="V188" s="475">
        <f t="shared" si="184"/>
        <v>0</v>
      </c>
      <c r="W188" s="475">
        <f>H188*DP!$U$45</f>
        <v>0</v>
      </c>
      <c r="X188" s="475">
        <f>IF(H188&gt;0,DP!$V$45,0*1)</f>
        <v>0</v>
      </c>
      <c r="Y188" s="475">
        <f t="shared" si="185"/>
        <v>0</v>
      </c>
      <c r="Z188" s="100"/>
      <c r="AA188" s="93">
        <f>IF(D188=DP!$L$15,F188*(1+DP!$N$15),IF(D188=DP!$L$16,F188*(1+DP!$N$16),IF(D188=DP!$L$17,F188*(1+DP!$N$17),IF(D188=DP!$L$18,F188*(1+DP!$N$18),0*1))))</f>
        <v>0</v>
      </c>
      <c r="AB188" s="102">
        <f>IF(D188=DP!$L$22,(DP!$M$22),IF(D188=DP!$L$23,(DP!$M$23),IF(D188=DP!$L$24,(DP!$M$24),IF(D188=DP!$L$25,(DP!$M$25),((0*1))))))</f>
        <v>0</v>
      </c>
      <c r="AC188" s="93">
        <f t="shared" si="186"/>
        <v>0</v>
      </c>
      <c r="AD188" s="93">
        <f>IF(D188=DP!$L$15,F188*(1+DP!$N$15),IF(D188=DP!$L$16,F188*(1+DP!$N$16),IF(D188=DP!$L$17,F188*(1+DP!$N$17),IF(D188=DP!$L$18,F188*(1+DP!$N$18),0*1))))</f>
        <v>0</v>
      </c>
      <c r="AE188" s="102">
        <f>IF(D188=DP!$L$22,(DP!$N$22),IF(D188=DP!$L$23,(DP!$N$23),IF(D188=DP!$L$24,(DP!$N$24),IF(D188=DP!$L$25,(DP!$N$25),((0*1))))))</f>
        <v>0</v>
      </c>
      <c r="AF188" s="93">
        <f t="shared" si="187"/>
        <v>0</v>
      </c>
      <c r="AG188" s="93">
        <f>IF(D188=DP!$L$15,(F188/DP!$K$15)*(1+DP!$N$15),IF(D188=DP!$L$16,(F188/DP!$K$16)*(1+DP!$N$16),IF(D188=DP!$L$17,(F188/DP!$K$17)*(1+DP!$N$17),IF(D188=DP!$L$18,(F188/DP!$K$18)*(1+DP!$N$18),0*1))))</f>
        <v>0</v>
      </c>
      <c r="AH188" s="102">
        <f>IF(D188=DP!$L$22,(DP!$O$22),IF(D188=DP!$L$23,(DP!$O$23),IF(D188=DP!$L$24,(DP!$O$24),IF(D188=DP!$L$25,(DP!$O$25),((0*1))))))</f>
        <v>0</v>
      </c>
      <c r="AI188" s="93">
        <f t="shared" si="188"/>
        <v>0</v>
      </c>
      <c r="AJ188" s="93">
        <f>IF(D188=DP!$L$15,F188*(1+DP!$N$15),IF(D188=DP!$L$16,F188*(1+DP!$N$16),IF(D188=DP!$L$17,F188*(1+DP!$N$17),IF(D188=DP!$L$18,F188*(1+DP!$N$18),0*1))))</f>
        <v>0</v>
      </c>
      <c r="AK188" s="102">
        <f>IF(D188=DP!$L$22,(DP!$P$22),IF(D188=DP!$L$23,(DP!$P$23),IF(D188=DP!$L$24,(DP!$P$24),IF(D188=DP!$L$25,(DP!$P$25),((0*1))))))</f>
        <v>0</v>
      </c>
      <c r="AL188" s="93">
        <f t="shared" si="189"/>
        <v>0</v>
      </c>
      <c r="AM188" s="100"/>
      <c r="AN188" s="149">
        <f t="shared" si="173"/>
        <v>0</v>
      </c>
      <c r="AO188" s="149">
        <f>DP!$N$35*H188</f>
        <v>0</v>
      </c>
      <c r="AP188" s="149">
        <f>DP!$O$35*H188</f>
        <v>0</v>
      </c>
      <c r="AQ188" s="149">
        <f>DP!$P$35*H188</f>
        <v>0</v>
      </c>
      <c r="AV188" s="489">
        <f>DP!AV29</f>
        <v>0</v>
      </c>
      <c r="AW188" s="489">
        <f>DP!AW29</f>
        <v>0</v>
      </c>
      <c r="AX188" s="489">
        <f>DP!AX29</f>
        <v>0</v>
      </c>
      <c r="AY188" s="412">
        <f t="shared" si="190"/>
        <v>0</v>
      </c>
      <c r="AZ188" s="470">
        <f>DP!BD29</f>
        <v>0</v>
      </c>
      <c r="BA188" s="98">
        <f t="shared" si="191"/>
        <v>0</v>
      </c>
      <c r="BB188" s="97"/>
      <c r="BC188" s="102">
        <f t="shared" si="174"/>
        <v>0</v>
      </c>
      <c r="BD188" s="98">
        <f t="shared" si="175"/>
        <v>0</v>
      </c>
      <c r="BE188" s="93">
        <f t="shared" si="176"/>
        <v>0</v>
      </c>
      <c r="BF188" s="99">
        <f t="shared" si="177"/>
        <v>0</v>
      </c>
      <c r="BG188" s="100"/>
      <c r="BH188" s="102">
        <f>IFERROR((BA188*100%)/DP!$AP$29,(0*1))</f>
        <v>0</v>
      </c>
      <c r="BI188" s="102">
        <f>IF(BH188&gt;0,(DP!$AP$31),0*1)</f>
        <v>0</v>
      </c>
      <c r="BJ188" s="435">
        <f t="shared" si="192"/>
        <v>0</v>
      </c>
      <c r="BK188" s="475">
        <f>BA188*DP!$AW$44</f>
        <v>0</v>
      </c>
      <c r="BL188" s="475">
        <f>IF(BA188&gt;0,DP!$AX$44,0*1)</f>
        <v>0</v>
      </c>
      <c r="BM188" s="475">
        <f t="shared" si="193"/>
        <v>0</v>
      </c>
      <c r="BN188" s="102">
        <f>BA188*DP!$AW$45</f>
        <v>0</v>
      </c>
      <c r="BO188" s="102">
        <f>IF(BA188&gt;0,DP!$AX$45,0*1)</f>
        <v>0</v>
      </c>
      <c r="BP188" s="475">
        <f t="shared" si="194"/>
        <v>0</v>
      </c>
      <c r="BQ188" s="100"/>
      <c r="BR188" s="100"/>
      <c r="BS188" s="100"/>
      <c r="BT188" s="93">
        <f>IF(AW188=DP!$AN$15,AY188*(1+DP!$AP$15),IF(AW188=DP!$AN$16,AY188*(1+DP!$AP$16),IF(AW188=DP!$AN$17,AY188*(1+DP!$AP$17),IF(AW188=DP!$AN$18,AY188*(1+DP!$AP$18),0*1))))</f>
        <v>0</v>
      </c>
      <c r="BU188" s="102">
        <f>IF(AW188=DP!$AN$22,(DP!$AO$22),IF(AW188=DP!$AN$23,(DP!$AO$23),IF(AW188=DP!$AN$24,(DP!$AO$24),IF(AW188=DP!$AN$25,(DP!$AO$25),((0*1))))))</f>
        <v>0</v>
      </c>
      <c r="BV188" s="93">
        <f t="shared" si="195"/>
        <v>0</v>
      </c>
      <c r="BW188" s="93">
        <f>IF(AW188=DP!$AN$15,AY188*(1+DP!$AP$15),IF(AW188=DP!$AN$16,AY188*(1+DP!$AP$16),IF(AW188=DP!$AN$17,AY188*(1+DP!$AP$17),IF(AW188=DP!$AN$18,AY188*(1+DP!$AP$18),0*1))))</f>
        <v>0</v>
      </c>
      <c r="BX188" s="102">
        <f>IF(AW188=DP!$AN$22,(DP!$AP$22),IF(AW188=DP!$AN$23,(DP!$AP$23),IF(AW188=DP!$AN$24,(DP!$AP$24),IF(AW188=DP!$AN$25,(DP!$AP$25),((0*1))))))</f>
        <v>0</v>
      </c>
      <c r="BY188" s="93">
        <f t="shared" si="196"/>
        <v>0</v>
      </c>
      <c r="BZ188" s="93">
        <f>IF(AW188=DP!$AN$15,(AY188/DP!$AM$15)*(1+DP!$AP$15),IF(AW188=DP!$AN$16,(AY188/DP!$AM$16)*(1+DP!$AP$16),IF(AW188=DP!$AN$17,(AY188/DP!$AM$17)*(1+DP!$AP$17),IF(AW188=DP!$AN$18,(AY188/DP!$AM$18)*(1+DP!$AP$18),0*1))))</f>
        <v>0</v>
      </c>
      <c r="CA188" s="102">
        <f>IF(AW188=DP!$AN$22,(DP!$AQ$22),IF(AW188=DP!$AN$23,(DP!$AQ$23),IF(AW188=DP!$AN$24,(DP!$AQ$24),IF(AW188=DP!$AN$25,(DP!$AQ$25),((0*1))))))</f>
        <v>0</v>
      </c>
      <c r="CB188" s="93">
        <f t="shared" si="197"/>
        <v>0</v>
      </c>
      <c r="CC188" s="93">
        <f>IF(AW188=DP!$AN$15,AY188*(1+DP!$AP$15),IF(AW188=DP!$AN$16,AY188*(1+DP!$AP$16),IF(AW188=DP!$AN$17,AY188*(1+DP!$AP$17),IF(AW188=DP!$AN$18,AY188*(1+DP!$AP$18),0*1))))</f>
        <v>0</v>
      </c>
      <c r="CD188" s="102">
        <f>IF(AW188=DP!$AN$22,(DP!$AR$22),IF(AW188=DP!$AN$23,(DP!$AR$23),IF(AW188=DP!$AN$24,(DP!$AR$24),IF(AW188=DP!$AN$25,(DP!$AR$25),((0*1))))))</f>
        <v>0</v>
      </c>
      <c r="CE188" s="93">
        <f t="shared" si="198"/>
        <v>0</v>
      </c>
      <c r="CF188" s="100"/>
      <c r="CG188" s="149">
        <f t="shared" si="178"/>
        <v>0</v>
      </c>
      <c r="CH188" s="149">
        <f>DP!$N$35*BA188</f>
        <v>0</v>
      </c>
      <c r="CI188" s="149">
        <f>DP!$O$35*BA188</f>
        <v>0</v>
      </c>
      <c r="CJ188" s="149">
        <f>DP!$P$35*BA188</f>
        <v>0</v>
      </c>
    </row>
    <row r="189" spans="2:88" x14ac:dyDescent="0.35">
      <c r="B189" s="480">
        <f>DP!S30</f>
        <v>0</v>
      </c>
      <c r="C189" s="480">
        <f>DP!T30</f>
        <v>0</v>
      </c>
      <c r="D189" s="480">
        <f>DP!U30</f>
        <v>0</v>
      </c>
      <c r="E189" s="480">
        <f>DP!V30</f>
        <v>0</v>
      </c>
      <c r="F189" s="412">
        <f t="shared" si="179"/>
        <v>0</v>
      </c>
      <c r="G189" s="470">
        <f>DP!AB30</f>
        <v>0</v>
      </c>
      <c r="H189" s="98">
        <f t="shared" si="180"/>
        <v>0</v>
      </c>
      <c r="I189" s="97"/>
      <c r="J189" s="102">
        <f t="shared" si="169"/>
        <v>0</v>
      </c>
      <c r="K189" s="98">
        <f t="shared" si="170"/>
        <v>0</v>
      </c>
      <c r="L189" s="93">
        <f t="shared" si="171"/>
        <v>0</v>
      </c>
      <c r="M189" s="99">
        <f t="shared" si="172"/>
        <v>0</v>
      </c>
      <c r="N189" s="100"/>
      <c r="O189" s="102">
        <f>($E189/DP!$N$29)*F189</f>
        <v>0</v>
      </c>
      <c r="P189" s="102">
        <f>IF(O189&gt;0,(DP!$N$31),0*1)</f>
        <v>0</v>
      </c>
      <c r="Q189" s="102">
        <f t="shared" si="181"/>
        <v>0</v>
      </c>
      <c r="R189" s="102">
        <f t="shared" si="182"/>
        <v>0</v>
      </c>
      <c r="S189" s="418">
        <f t="shared" si="183"/>
        <v>0</v>
      </c>
      <c r="T189" s="475">
        <f>H189*DP!$U$44</f>
        <v>0</v>
      </c>
      <c r="U189" s="475">
        <f>IF(H189&gt;0,DP!$V$44,0*1)</f>
        <v>0</v>
      </c>
      <c r="V189" s="475">
        <f t="shared" si="184"/>
        <v>0</v>
      </c>
      <c r="W189" s="475">
        <f>H189*DP!$U$45</f>
        <v>0</v>
      </c>
      <c r="X189" s="475">
        <f>IF(H189&gt;0,DP!$V$45,0*1)</f>
        <v>0</v>
      </c>
      <c r="Y189" s="475">
        <f t="shared" si="185"/>
        <v>0</v>
      </c>
      <c r="Z189" s="100"/>
      <c r="AA189" s="93">
        <f>IF(D189=DP!$L$15,F189*(1+DP!$N$15),IF(D189=DP!$L$16,F189*(1+DP!$N$16),IF(D189=DP!$L$17,F189*(1+DP!$N$17),IF(D189=DP!$L$18,F189*(1+DP!$N$18),0*1))))</f>
        <v>0</v>
      </c>
      <c r="AB189" s="102">
        <f>IF(D189=DP!$L$22,(DP!$M$22),IF(D189=DP!$L$23,(DP!$M$23),IF(D189=DP!$L$24,(DP!$M$24),IF(D189=DP!$L$25,(DP!$M$25),((0*1))))))</f>
        <v>0</v>
      </c>
      <c r="AC189" s="93">
        <f t="shared" si="186"/>
        <v>0</v>
      </c>
      <c r="AD189" s="93">
        <f>IF(D189=DP!$L$15,F189*(1+DP!$N$15),IF(D189=DP!$L$16,F189*(1+DP!$N$16),IF(D189=DP!$L$17,F189*(1+DP!$N$17),IF(D189=DP!$L$18,F189*(1+DP!$N$18),0*1))))</f>
        <v>0</v>
      </c>
      <c r="AE189" s="102">
        <f>IF(D189=DP!$L$22,(DP!$N$22),IF(D189=DP!$L$23,(DP!$N$23),IF(D189=DP!$L$24,(DP!$N$24),IF(D189=DP!$L$25,(DP!$N$25),((0*1))))))</f>
        <v>0</v>
      </c>
      <c r="AF189" s="93">
        <f t="shared" si="187"/>
        <v>0</v>
      </c>
      <c r="AG189" s="93">
        <f>IF(D189=DP!$L$15,(F189/DP!$K$15)*(1+DP!$N$15),IF(D189=DP!$L$16,(F189/DP!$K$16)*(1+DP!$N$16),IF(D189=DP!$L$17,(F189/DP!$K$17)*(1+DP!$N$17),IF(D189=DP!$L$18,(F189/DP!$K$18)*(1+DP!$N$18),0*1))))</f>
        <v>0</v>
      </c>
      <c r="AH189" s="102">
        <f>IF(D189=DP!$L$22,(DP!$O$22),IF(D189=DP!$L$23,(DP!$O$23),IF(D189=DP!$L$24,(DP!$O$24),IF(D189=DP!$L$25,(DP!$O$25),((0*1))))))</f>
        <v>0</v>
      </c>
      <c r="AI189" s="93">
        <f t="shared" si="188"/>
        <v>0</v>
      </c>
      <c r="AJ189" s="93">
        <f>IF(D189=DP!$L$15,F189*(1+DP!$N$15),IF(D189=DP!$L$16,F189*(1+DP!$N$16),IF(D189=DP!$L$17,F189*(1+DP!$N$17),IF(D189=DP!$L$18,F189*(1+DP!$N$18),0*1))))</f>
        <v>0</v>
      </c>
      <c r="AK189" s="102">
        <f>IF(D189=DP!$L$22,(DP!$P$22),IF(D189=DP!$L$23,(DP!$P$23),IF(D189=DP!$L$24,(DP!$P$24),IF(D189=DP!$L$25,(DP!$P$25),((0*1))))))</f>
        <v>0</v>
      </c>
      <c r="AL189" s="93">
        <f t="shared" si="189"/>
        <v>0</v>
      </c>
      <c r="AM189" s="100"/>
      <c r="AN189" s="149">
        <f t="shared" si="173"/>
        <v>0</v>
      </c>
      <c r="AO189" s="149">
        <f>DP!$N$35*H189</f>
        <v>0</v>
      </c>
      <c r="AP189" s="149">
        <f>DP!$O$35*H189</f>
        <v>0</v>
      </c>
      <c r="AQ189" s="149">
        <f>DP!$P$35*H189</f>
        <v>0</v>
      </c>
      <c r="AV189" s="489">
        <f>DP!AV30</f>
        <v>0</v>
      </c>
      <c r="AW189" s="489">
        <f>DP!AW30</f>
        <v>0</v>
      </c>
      <c r="AX189" s="489">
        <f>DP!AX30</f>
        <v>0</v>
      </c>
      <c r="AY189" s="412">
        <f t="shared" si="190"/>
        <v>0</v>
      </c>
      <c r="AZ189" s="470">
        <f>DP!BD30</f>
        <v>0</v>
      </c>
      <c r="BA189" s="98">
        <f t="shared" si="191"/>
        <v>0</v>
      </c>
      <c r="BB189" s="97"/>
      <c r="BC189" s="102">
        <f t="shared" si="174"/>
        <v>0</v>
      </c>
      <c r="BD189" s="98">
        <f t="shared" si="175"/>
        <v>0</v>
      </c>
      <c r="BE189" s="93">
        <f t="shared" si="176"/>
        <v>0</v>
      </c>
      <c r="BF189" s="99">
        <f t="shared" si="177"/>
        <v>0</v>
      </c>
      <c r="BG189" s="100"/>
      <c r="BH189" s="102">
        <f>IFERROR((BA189*100%)/DP!$AP$29,(0*1))</f>
        <v>0</v>
      </c>
      <c r="BI189" s="102">
        <f>IF(BH189&gt;0,(DP!$AP$31),0*1)</f>
        <v>0</v>
      </c>
      <c r="BJ189" s="435">
        <f t="shared" si="192"/>
        <v>0</v>
      </c>
      <c r="BK189" s="475">
        <f>BA189*DP!$AW$44</f>
        <v>0</v>
      </c>
      <c r="BL189" s="475">
        <f>IF(BA189&gt;0,DP!$AX$44,0*1)</f>
        <v>0</v>
      </c>
      <c r="BM189" s="475">
        <f t="shared" si="193"/>
        <v>0</v>
      </c>
      <c r="BN189" s="102">
        <f>BA189*DP!$AW$45</f>
        <v>0</v>
      </c>
      <c r="BO189" s="102">
        <f>IF(BA189&gt;0,DP!$AX$45,0*1)</f>
        <v>0</v>
      </c>
      <c r="BP189" s="475">
        <f t="shared" si="194"/>
        <v>0</v>
      </c>
      <c r="BQ189" s="100"/>
      <c r="BR189" s="100"/>
      <c r="BS189" s="100"/>
      <c r="BT189" s="93">
        <f>IF(AW189=DP!$AN$15,AY189*(1+DP!$AP$15),IF(AW189=DP!$AN$16,AY189*(1+DP!$AP$16),IF(AW189=DP!$AN$17,AY189*(1+DP!$AP$17),IF(AW189=DP!$AN$18,AY189*(1+DP!$AP$18),0*1))))</f>
        <v>0</v>
      </c>
      <c r="BU189" s="102">
        <f>IF(AW189=DP!$AN$22,(DP!$AO$22),IF(AW189=DP!$AN$23,(DP!$AO$23),IF(AW189=DP!$AN$24,(DP!$AO$24),IF(AW189=DP!$AN$25,(DP!$AO$25),((0*1))))))</f>
        <v>0</v>
      </c>
      <c r="BV189" s="93">
        <f t="shared" si="195"/>
        <v>0</v>
      </c>
      <c r="BW189" s="93">
        <f>IF(AW189=DP!$AN$15,AY189*(1+DP!$AP$15),IF(AW189=DP!$AN$16,AY189*(1+DP!$AP$16),IF(AW189=DP!$AN$17,AY189*(1+DP!$AP$17),IF(AW189=DP!$AN$18,AY189*(1+DP!$AP$18),0*1))))</f>
        <v>0</v>
      </c>
      <c r="BX189" s="102">
        <f>IF(AW189=DP!$AN$22,(DP!$AP$22),IF(AW189=DP!$AN$23,(DP!$AP$23),IF(AW189=DP!$AN$24,(DP!$AP$24),IF(AW189=DP!$AN$25,(DP!$AP$25),((0*1))))))</f>
        <v>0</v>
      </c>
      <c r="BY189" s="93">
        <f>BW189*BX189</f>
        <v>0</v>
      </c>
      <c r="BZ189" s="93">
        <f>IF(AW189=DP!$AN$15,(AY189/DP!$AM$15)*(1+DP!$AP$15),IF(AW189=DP!$AN$16,(AY189/DP!$AM$16)*(1+DP!$AP$16),IF(AW189=DP!$AN$17,(AY189/DP!$AM$17)*(1+DP!$AP$17),IF(AW189=DP!$AN$18,(AY189/DP!$AM$18)*(1+DP!$AP$18),0*1))))</f>
        <v>0</v>
      </c>
      <c r="CA189" s="102">
        <f>IF(AW189=DP!$AN$22,(DP!$AQ$22),IF(AW189=DP!$AN$23,(DP!$AQ$23),IF(AW189=DP!$AN$24,(DP!$AQ$24),IF(AW189=DP!$AN$25,(DP!$AQ$25),((0*1))))))</f>
        <v>0</v>
      </c>
      <c r="CB189" s="93">
        <f t="shared" si="197"/>
        <v>0</v>
      </c>
      <c r="CC189" s="93">
        <f>IF(AW189=DP!$AN$15,AY189*(1+DP!$AP$15),IF(AW189=DP!$AN$16,AY189*(1+DP!$AP$16),IF(AW189=DP!$AN$17,AY189*(1+DP!$AP$17),IF(AW189=DP!$AN$18,AY189*(1+DP!$AP$18),0*1))))</f>
        <v>0</v>
      </c>
      <c r="CD189" s="102">
        <f>IF(AW189=DP!$AN$22,(DP!$AR$22),IF(AW189=DP!$AN$23,(DP!$AR$23),IF(AW189=DP!$AN$24,(DP!$AR$24),IF(AW189=DP!$AN$25,(DP!$AR$25),((0*1))))))</f>
        <v>0</v>
      </c>
      <c r="CE189" s="93">
        <f t="shared" si="198"/>
        <v>0</v>
      </c>
      <c r="CF189" s="100"/>
      <c r="CG189" s="149">
        <f t="shared" si="178"/>
        <v>0</v>
      </c>
      <c r="CH189" s="149">
        <f>DP!$N$35*BA189</f>
        <v>0</v>
      </c>
      <c r="CI189" s="149">
        <f>DP!$O$35*BA189</f>
        <v>0</v>
      </c>
      <c r="CJ189" s="149">
        <f>DP!$P$35*BA189</f>
        <v>0</v>
      </c>
    </row>
    <row r="190" spans="2:88" x14ac:dyDescent="0.35">
      <c r="B190" s="480">
        <f>DP!S31</f>
        <v>0</v>
      </c>
      <c r="C190" s="480">
        <f>DP!T31</f>
        <v>0</v>
      </c>
      <c r="D190" s="480">
        <f>DP!U31</f>
        <v>0</v>
      </c>
      <c r="E190" s="480">
        <f>DP!V31</f>
        <v>0</v>
      </c>
      <c r="F190" s="412">
        <f t="shared" si="179"/>
        <v>0</v>
      </c>
      <c r="G190" s="470">
        <f>DP!AB31</f>
        <v>0</v>
      </c>
      <c r="H190" s="98">
        <f t="shared" si="180"/>
        <v>0</v>
      </c>
      <c r="I190" s="97"/>
      <c r="J190" s="102">
        <f t="shared" si="169"/>
        <v>0</v>
      </c>
      <c r="K190" s="98">
        <f t="shared" si="170"/>
        <v>0</v>
      </c>
      <c r="L190" s="93">
        <f t="shared" si="171"/>
        <v>0</v>
      </c>
      <c r="M190" s="99">
        <f t="shared" si="172"/>
        <v>0</v>
      </c>
      <c r="N190" s="100"/>
      <c r="O190" s="102">
        <f>($E190/DP!$N$29)*F190</f>
        <v>0</v>
      </c>
      <c r="P190" s="102">
        <f>IF(O190&gt;0,(DP!$N$31),0*1)</f>
        <v>0</v>
      </c>
      <c r="Q190" s="102">
        <f t="shared" si="181"/>
        <v>0</v>
      </c>
      <c r="R190" s="102">
        <f t="shared" si="182"/>
        <v>0</v>
      </c>
      <c r="S190" s="418">
        <f t="shared" si="183"/>
        <v>0</v>
      </c>
      <c r="T190" s="475">
        <f>H190*DP!$U$44</f>
        <v>0</v>
      </c>
      <c r="U190" s="475">
        <f>IF(H190&gt;0,DP!$V$44,0*1)</f>
        <v>0</v>
      </c>
      <c r="V190" s="475">
        <f t="shared" si="184"/>
        <v>0</v>
      </c>
      <c r="W190" s="475">
        <f>H190*DP!$U$45</f>
        <v>0</v>
      </c>
      <c r="X190" s="475">
        <f>IF(H190&gt;0,DP!$V$45,0*1)</f>
        <v>0</v>
      </c>
      <c r="Y190" s="475">
        <f t="shared" si="185"/>
        <v>0</v>
      </c>
      <c r="Z190" s="100"/>
      <c r="AA190" s="93">
        <f>IF(D190=DP!$L$15,F190*(1+DP!$N$15),IF(D190=DP!$L$16,F190*(1+DP!$N$16),IF(D190=DP!$L$17,F190*(1+DP!$N$17),IF(D190=DP!$L$18,F190*(1+DP!$N$18),0*1))))</f>
        <v>0</v>
      </c>
      <c r="AB190" s="102">
        <f>IF(D190=DP!$L$22,(DP!$M$22),IF(D190=DP!$L$23,(DP!$M$23),IF(D190=DP!$L$24,(DP!$M$24),IF(D190=DP!$L$25,(DP!$M$25),((0*1))))))</f>
        <v>0</v>
      </c>
      <c r="AC190" s="93">
        <f t="shared" si="186"/>
        <v>0</v>
      </c>
      <c r="AD190" s="93">
        <f>IF(D190=DP!$L$15,F190*(1+DP!$N$15),IF(D190=DP!$L$16,F190*(1+DP!$N$16),IF(D190=DP!$L$17,F190*(1+DP!$N$17),IF(D190=DP!$L$18,F190*(1+DP!$N$18),0*1))))</f>
        <v>0</v>
      </c>
      <c r="AE190" s="102">
        <f>IF(D190=DP!$L$22,(DP!$N$22),IF(D190=DP!$L$23,(DP!$N$23),IF(D190=DP!$L$24,(DP!$N$24),IF(D190=DP!$L$25,(DP!$N$25),((0*1))))))</f>
        <v>0</v>
      </c>
      <c r="AF190" s="93">
        <f t="shared" si="187"/>
        <v>0</v>
      </c>
      <c r="AG190" s="93">
        <f>IF(D190=DP!$L$15,(F190/DP!$K$15)*(1+DP!$N$15),IF(D190=DP!$L$16,(F190/DP!$K$16)*(1+DP!$N$16),IF(D190=DP!$L$17,(F190/DP!$K$17)*(1+DP!$N$17),IF(D190=DP!$L$18,(F190/DP!$K$18)*(1+DP!$N$18),0*1))))</f>
        <v>0</v>
      </c>
      <c r="AH190" s="102">
        <f>IF(D190=DP!$L$22,(DP!$O$22),IF(D190=DP!$L$23,(DP!$O$23),IF(D190=DP!$L$24,(DP!$O$24),IF(D190=DP!$L$25,(DP!$O$25),((0*1))))))</f>
        <v>0</v>
      </c>
      <c r="AI190" s="93">
        <f t="shared" si="188"/>
        <v>0</v>
      </c>
      <c r="AJ190" s="93">
        <f>IF(D190=DP!$L$15,F190*(1+DP!$N$15),IF(D190=DP!$L$16,F190*(1+DP!$N$16),IF(D190=DP!$L$17,F190*(1+DP!$N$17),IF(D190=DP!$L$18,F190*(1+DP!$N$18),0*1))))</f>
        <v>0</v>
      </c>
      <c r="AK190" s="102">
        <f>IF(D190=DP!$L$22,(DP!$P$22),IF(D190=DP!$L$23,(DP!$P$23),IF(D190=DP!$L$24,(DP!$P$24),IF(D190=DP!$L$25,(DP!$P$25),((0*1))))))</f>
        <v>0</v>
      </c>
      <c r="AL190" s="93">
        <f t="shared" si="189"/>
        <v>0</v>
      </c>
      <c r="AM190" s="100"/>
      <c r="AN190" s="149">
        <f t="shared" si="173"/>
        <v>0</v>
      </c>
      <c r="AO190" s="149">
        <f>DP!$N$35*H190</f>
        <v>0</v>
      </c>
      <c r="AP190" s="149">
        <f>DP!$O$35*H190</f>
        <v>0</v>
      </c>
      <c r="AQ190" s="149">
        <f>DP!$P$35*H190</f>
        <v>0</v>
      </c>
      <c r="AV190" s="489">
        <f>DP!AV31</f>
        <v>0</v>
      </c>
      <c r="AW190" s="489">
        <f>DP!AW31</f>
        <v>0</v>
      </c>
      <c r="AX190" s="489">
        <f>DP!AX31</f>
        <v>0</v>
      </c>
      <c r="AY190" s="412">
        <f t="shared" si="190"/>
        <v>0</v>
      </c>
      <c r="AZ190" s="470">
        <f>DP!BD31</f>
        <v>0</v>
      </c>
      <c r="BA190" s="98">
        <f t="shared" si="191"/>
        <v>0</v>
      </c>
      <c r="BB190" s="97"/>
      <c r="BC190" s="102">
        <f t="shared" si="174"/>
        <v>0</v>
      </c>
      <c r="BD190" s="98">
        <f t="shared" si="175"/>
        <v>0</v>
      </c>
      <c r="BE190" s="93">
        <f t="shared" si="176"/>
        <v>0</v>
      </c>
      <c r="BF190" s="99">
        <f t="shared" si="177"/>
        <v>0</v>
      </c>
      <c r="BG190" s="100"/>
      <c r="BH190" s="102">
        <f>IFERROR((BA190*100%)/DP!$AP$29,(0*1))</f>
        <v>0</v>
      </c>
      <c r="BI190" s="102">
        <f>IF(BH190&gt;0,(DP!$AP$31),0*1)</f>
        <v>0</v>
      </c>
      <c r="BJ190" s="435">
        <f t="shared" si="192"/>
        <v>0</v>
      </c>
      <c r="BK190" s="475">
        <f>BA190*DP!$AW$44</f>
        <v>0</v>
      </c>
      <c r="BL190" s="475">
        <f>IF(BA190&gt;0,DP!$AX$44,0*1)</f>
        <v>0</v>
      </c>
      <c r="BM190" s="475">
        <f t="shared" si="193"/>
        <v>0</v>
      </c>
      <c r="BN190" s="102">
        <f>BA190*DP!$AW$45</f>
        <v>0</v>
      </c>
      <c r="BO190" s="102">
        <f>IF(BA190&gt;0,DP!$AX$45,0*1)</f>
        <v>0</v>
      </c>
      <c r="BP190" s="475">
        <f t="shared" si="194"/>
        <v>0</v>
      </c>
      <c r="BQ190" s="100"/>
      <c r="BR190" s="100"/>
      <c r="BS190" s="100"/>
      <c r="BT190" s="93">
        <f>IF(AW190=DP!$AN$15,AY190*(1+DP!$AP$15),IF(AW190=DP!$AN$16,AY190*(1+DP!$AP$16),IF(AW190=DP!$AN$17,AY190*(1+DP!$AP$17),IF(AW190=DP!$AN$18,AY190*(1+DP!$AP$18),0*1))))</f>
        <v>0</v>
      </c>
      <c r="BU190" s="102">
        <f>IF(AW190=DP!$AN$22,(DP!$AO$22),IF(AW190=DP!$AN$23,(DP!$AO$23),IF(AW190=DP!$AN$24,(DP!$AO$24),IF(AW190=DP!$AN$25,(DP!$AO$25),((0*1))))))</f>
        <v>0</v>
      </c>
      <c r="BV190" s="93">
        <f t="shared" si="195"/>
        <v>0</v>
      </c>
      <c r="BW190" s="93">
        <f>IF(AW190=DP!$AN$15,AY190*(1+DP!$AP$15),IF(AW190=DP!$AN$16,AY190*(1+DP!$AP$16),IF(AW190=DP!$AN$17,AY190*(1+DP!$AP$17),IF(AW190=DP!$AN$18,AY190*(1+DP!$AP$18),0*1))))</f>
        <v>0</v>
      </c>
      <c r="BX190" s="102">
        <f>IF(AW190=DP!$AN$22,(DP!$AP$22),IF(AW190=DP!$AN$23,(DP!$AP$23),IF(AW190=DP!$AN$24,(DP!$AP$24),IF(AW190=DP!$AN$25,(DP!$AP$25),((0*1))))))</f>
        <v>0</v>
      </c>
      <c r="BY190" s="93">
        <f t="shared" ref="BY190:BY195" si="199">BW190*BX190</f>
        <v>0</v>
      </c>
      <c r="BZ190" s="93">
        <f>IF(AW190=DP!$AN$15,(AY190/DP!$AM$15)*(1+DP!$AP$15),IF(AW190=DP!$AN$16,(AY190/DP!$AM$16)*(1+DP!$AP$16),IF(AW190=DP!$AN$17,(AY190/DP!$AM$17)*(1+DP!$AP$17),IF(AW190=DP!$AN$18,(AY190/DP!$AM$18)*(1+DP!$AP$18),0*1))))</f>
        <v>0</v>
      </c>
      <c r="CA190" s="102">
        <f>IF(AW190=DP!$AN$22,(DP!$AQ$22),IF(AW190=DP!$AN$23,(DP!$AQ$23),IF(AW190=DP!$AN$24,(DP!$AQ$24),IF(AW190=DP!$AN$25,(DP!$AQ$25),((0*1))))))</f>
        <v>0</v>
      </c>
      <c r="CB190" s="93">
        <f t="shared" si="197"/>
        <v>0</v>
      </c>
      <c r="CC190" s="93">
        <f>IF(AW190=DP!$AN$15,AY190*(1+DP!$AP$15),IF(AW190=DP!$AN$16,AY190*(1+DP!$AP$16),IF(AW190=DP!$AN$17,AY190*(1+DP!$AP$17),IF(AW190=DP!$AN$18,AY190*(1+DP!$AP$18),0*1))))</f>
        <v>0</v>
      </c>
      <c r="CD190" s="102">
        <f>IF(AW190=DP!$AN$22,(DP!$AR$22),IF(AW190=DP!$AN$23,(DP!$AR$23),IF(AW190=DP!$AN$24,(DP!$AR$24),IF(AW190=DP!$AN$25,(DP!$AR$25),((0*1))))))</f>
        <v>0</v>
      </c>
      <c r="CE190" s="93">
        <f t="shared" si="198"/>
        <v>0</v>
      </c>
      <c r="CF190" s="100"/>
      <c r="CG190" s="149">
        <f t="shared" si="178"/>
        <v>0</v>
      </c>
      <c r="CH190" s="149">
        <f>DP!$N$35*BA190</f>
        <v>0</v>
      </c>
      <c r="CI190" s="149">
        <f>DP!$O$35*BA190</f>
        <v>0</v>
      </c>
      <c r="CJ190" s="149">
        <f>DP!$P$35*BA190</f>
        <v>0</v>
      </c>
    </row>
    <row r="191" spans="2:88" x14ac:dyDescent="0.35">
      <c r="B191" s="480">
        <f>DP!S32</f>
        <v>0</v>
      </c>
      <c r="C191" s="480">
        <f>DP!T32</f>
        <v>0</v>
      </c>
      <c r="D191" s="480">
        <f>DP!U32</f>
        <v>0</v>
      </c>
      <c r="E191" s="480">
        <f>DP!V32</f>
        <v>0</v>
      </c>
      <c r="F191" s="412">
        <f t="shared" si="179"/>
        <v>0</v>
      </c>
      <c r="G191" s="470">
        <f>DP!AB32</f>
        <v>0</v>
      </c>
      <c r="H191" s="98">
        <f t="shared" si="180"/>
        <v>0</v>
      </c>
      <c r="I191" s="97"/>
      <c r="J191" s="102">
        <f t="shared" si="169"/>
        <v>0</v>
      </c>
      <c r="K191" s="98">
        <f t="shared" si="170"/>
        <v>0</v>
      </c>
      <c r="L191" s="93">
        <f t="shared" si="171"/>
        <v>0</v>
      </c>
      <c r="M191" s="99">
        <f t="shared" si="172"/>
        <v>0</v>
      </c>
      <c r="N191" s="100"/>
      <c r="O191" s="102">
        <f>($E191/DP!$N$29)*F191</f>
        <v>0</v>
      </c>
      <c r="P191" s="102">
        <f>IF(O191&gt;0,(DP!$N$31),0*1)</f>
        <v>0</v>
      </c>
      <c r="Q191" s="102">
        <f t="shared" si="181"/>
        <v>0</v>
      </c>
      <c r="R191" s="102">
        <f t="shared" si="182"/>
        <v>0</v>
      </c>
      <c r="S191" s="418">
        <f t="shared" si="183"/>
        <v>0</v>
      </c>
      <c r="T191" s="475">
        <f>H191*DP!$U$44</f>
        <v>0</v>
      </c>
      <c r="U191" s="475">
        <f>IF(H191&gt;0,DP!$V$44,0*1)</f>
        <v>0</v>
      </c>
      <c r="V191" s="475">
        <f t="shared" si="184"/>
        <v>0</v>
      </c>
      <c r="W191" s="475">
        <f>H191*DP!$U$45</f>
        <v>0</v>
      </c>
      <c r="X191" s="475">
        <f>IF(H191&gt;0,DP!$V$45,0*1)</f>
        <v>0</v>
      </c>
      <c r="Y191" s="475">
        <f t="shared" si="185"/>
        <v>0</v>
      </c>
      <c r="Z191" s="100"/>
      <c r="AA191" s="93">
        <f>IF(D191=DP!$L$15,F191*(1+DP!$N$15),IF(D191=DP!$L$16,F191*(1+DP!$N$16),IF(D191=DP!$L$17,F191*(1+DP!$N$17),IF(D191=DP!$L$18,F191*(1+DP!$N$18),0*1))))</f>
        <v>0</v>
      </c>
      <c r="AB191" s="102">
        <f>IF(D191=DP!$L$22,(DP!$M$22),IF(D191=DP!$L$23,(DP!$M$23),IF(D191=DP!$L$24,(DP!$M$24),IF(D191=DP!$L$25,(DP!$M$25),((0*1))))))</f>
        <v>0</v>
      </c>
      <c r="AC191" s="93">
        <f t="shared" si="186"/>
        <v>0</v>
      </c>
      <c r="AD191" s="93">
        <f>IF(D191=DP!$L$15,F191*(1+DP!$N$15),IF(D191=DP!$L$16,F191*(1+DP!$N$16),IF(D191=DP!$L$17,F191*(1+DP!$N$17),IF(D191=DP!$L$18,F191*(1+DP!$N$18),0*1))))</f>
        <v>0</v>
      </c>
      <c r="AE191" s="102">
        <f>IF(D191=DP!$L$22,(DP!$N$22),IF(D191=DP!$L$23,(DP!$N$23),IF(D191=DP!$L$24,(DP!$N$24),IF(D191=DP!$L$25,(DP!$N$25),((0*1))))))</f>
        <v>0</v>
      </c>
      <c r="AF191" s="93">
        <f t="shared" si="187"/>
        <v>0</v>
      </c>
      <c r="AG191" s="93">
        <f>IF(D191=DP!$L$15,(F191/DP!$K$15)*(1+DP!$N$15),IF(D191=DP!$L$16,(F191/DP!$K$16)*(1+DP!$N$16),IF(D191=DP!$L$17,(F191/DP!$K$17)*(1+DP!$N$17),IF(D191=DP!$L$18,(F191/DP!$K$18)*(1+DP!$N$18),0*1))))</f>
        <v>0</v>
      </c>
      <c r="AH191" s="102">
        <f>IF(D191=DP!$L$22,(DP!$O$22),IF(D191=DP!$L$23,(DP!$O$23),IF(D191=DP!$L$24,(DP!$O$24),IF(D191=DP!$L$25,(DP!$O$25),((0*1))))))</f>
        <v>0</v>
      </c>
      <c r="AI191" s="93">
        <f t="shared" si="188"/>
        <v>0</v>
      </c>
      <c r="AJ191" s="93">
        <f>IF(D191=DP!$L$15,F191*(1+DP!$N$15),IF(D191=DP!$L$16,F191*(1+DP!$N$16),IF(D191=DP!$L$17,F191*(1+DP!$N$17),IF(D191=DP!$L$18,F191*(1+DP!$N$18),0*1))))</f>
        <v>0</v>
      </c>
      <c r="AK191" s="102">
        <f>IF(D191=DP!$L$22,(DP!$P$22),IF(D191=DP!$L$23,(DP!$P$23),IF(D191=DP!$L$24,(DP!$P$24),IF(D191=DP!$L$25,(DP!$P$25),((0*1))))))</f>
        <v>0</v>
      </c>
      <c r="AL191" s="93">
        <f t="shared" si="189"/>
        <v>0</v>
      </c>
      <c r="AM191" s="100"/>
      <c r="AN191" s="149">
        <f t="shared" si="173"/>
        <v>0</v>
      </c>
      <c r="AO191" s="149">
        <f>DP!$N$35*H191</f>
        <v>0</v>
      </c>
      <c r="AP191" s="149">
        <f>DP!$O$35*H191</f>
        <v>0</v>
      </c>
      <c r="AQ191" s="149">
        <f>DP!$P$35*H191</f>
        <v>0</v>
      </c>
      <c r="AV191" s="489">
        <f>DP!AV32</f>
        <v>0</v>
      </c>
      <c r="AW191" s="489">
        <f>DP!AW32</f>
        <v>0</v>
      </c>
      <c r="AX191" s="489">
        <f>DP!AX32</f>
        <v>0</v>
      </c>
      <c r="AY191" s="412">
        <f t="shared" si="190"/>
        <v>0</v>
      </c>
      <c r="AZ191" s="470">
        <f>DP!BD32</f>
        <v>0</v>
      </c>
      <c r="BA191" s="98">
        <f t="shared" si="191"/>
        <v>0</v>
      </c>
      <c r="BB191" s="97"/>
      <c r="BC191" s="102">
        <f t="shared" si="174"/>
        <v>0</v>
      </c>
      <c r="BD191" s="98">
        <f t="shared" si="175"/>
        <v>0</v>
      </c>
      <c r="BE191" s="93">
        <f t="shared" si="176"/>
        <v>0</v>
      </c>
      <c r="BF191" s="99">
        <f t="shared" si="177"/>
        <v>0</v>
      </c>
      <c r="BG191" s="100"/>
      <c r="BH191" s="102">
        <f>IFERROR((BA191*100%)/DP!$AP$29,(0*1))</f>
        <v>0</v>
      </c>
      <c r="BI191" s="102">
        <f>IF(BH191&gt;0,(DP!$AP$31),0*1)</f>
        <v>0</v>
      </c>
      <c r="BJ191" s="435">
        <f t="shared" si="192"/>
        <v>0</v>
      </c>
      <c r="BK191" s="475">
        <f>BA191*DP!$AW$44</f>
        <v>0</v>
      </c>
      <c r="BL191" s="475">
        <f>IF(BA191&gt;0,DP!$AX$44,0*1)</f>
        <v>0</v>
      </c>
      <c r="BM191" s="475">
        <f t="shared" si="193"/>
        <v>0</v>
      </c>
      <c r="BN191" s="102">
        <f>BA191*DP!$AW$45</f>
        <v>0</v>
      </c>
      <c r="BO191" s="102">
        <f>IF(BA191&gt;0,DP!$AX$45,0*1)</f>
        <v>0</v>
      </c>
      <c r="BP191" s="475">
        <f t="shared" si="194"/>
        <v>0</v>
      </c>
      <c r="BQ191" s="100"/>
      <c r="BR191" s="100"/>
      <c r="BS191" s="100"/>
      <c r="BT191" s="93">
        <f>IF(AW191=DP!$AN$15,AY191*(1+DP!$AP$15),IF(AW191=DP!$AN$16,AY191*(1+DP!$AP$16),IF(AW191=DP!$AN$17,AY191*(1+DP!$AP$17),IF(AW191=DP!$AN$18,AY191*(1+DP!$AP$18),0*1))))</f>
        <v>0</v>
      </c>
      <c r="BU191" s="102">
        <f>IF(AW191=DP!$AN$22,(DP!$AO$22),IF(AW191=DP!$AN$23,(DP!$AO$23),IF(AW191=DP!$AN$24,(DP!$AO$24),IF(AW191=DP!$AN$25,(DP!$AO$25),((0*1))))))</f>
        <v>0</v>
      </c>
      <c r="BV191" s="93">
        <f t="shared" si="195"/>
        <v>0</v>
      </c>
      <c r="BW191" s="93">
        <f>IF(AW191=DP!$AN$15,AY191*(1+DP!$AP$15),IF(AW191=DP!$AN$16,AY191*(1+DP!$AP$16),IF(AW191=DP!$AN$17,AY191*(1+DP!$AP$17),IF(AW191=DP!$AN$18,AY191*(1+DP!$AP$18),0*1))))</f>
        <v>0</v>
      </c>
      <c r="BX191" s="102">
        <f>IF(AW191=DP!$AN$22,(DP!$AP$22),IF(AW191=DP!$AN$23,(DP!$AP$23),IF(AW191=DP!$AN$24,(DP!$AP$24),IF(AW191=DP!$AN$25,(DP!$AP$25),((0*1))))))</f>
        <v>0</v>
      </c>
      <c r="BY191" s="93">
        <f t="shared" si="199"/>
        <v>0</v>
      </c>
      <c r="BZ191" s="93">
        <f>IF(AW191=DP!$AN$15,(AY191/DP!$AM$15)*(1+DP!$AP$15),IF(AW191=DP!$AN$16,(AY191/DP!$AM$16)*(1+DP!$AP$16),IF(AW191=DP!$AN$17,(AY191/DP!$AM$17)*(1+DP!$AP$17),IF(AW191=DP!$AN$18,(AY191/DP!$AM$18)*(1+DP!$AP$18),0*1))))</f>
        <v>0</v>
      </c>
      <c r="CA191" s="102">
        <f>IF(AW191=DP!$AN$22,(DP!$AQ$22),IF(AW191=DP!$AN$23,(DP!$AQ$23),IF(AW191=DP!$AN$24,(DP!$AQ$24),IF(AW191=DP!$AN$25,(DP!$AQ$25),((0*1))))))</f>
        <v>0</v>
      </c>
      <c r="CB191" s="93">
        <f t="shared" si="197"/>
        <v>0</v>
      </c>
      <c r="CC191" s="93">
        <f>IF(AW191=DP!$AN$15,AY191*(1+DP!$AP$15),IF(AW191=DP!$AN$16,AY191*(1+DP!$AP$16),IF(AW191=DP!$AN$17,AY191*(1+DP!$AP$17),IF(AW191=DP!$AN$18,AY191*(1+DP!$AP$18),0*1))))</f>
        <v>0</v>
      </c>
      <c r="CD191" s="102">
        <f>IF(AW191=DP!$AN$22,(DP!$AR$22),IF(AW191=DP!$AN$23,(DP!$AR$23),IF(AW191=DP!$AN$24,(DP!$AR$24),IF(AW191=DP!$AN$25,(DP!$AR$25),((0*1))))))</f>
        <v>0</v>
      </c>
      <c r="CE191" s="93">
        <f t="shared" si="198"/>
        <v>0</v>
      </c>
      <c r="CF191" s="100"/>
      <c r="CG191" s="149">
        <f t="shared" si="178"/>
        <v>0</v>
      </c>
      <c r="CH191" s="149">
        <f>DP!$N$35*BA191</f>
        <v>0</v>
      </c>
      <c r="CI191" s="149">
        <f>DP!$O$35*BA191</f>
        <v>0</v>
      </c>
      <c r="CJ191" s="149">
        <f>DP!$P$35*BA191</f>
        <v>0</v>
      </c>
    </row>
    <row r="192" spans="2:88" x14ac:dyDescent="0.35">
      <c r="B192" s="480">
        <f>DP!S33</f>
        <v>0</v>
      </c>
      <c r="C192" s="480">
        <f>DP!T33</f>
        <v>0</v>
      </c>
      <c r="D192" s="480">
        <f>DP!U33</f>
        <v>0</v>
      </c>
      <c r="E192" s="480">
        <f>DP!V33</f>
        <v>0</v>
      </c>
      <c r="F192" s="412">
        <f t="shared" si="179"/>
        <v>0</v>
      </c>
      <c r="G192" s="470">
        <f>DP!AB33</f>
        <v>0</v>
      </c>
      <c r="H192" s="98">
        <f t="shared" si="180"/>
        <v>0</v>
      </c>
      <c r="I192" s="97"/>
      <c r="J192" s="102">
        <f t="shared" si="169"/>
        <v>0</v>
      </c>
      <c r="K192" s="98">
        <f t="shared" si="170"/>
        <v>0</v>
      </c>
      <c r="L192" s="93">
        <f t="shared" si="171"/>
        <v>0</v>
      </c>
      <c r="M192" s="99">
        <f t="shared" si="172"/>
        <v>0</v>
      </c>
      <c r="N192" s="100"/>
      <c r="O192" s="102">
        <f>($E192/DP!$N$29)*F192</f>
        <v>0</v>
      </c>
      <c r="P192" s="102">
        <f>IF(O192&gt;0,(DP!$N$31),0*1)</f>
        <v>0</v>
      </c>
      <c r="Q192" s="102">
        <f t="shared" si="181"/>
        <v>0</v>
      </c>
      <c r="R192" s="102">
        <f t="shared" si="182"/>
        <v>0</v>
      </c>
      <c r="S192" s="418">
        <f t="shared" si="183"/>
        <v>0</v>
      </c>
      <c r="T192" s="475">
        <f>H192*DP!$U$44</f>
        <v>0</v>
      </c>
      <c r="U192" s="475">
        <f>IF(H192&gt;0,DP!$V$44,0*1)</f>
        <v>0</v>
      </c>
      <c r="V192" s="475">
        <f t="shared" si="184"/>
        <v>0</v>
      </c>
      <c r="W192" s="475">
        <f>H192*DP!$U$45</f>
        <v>0</v>
      </c>
      <c r="X192" s="475">
        <f>IF(H192&gt;0,DP!$V$45,0*1)</f>
        <v>0</v>
      </c>
      <c r="Y192" s="475">
        <f t="shared" si="185"/>
        <v>0</v>
      </c>
      <c r="Z192" s="100"/>
      <c r="AA192" s="93">
        <f>IF(D192=DP!$L$15,F192*(1+DP!$N$15),IF(D192=DP!$L$16,F192*(1+DP!$N$16),IF(D192=DP!$L$17,F192*(1+DP!$N$17),IF(D192=DP!$L$18,F192*(1+DP!$N$18),0*1))))</f>
        <v>0</v>
      </c>
      <c r="AB192" s="102">
        <f>IF(D192=DP!$L$22,(DP!$M$22),IF(D192=DP!$L$23,(DP!$M$23),IF(D192=DP!$L$24,(DP!$M$24),IF(D192=DP!$L$25,(DP!$M$25),((0*1))))))</f>
        <v>0</v>
      </c>
      <c r="AC192" s="93">
        <f t="shared" si="186"/>
        <v>0</v>
      </c>
      <c r="AD192" s="93">
        <f>IF(D192=DP!$L$15,F192*(1+DP!$N$15),IF(D192=DP!$L$16,F192*(1+DP!$N$16),IF(D192=DP!$L$17,F192*(1+DP!$N$17),IF(D192=DP!$L$18,F192*(1+DP!$N$18),0*1))))</f>
        <v>0</v>
      </c>
      <c r="AE192" s="102">
        <f>IF(D192=DP!$L$22,(DP!$N$22),IF(D192=DP!$L$23,(DP!$N$23),IF(D192=DP!$L$24,(DP!$N$24),IF(D192=DP!$L$25,(DP!$N$25),((0*1))))))</f>
        <v>0</v>
      </c>
      <c r="AF192" s="93">
        <f t="shared" si="187"/>
        <v>0</v>
      </c>
      <c r="AG192" s="93">
        <f>IF(D192=DP!$L$15,(F192/DP!$K$15)*(1+DP!$N$15),IF(D192=DP!$L$16,(F192/DP!$K$16)*(1+DP!$N$16),IF(D192=DP!$L$17,(F192/DP!$K$17)*(1+DP!$N$17),IF(D192=DP!$L$18,(F192/DP!$K$18)*(1+DP!$N$18),0*1))))</f>
        <v>0</v>
      </c>
      <c r="AH192" s="102">
        <f>IF(D192=DP!$L$22,(DP!$O$22),IF(D192=DP!$L$23,(DP!$O$23),IF(D192=DP!$L$24,(DP!$O$24),IF(D192=DP!$L$25,(DP!$O$25),((0*1))))))</f>
        <v>0</v>
      </c>
      <c r="AI192" s="93">
        <f t="shared" si="188"/>
        <v>0</v>
      </c>
      <c r="AJ192" s="93">
        <f>IF(D192=DP!$L$15,F192*(1+DP!$N$15),IF(D192=DP!$L$16,F192*(1+DP!$N$16),IF(D192=DP!$L$17,F192*(1+DP!$N$17),IF(D192=DP!$L$18,F192*(1+DP!$N$18),0*1))))</f>
        <v>0</v>
      </c>
      <c r="AK192" s="102">
        <f>IF(D192=DP!$L$22,(DP!$P$22),IF(D192=DP!$L$23,(DP!$P$23),IF(D192=DP!$L$24,(DP!$P$24),IF(D192=DP!$L$25,(DP!$P$25),((0*1))))))</f>
        <v>0</v>
      </c>
      <c r="AL192" s="93">
        <f t="shared" si="189"/>
        <v>0</v>
      </c>
      <c r="AM192" s="100"/>
      <c r="AN192" s="149">
        <f t="shared" si="173"/>
        <v>0</v>
      </c>
      <c r="AO192" s="149">
        <f>DP!$N$35*H192</f>
        <v>0</v>
      </c>
      <c r="AP192" s="149">
        <f>DP!$O$35*H192</f>
        <v>0</v>
      </c>
      <c r="AQ192" s="149">
        <f>DP!$P$35*H192</f>
        <v>0</v>
      </c>
      <c r="AV192" s="489">
        <f>DP!AV33</f>
        <v>0</v>
      </c>
      <c r="AW192" s="489">
        <f>DP!AW33</f>
        <v>0</v>
      </c>
      <c r="AX192" s="489">
        <f>DP!AX33</f>
        <v>0</v>
      </c>
      <c r="AY192" s="412">
        <f t="shared" si="190"/>
        <v>0</v>
      </c>
      <c r="AZ192" s="470">
        <f>DP!BD33</f>
        <v>0</v>
      </c>
      <c r="BA192" s="98">
        <f>$AW$172*AZ192</f>
        <v>0</v>
      </c>
      <c r="BB192" s="97"/>
      <c r="BC192" s="102">
        <f t="shared" si="174"/>
        <v>0</v>
      </c>
      <c r="BD192" s="98">
        <f t="shared" si="175"/>
        <v>0</v>
      </c>
      <c r="BE192" s="93">
        <f t="shared" si="176"/>
        <v>0</v>
      </c>
      <c r="BF192" s="99">
        <f t="shared" si="177"/>
        <v>0</v>
      </c>
      <c r="BG192" s="100"/>
      <c r="BH192" s="102">
        <f>IFERROR((BA192*100%)/DP!$AP$29,(0*1))</f>
        <v>0</v>
      </c>
      <c r="BI192" s="102">
        <f>IF(BH192&gt;0,(DP!$AP$31),0*1)</f>
        <v>0</v>
      </c>
      <c r="BJ192" s="435">
        <f t="shared" si="192"/>
        <v>0</v>
      </c>
      <c r="BK192" s="475">
        <f>BA192*DP!$AW$44</f>
        <v>0</v>
      </c>
      <c r="BL192" s="475">
        <f>IF(BA192&gt;0,DP!$AX$44,0*1)</f>
        <v>0</v>
      </c>
      <c r="BM192" s="475">
        <f t="shared" si="193"/>
        <v>0</v>
      </c>
      <c r="BN192" s="102">
        <f>BA192*DP!$AW$45</f>
        <v>0</v>
      </c>
      <c r="BO192" s="102">
        <f>IF(BA192&gt;0,DP!$AX$45,0*1)</f>
        <v>0</v>
      </c>
      <c r="BP192" s="475">
        <f t="shared" si="194"/>
        <v>0</v>
      </c>
      <c r="BQ192" s="100"/>
      <c r="BR192" s="100"/>
      <c r="BS192" s="100"/>
      <c r="BT192" s="93">
        <f>IF(AW192=DP!$AN$15,AY192*(1+DP!$AP$15),IF(AW192=DP!$AN$16,AY192*(1+DP!$AP$16),IF(AW192=DP!$AN$17,AY192*(1+DP!$AP$17),IF(AW192=DP!$AN$18,AY192*(1+DP!$AP$18),0*1))))</f>
        <v>0</v>
      </c>
      <c r="BU192" s="102">
        <f>IF(AW192=DP!$AN$22,(DP!$AO$22),IF(AW192=DP!$AN$23,(DP!$AO$23),IF(AW192=DP!$AN$24,(DP!$AO$24),IF(AW192=DP!$AN$25,(DP!$AO$25),((0*1))))))</f>
        <v>0</v>
      </c>
      <c r="BV192" s="93">
        <f t="shared" si="195"/>
        <v>0</v>
      </c>
      <c r="BW192" s="93">
        <f>IF(AW192=DP!$AN$15,AY192*(1+DP!$AP$15),IF(AW192=DP!$AN$16,AY192*(1+DP!$AP$16),IF(AW192=DP!$AN$17,AY192*(1+DP!$AP$17),IF(AW192=DP!$AN$18,AY192*(1+DP!$AP$18),0*1))))</f>
        <v>0</v>
      </c>
      <c r="BX192" s="102">
        <f>IF(AW192=DP!$AN$22,(DP!$AP$22),IF(AW192=DP!$AN$23,(DP!$AP$23),IF(AW192=DP!$AN$24,(DP!$AP$24),IF(AW192=DP!$AN$25,(DP!$AP$25),((0*1))))))</f>
        <v>0</v>
      </c>
      <c r="BY192" s="93">
        <f t="shared" si="199"/>
        <v>0</v>
      </c>
      <c r="BZ192" s="93">
        <f>IF(AW192=DP!$AN$15,(AY192/DP!$AM$15)*(1+DP!$AP$15),IF(AW192=DP!$AN$16,(AY192/DP!$AM$16)*(1+DP!$AP$16),IF(AW192=DP!$AN$17,(AY192/DP!$AM$17)*(1+DP!$AP$17),IF(AW192=DP!$AN$18,(AY192/DP!$AM$18)*(1+DP!$AP$18),0*1))))</f>
        <v>0</v>
      </c>
      <c r="CA192" s="102">
        <f>IF(AW192=DP!$AN$22,(DP!$AQ$22),IF(AW192=DP!$AN$23,(DP!$AQ$23),IF(AW192=DP!$AN$24,(DP!$AQ$24),IF(AW192=DP!$AN$25,(DP!$AQ$25),((0*1))))))</f>
        <v>0</v>
      </c>
      <c r="CB192" s="93">
        <f t="shared" si="197"/>
        <v>0</v>
      </c>
      <c r="CC192" s="93">
        <f>IF(AW192=DP!$AN$15,AY192*(1+DP!$AP$15),IF(AW192=DP!$AN$16,AY192*(1+DP!$AP$16),IF(AW192=DP!$AN$17,AY192*(1+DP!$AP$17),IF(AW192=DP!$AN$18,AY192*(1+DP!$AP$18),0*1))))</f>
        <v>0</v>
      </c>
      <c r="CD192" s="102">
        <f>IF(AW192=DP!$AN$22,(DP!$AR$22),IF(AW192=DP!$AN$23,(DP!$AR$23),IF(AW192=DP!$AN$24,(DP!$AR$24),IF(AW192=DP!$AN$25,(DP!$AR$25),((0*1))))))</f>
        <v>0</v>
      </c>
      <c r="CE192" s="93">
        <f t="shared" si="198"/>
        <v>0</v>
      </c>
      <c r="CF192" s="100"/>
      <c r="CG192" s="149">
        <f t="shared" si="178"/>
        <v>0</v>
      </c>
      <c r="CH192" s="149">
        <f>DP!$N$35*BA192</f>
        <v>0</v>
      </c>
      <c r="CI192" s="149">
        <f>DP!$O$35*BA192</f>
        <v>0</v>
      </c>
      <c r="CJ192" s="149">
        <f>DP!$P$35*BA192</f>
        <v>0</v>
      </c>
    </row>
    <row r="193" spans="2:88" x14ac:dyDescent="0.35">
      <c r="B193" s="480">
        <f>DP!S34</f>
        <v>0</v>
      </c>
      <c r="C193" s="480">
        <f>DP!T34</f>
        <v>0</v>
      </c>
      <c r="D193" s="480">
        <f>DP!U34</f>
        <v>0</v>
      </c>
      <c r="E193" s="480">
        <f>DP!V34</f>
        <v>0</v>
      </c>
      <c r="F193" s="412">
        <f t="shared" si="179"/>
        <v>0</v>
      </c>
      <c r="G193" s="470">
        <f>DP!AB34</f>
        <v>0</v>
      </c>
      <c r="H193" s="98">
        <f t="shared" si="180"/>
        <v>0</v>
      </c>
      <c r="I193" s="97"/>
      <c r="J193" s="102">
        <f t="shared" si="169"/>
        <v>0</v>
      </c>
      <c r="K193" s="98">
        <f t="shared" si="170"/>
        <v>0</v>
      </c>
      <c r="L193" s="93">
        <f t="shared" si="171"/>
        <v>0</v>
      </c>
      <c r="M193" s="99">
        <f t="shared" si="172"/>
        <v>0</v>
      </c>
      <c r="N193" s="100"/>
      <c r="O193" s="102">
        <f>($E193/DP!$N$29)*F193</f>
        <v>0</v>
      </c>
      <c r="P193" s="102">
        <f>IF(O193&gt;0,(DP!$N$31),0*1)</f>
        <v>0</v>
      </c>
      <c r="Q193" s="102">
        <f t="shared" si="181"/>
        <v>0</v>
      </c>
      <c r="R193" s="102">
        <f t="shared" si="182"/>
        <v>0</v>
      </c>
      <c r="S193" s="418">
        <f t="shared" si="183"/>
        <v>0</v>
      </c>
      <c r="T193" s="475">
        <f>H193*DP!$U$44</f>
        <v>0</v>
      </c>
      <c r="U193" s="475">
        <f>IF(H193&gt;0,DP!$V$44,0*1)</f>
        <v>0</v>
      </c>
      <c r="V193" s="475">
        <f t="shared" si="184"/>
        <v>0</v>
      </c>
      <c r="W193" s="475">
        <f>H193*DP!$U$45</f>
        <v>0</v>
      </c>
      <c r="X193" s="475">
        <f>IF(H193&gt;0,DP!$V$45,0*1)</f>
        <v>0</v>
      </c>
      <c r="Y193" s="475">
        <f t="shared" si="185"/>
        <v>0</v>
      </c>
      <c r="Z193" s="100"/>
      <c r="AA193" s="93">
        <f>IF(D193=DP!$L$15,F193*(1+DP!$N$15),IF(D193=DP!$L$16,F193*(1+DP!$N$16),IF(D193=DP!$L$17,F193*(1+DP!$N$17),IF(D193=DP!$L$18,F193*(1+DP!$N$18),0*1))))</f>
        <v>0</v>
      </c>
      <c r="AB193" s="102">
        <f>IF(D193=DP!$L$22,(DP!$M$22),IF(D193=DP!$L$23,(DP!$M$23),IF(D193=DP!$L$24,(DP!$M$24),IF(D193=DP!$L$25,(DP!$M$25),((0*1))))))</f>
        <v>0</v>
      </c>
      <c r="AC193" s="93">
        <f t="shared" si="186"/>
        <v>0</v>
      </c>
      <c r="AD193" s="93">
        <f>IF(D193=DP!$L$15,F193*(1+DP!$N$15),IF(D193=DP!$L$16,F193*(1+DP!$N$16),IF(D193=DP!$L$17,F193*(1+DP!$N$17),IF(D193=DP!$L$18,F193*(1+DP!$N$18),0*1))))</f>
        <v>0</v>
      </c>
      <c r="AE193" s="102">
        <f>IF(D193=DP!$L$22,(DP!$N$22),IF(D193=DP!$L$23,(DP!$N$23),IF(D193=DP!$L$24,(DP!$N$24),IF(D193=DP!$L$25,(DP!$N$25),((0*1))))))</f>
        <v>0</v>
      </c>
      <c r="AF193" s="93">
        <f t="shared" si="187"/>
        <v>0</v>
      </c>
      <c r="AG193" s="93">
        <f>IF(D193=DP!$L$15,(F193/DP!$K$15)*(1+DP!$N$15),IF(D193=DP!$L$16,(F193/DP!$K$16)*(1+DP!$N$16),IF(D193=DP!$L$17,(F193/DP!$K$17)*(1+DP!$N$17),IF(D193=DP!$L$18,(F193/DP!$K$18)*(1+DP!$N$18),0*1))))</f>
        <v>0</v>
      </c>
      <c r="AH193" s="102">
        <f>IF(D193=DP!$L$22,(DP!$O$22),IF(D193=DP!$L$23,(DP!$O$23),IF(D193=DP!$L$24,(DP!$O$24),IF(D193=DP!$L$25,(DP!$O$25),((0*1))))))</f>
        <v>0</v>
      </c>
      <c r="AI193" s="93">
        <f t="shared" si="188"/>
        <v>0</v>
      </c>
      <c r="AJ193" s="93">
        <f>IF(D193=DP!$L$15,F193*(1+DP!$N$15),IF(D193=DP!$L$16,F193*(1+DP!$N$16),IF(D193=DP!$L$17,F193*(1+DP!$N$17),IF(D193=DP!$L$18,F193*(1+DP!$N$18),0*1))))</f>
        <v>0</v>
      </c>
      <c r="AK193" s="102">
        <f>IF(D193=DP!$L$22,(DP!$P$22),IF(D193=DP!$L$23,(DP!$P$23),IF(D193=DP!$L$24,(DP!$P$24),IF(D193=DP!$L$25,(DP!$P$25),((0*1))))))</f>
        <v>0</v>
      </c>
      <c r="AL193" s="93">
        <f t="shared" si="189"/>
        <v>0</v>
      </c>
      <c r="AM193" s="100"/>
      <c r="AN193" s="149">
        <f t="shared" si="173"/>
        <v>0</v>
      </c>
      <c r="AO193" s="149">
        <f>DP!$N$35*H193</f>
        <v>0</v>
      </c>
      <c r="AP193" s="149">
        <f>DP!$O$35*H193</f>
        <v>0</v>
      </c>
      <c r="AQ193" s="149">
        <f>DP!$P$35*H193</f>
        <v>0</v>
      </c>
      <c r="AV193" s="489">
        <f>DP!AV34</f>
        <v>0</v>
      </c>
      <c r="AW193" s="489">
        <f>DP!AW34</f>
        <v>0</v>
      </c>
      <c r="AX193" s="489">
        <f>DP!AX34</f>
        <v>0</v>
      </c>
      <c r="AY193" s="412">
        <f t="shared" si="190"/>
        <v>0</v>
      </c>
      <c r="AZ193" s="470">
        <f>DP!BD34</f>
        <v>0</v>
      </c>
      <c r="BA193" s="98">
        <f t="shared" si="191"/>
        <v>0</v>
      </c>
      <c r="BB193" s="97"/>
      <c r="BC193" s="102">
        <f t="shared" si="174"/>
        <v>0</v>
      </c>
      <c r="BD193" s="98">
        <f t="shared" si="175"/>
        <v>0</v>
      </c>
      <c r="BE193" s="93">
        <f t="shared" si="176"/>
        <v>0</v>
      </c>
      <c r="BF193" s="99">
        <f t="shared" si="177"/>
        <v>0</v>
      </c>
      <c r="BG193" s="100"/>
      <c r="BH193" s="102">
        <f>IFERROR((BA193*100%)/DP!$AP$29,(0*1))</f>
        <v>0</v>
      </c>
      <c r="BI193" s="102">
        <f>IF(BH193&gt;0,(DP!$AP$31),0*1)</f>
        <v>0</v>
      </c>
      <c r="BJ193" s="435">
        <f>BH193*BI193</f>
        <v>0</v>
      </c>
      <c r="BK193" s="475">
        <f>BA193*DP!$AW$44</f>
        <v>0</v>
      </c>
      <c r="BL193" s="475">
        <f>IF(BA193&gt;0,DP!$AX$44,0*1)</f>
        <v>0</v>
      </c>
      <c r="BM193" s="475">
        <f t="shared" si="193"/>
        <v>0</v>
      </c>
      <c r="BN193" s="102">
        <f>BA193*DP!$AW$45</f>
        <v>0</v>
      </c>
      <c r="BO193" s="102">
        <f>IF(BA193&gt;0,DP!$AX$45,0*1)</f>
        <v>0</v>
      </c>
      <c r="BP193" s="475">
        <f t="shared" si="194"/>
        <v>0</v>
      </c>
      <c r="BQ193" s="100"/>
      <c r="BR193" s="100"/>
      <c r="BS193" s="100"/>
      <c r="BT193" s="93">
        <f>IF(AW193=DP!$AN$15,AY193*(1+DP!$AP$15),IF(AW193=DP!$AN$16,AY193*(1+DP!$AP$16),IF(AW193=DP!$AN$17,AY193*(1+DP!$AP$17),IF(AW193=DP!$AN$18,AY193*(1+DP!$AP$18),0*1))))</f>
        <v>0</v>
      </c>
      <c r="BU193" s="102">
        <f>IF(AW193=DP!$AN$22,(DP!$AO$22),IF(AW193=DP!$AN$23,(DP!$AO$23),IF(AW193=DP!$AN$24,(DP!$AO$24),IF(AW193=DP!$AN$25,(DP!$AO$25),((0*1))))))</f>
        <v>0</v>
      </c>
      <c r="BV193" s="93">
        <f t="shared" si="195"/>
        <v>0</v>
      </c>
      <c r="BW193" s="93">
        <f>IF(AW193=DP!$AN$15,AY193*(1+DP!$AP$15),IF(AW193=DP!$AN$16,AY193*(1+DP!$AP$16),IF(AW193=DP!$AN$17,AY193*(1+DP!$AP$17),IF(AW193=DP!$AN$18,AY193*(1+DP!$AP$18),0*1))))</f>
        <v>0</v>
      </c>
      <c r="BX193" s="102">
        <f>IF(AW193=DP!$AN$22,(DP!$AP$22),IF(AW193=DP!$AN$23,(DP!$AP$23),IF(AW193=DP!$AN$24,(DP!$AP$24),IF(AW193=DP!$AN$25,(DP!$AP$25),((0*1))))))</f>
        <v>0</v>
      </c>
      <c r="BY193" s="93">
        <f t="shared" si="199"/>
        <v>0</v>
      </c>
      <c r="BZ193" s="93">
        <f>IF(AW193=DP!$AN$15,(AY193/DP!$AM$15)*(1+DP!$AP$15),IF(AW193=DP!$AN$16,(AY193/DP!$AM$16)*(1+DP!$AP$16),IF(AW193=DP!$AN$17,(AY193/DP!$AM$17)*(1+DP!$AP$17),IF(AW193=DP!$AN$18,(AY193/DP!$AM$18)*(1+DP!$AP$18),0*1))))</f>
        <v>0</v>
      </c>
      <c r="CA193" s="102">
        <f>IF(AW193=DP!$AN$22,(DP!$AQ$22),IF(AW193=DP!$AN$23,(DP!$AQ$23),IF(AW193=DP!$AN$24,(DP!$AQ$24),IF(AW193=DP!$AN$25,(DP!$AQ$25),((0*1))))))</f>
        <v>0</v>
      </c>
      <c r="CB193" s="93">
        <f t="shared" si="197"/>
        <v>0</v>
      </c>
      <c r="CC193" s="93">
        <f>IF(AW193=DP!$AN$15,AY193*(1+DP!$AP$15),IF(AW193=DP!$AN$16,AY193*(1+DP!$AP$16),IF(AW193=DP!$AN$17,AY193*(1+DP!$AP$17),IF(AW193=DP!$AN$18,AY193*(1+DP!$AP$18),0*1))))</f>
        <v>0</v>
      </c>
      <c r="CD193" s="102">
        <f>IF(AW193=DP!$AN$22,(DP!$AR$22),IF(AW193=DP!$AN$23,(DP!$AR$23),IF(AW193=DP!$AN$24,(DP!$AR$24),IF(AW193=DP!$AN$25,(DP!$AR$25),((0*1))))))</f>
        <v>0</v>
      </c>
      <c r="CE193" s="93">
        <f t="shared" si="198"/>
        <v>0</v>
      </c>
      <c r="CF193" s="100"/>
      <c r="CG193" s="149">
        <f t="shared" si="178"/>
        <v>0</v>
      </c>
      <c r="CH193" s="149">
        <f>DP!$N$35*BA193</f>
        <v>0</v>
      </c>
      <c r="CI193" s="149">
        <f>DP!$O$35*BA193</f>
        <v>0</v>
      </c>
      <c r="CJ193" s="149">
        <f>DP!$P$35*BA193</f>
        <v>0</v>
      </c>
    </row>
    <row r="194" spans="2:88" x14ac:dyDescent="0.35">
      <c r="B194" s="480">
        <f>DP!S35</f>
        <v>0</v>
      </c>
      <c r="C194" s="480">
        <f>DP!T35</f>
        <v>0</v>
      </c>
      <c r="D194" s="480">
        <f>DP!U35</f>
        <v>0</v>
      </c>
      <c r="E194" s="480">
        <f>DP!V35</f>
        <v>0</v>
      </c>
      <c r="F194" s="412">
        <f t="shared" si="179"/>
        <v>0</v>
      </c>
      <c r="G194" s="470">
        <f>DP!AB35</f>
        <v>0</v>
      </c>
      <c r="H194" s="98">
        <f t="shared" si="180"/>
        <v>0</v>
      </c>
      <c r="I194" s="97"/>
      <c r="J194" s="102">
        <f t="shared" si="169"/>
        <v>0</v>
      </c>
      <c r="K194" s="98">
        <f t="shared" si="170"/>
        <v>0</v>
      </c>
      <c r="L194" s="93">
        <f t="shared" si="171"/>
        <v>0</v>
      </c>
      <c r="M194" s="99">
        <f t="shared" si="172"/>
        <v>0</v>
      </c>
      <c r="N194" s="100"/>
      <c r="O194" s="102">
        <f>($E194/DP!$N$29)*F194</f>
        <v>0</v>
      </c>
      <c r="P194" s="102">
        <f>IF(O194&gt;0,(DP!$N$31),0*1)</f>
        <v>0</v>
      </c>
      <c r="Q194" s="102">
        <f t="shared" si="181"/>
        <v>0</v>
      </c>
      <c r="R194" s="102">
        <f t="shared" si="182"/>
        <v>0</v>
      </c>
      <c r="S194" s="418">
        <f t="shared" si="183"/>
        <v>0</v>
      </c>
      <c r="T194" s="475">
        <f>H194*DP!$U$44</f>
        <v>0</v>
      </c>
      <c r="U194" s="475">
        <f>IF(H194&gt;0,DP!$V$44,0*1)</f>
        <v>0</v>
      </c>
      <c r="V194" s="475">
        <f t="shared" si="184"/>
        <v>0</v>
      </c>
      <c r="W194" s="475">
        <f>H194*DP!$U$45</f>
        <v>0</v>
      </c>
      <c r="X194" s="475">
        <f>IF(H194&gt;0,DP!$V$45,0*1)</f>
        <v>0</v>
      </c>
      <c r="Y194" s="475">
        <f t="shared" si="185"/>
        <v>0</v>
      </c>
      <c r="Z194" s="100"/>
      <c r="AA194" s="93">
        <f>IF(D194=DP!$L$15,F194*(1+DP!$N$15),IF(D194=DP!$L$16,F194*(1+DP!$N$16),IF(D194=DP!$L$17,F194*(1+DP!$N$17),IF(D194=DP!$L$18,F194*(1+DP!$N$18),0*1))))</f>
        <v>0</v>
      </c>
      <c r="AB194" s="102">
        <f>IF(D194=DP!$L$22,(DP!$M$22),IF(D194=DP!$L$23,(DP!$M$23),IF(D194=DP!$L$24,(DP!$M$24),IF(D194=DP!$L$25,(DP!$M$25),((0*1))))))</f>
        <v>0</v>
      </c>
      <c r="AC194" s="93">
        <f t="shared" si="186"/>
        <v>0</v>
      </c>
      <c r="AD194" s="93">
        <f>IF(D194=DP!$L$15,F194*(1+DP!$N$15),IF(D194=DP!$L$16,F194*(1+DP!$N$16),IF(D194=DP!$L$17,F194*(1+DP!$N$17),IF(D194=DP!$L$18,F194*(1+DP!$N$18),0*1))))</f>
        <v>0</v>
      </c>
      <c r="AE194" s="102">
        <f>IF(D194=DP!$L$22,(DP!$N$22),IF(D194=DP!$L$23,(DP!$N$23),IF(D194=DP!$L$24,(DP!$N$24),IF(D194=DP!$L$25,(DP!$N$25),((0*1))))))</f>
        <v>0</v>
      </c>
      <c r="AF194" s="93">
        <f t="shared" si="187"/>
        <v>0</v>
      </c>
      <c r="AG194" s="93">
        <f>IF(D194=DP!$L$15,(F194/DP!$K$15)*(1+DP!$N$15),IF(D194=DP!$L$16,(F194/DP!$K$16)*(1+DP!$N$16),IF(D194=DP!$L$17,(F194/DP!$K$17)*(1+DP!$N$17),IF(D194=DP!$L$18,(F194/DP!$K$18)*(1+DP!$N$18),0*1))))</f>
        <v>0</v>
      </c>
      <c r="AH194" s="102">
        <f>IF(D194=DP!$L$22,(DP!$O$22),IF(D194=DP!$L$23,(DP!$O$23),IF(D194=DP!$L$24,(DP!$O$24),IF(D194=DP!$L$25,(DP!$O$25),((0*1))))))</f>
        <v>0</v>
      </c>
      <c r="AI194" s="93">
        <f t="shared" si="188"/>
        <v>0</v>
      </c>
      <c r="AJ194" s="93">
        <f>IF(D194=DP!$L$15,F194*(1+DP!$N$15),IF(D194=DP!$L$16,F194*(1+DP!$N$16),IF(D194=DP!$L$17,F194*(1+DP!$N$17),IF(D194=DP!$L$18,F194*(1+DP!$N$18),0*1))))</f>
        <v>0</v>
      </c>
      <c r="AK194" s="102">
        <f>IF(D194=DP!$L$22,(DP!$P$22),IF(D194=DP!$L$23,(DP!$P$23),IF(D194=DP!$L$24,(DP!$P$24),IF(D194=DP!$L$25,(DP!$P$25),((0*1))))))</f>
        <v>0</v>
      </c>
      <c r="AL194" s="93">
        <f t="shared" si="189"/>
        <v>0</v>
      </c>
      <c r="AM194" s="100"/>
      <c r="AN194" s="149">
        <f t="shared" si="173"/>
        <v>0</v>
      </c>
      <c r="AO194" s="149">
        <f>DP!$N$35*H194</f>
        <v>0</v>
      </c>
      <c r="AP194" s="149">
        <f>DP!$O$35*H194</f>
        <v>0</v>
      </c>
      <c r="AQ194" s="149">
        <f>DP!$P$35*H194</f>
        <v>0</v>
      </c>
      <c r="AV194" s="489">
        <f>DP!AV35</f>
        <v>0</v>
      </c>
      <c r="AW194" s="489">
        <f>DP!AW35</f>
        <v>0</v>
      </c>
      <c r="AX194" s="489">
        <f>DP!AX35</f>
        <v>0</v>
      </c>
      <c r="AY194" s="412">
        <f t="shared" si="190"/>
        <v>0</v>
      </c>
      <c r="AZ194" s="470">
        <f>DP!BD35</f>
        <v>0</v>
      </c>
      <c r="BA194" s="98">
        <f t="shared" si="191"/>
        <v>0</v>
      </c>
      <c r="BB194" s="97"/>
      <c r="BC194" s="102">
        <f t="shared" si="174"/>
        <v>0</v>
      </c>
      <c r="BD194" s="98">
        <f t="shared" si="175"/>
        <v>0</v>
      </c>
      <c r="BE194" s="93">
        <f t="shared" si="176"/>
        <v>0</v>
      </c>
      <c r="BF194" s="99">
        <f t="shared" si="177"/>
        <v>0</v>
      </c>
      <c r="BG194" s="100"/>
      <c r="BH194" s="102">
        <f>IFERROR((BA194*100%)/DP!$AP$29,(0*1))</f>
        <v>0</v>
      </c>
      <c r="BI194" s="102">
        <f>IF(BH194&gt;0,(DP!$AP$31),0*1)</f>
        <v>0</v>
      </c>
      <c r="BJ194" s="435">
        <f t="shared" ref="BJ194:BJ195" si="200">BH194*BI194</f>
        <v>0</v>
      </c>
      <c r="BK194" s="475">
        <f>BA194*DP!$AW$44</f>
        <v>0</v>
      </c>
      <c r="BL194" s="475">
        <f>IF(BA194&gt;0,DP!$AX$44,0*1)</f>
        <v>0</v>
      </c>
      <c r="BM194" s="475">
        <f t="shared" si="193"/>
        <v>0</v>
      </c>
      <c r="BN194" s="102">
        <f>BA194*DP!$AW$45</f>
        <v>0</v>
      </c>
      <c r="BO194" s="102">
        <f>IF(BA194&gt;0,DP!$AX$45,0*1)</f>
        <v>0</v>
      </c>
      <c r="BP194" s="475">
        <f t="shared" si="194"/>
        <v>0</v>
      </c>
      <c r="BQ194" s="100"/>
      <c r="BR194" s="100"/>
      <c r="BS194" s="100"/>
      <c r="BT194" s="93">
        <f>IF(AW194=DP!$AN$15,AY194*(1+DP!$AP$15),IF(AW194=DP!$AN$16,AY194*(1+DP!$AP$16),IF(AW194=DP!$AN$17,AY194*(1+DP!$AP$17),IF(AW194=DP!$AN$18,AY194*(1+DP!$AP$18),0*1))))</f>
        <v>0</v>
      </c>
      <c r="BU194" s="102">
        <f>IF(AW194=DP!$AN$22,(DP!$AO$22),IF(AW194=DP!$AN$23,(DP!$AO$23),IF(AW194=DP!$AN$24,(DP!$AO$24),IF(AW194=DP!$AN$25,(DP!$AO$25),((0*1))))))</f>
        <v>0</v>
      </c>
      <c r="BV194" s="93">
        <f t="shared" si="195"/>
        <v>0</v>
      </c>
      <c r="BW194" s="93">
        <f>IF(AW194=DP!$AN$15,AY194*(1+DP!$AP$15),IF(AW194=DP!$AN$16,AY194*(1+DP!$AP$16),IF(AW194=DP!$AN$17,AY194*(1+DP!$AP$17),IF(AW194=DP!$AN$18,AY194*(1+DP!$AP$18),0*1))))</f>
        <v>0</v>
      </c>
      <c r="BX194" s="102">
        <f>IF(AW194=DP!$AN$22,(DP!$AP$22),IF(AW194=DP!$AN$23,(DP!$AP$23),IF(AW194=DP!$AN$24,(DP!$AP$24),IF(AW194=DP!$AN$25,(DP!$AP$25),((0*1))))))</f>
        <v>0</v>
      </c>
      <c r="BY194" s="93">
        <f t="shared" si="199"/>
        <v>0</v>
      </c>
      <c r="BZ194" s="93">
        <f>IF(AW194=DP!$AN$15,(AY194/DP!$AM$15)*(1+DP!$AP$15),IF(AW194=DP!$AN$16,(AY194/DP!$AM$16)*(1+DP!$AP$16),IF(AW194=DP!$AN$17,(AY194/DP!$AM$17)*(1+DP!$AP$17),IF(AW194=DP!$AN$18,(AY194/DP!$AM$18)*(1+DP!$AP$18),0*1))))</f>
        <v>0</v>
      </c>
      <c r="CA194" s="102">
        <f>IF(AW194=DP!$AN$22,(DP!$AQ$22),IF(AW194=DP!$AN$23,(DP!$AQ$23),IF(AW194=DP!$AN$24,(DP!$AQ$24),IF(AW194=DP!$AN$25,(DP!$AQ$25),((0*1))))))</f>
        <v>0</v>
      </c>
      <c r="CB194" s="93">
        <f t="shared" si="197"/>
        <v>0</v>
      </c>
      <c r="CC194" s="93">
        <f>IF(AW194=DP!$AN$15,AY194*(1+DP!$AP$15),IF(AW194=DP!$AN$16,AY194*(1+DP!$AP$16),IF(AW194=DP!$AN$17,AY194*(1+DP!$AP$17),IF(AW194=DP!$AN$18,AY194*(1+DP!$AP$18),0*1))))</f>
        <v>0</v>
      </c>
      <c r="CD194" s="102">
        <f>IF(AW194=DP!$AN$22,(DP!$AR$22),IF(AW194=DP!$AN$23,(DP!$AR$23),IF(AW194=DP!$AN$24,(DP!$AR$24),IF(AW194=DP!$AN$25,(DP!$AR$25),((0*1))))))</f>
        <v>0</v>
      </c>
      <c r="CE194" s="93">
        <f t="shared" si="198"/>
        <v>0</v>
      </c>
      <c r="CF194" s="100"/>
      <c r="CG194" s="149">
        <f t="shared" si="178"/>
        <v>0</v>
      </c>
      <c r="CH194" s="149">
        <f>DP!$N$35*BA194</f>
        <v>0</v>
      </c>
      <c r="CI194" s="149">
        <f>DP!$O$35*BA194</f>
        <v>0</v>
      </c>
      <c r="CJ194" s="149">
        <f>DP!$P$35*BA194</f>
        <v>0</v>
      </c>
    </row>
    <row r="195" spans="2:88" ht="16" thickBot="1" x14ac:dyDescent="0.4">
      <c r="B195" s="480">
        <f>DP!S36</f>
        <v>0</v>
      </c>
      <c r="C195" s="480">
        <f>DP!T36</f>
        <v>0</v>
      </c>
      <c r="D195" s="480">
        <f>DP!U36</f>
        <v>0</v>
      </c>
      <c r="E195" s="480">
        <f>DP!V36</f>
        <v>0</v>
      </c>
      <c r="F195" s="412">
        <f t="shared" si="179"/>
        <v>0</v>
      </c>
      <c r="G195" s="470">
        <f>DP!AB36</f>
        <v>0</v>
      </c>
      <c r="H195" s="98">
        <f t="shared" si="180"/>
        <v>0</v>
      </c>
      <c r="I195" s="97"/>
      <c r="J195" s="102">
        <f t="shared" si="169"/>
        <v>0</v>
      </c>
      <c r="K195" s="98">
        <f t="shared" si="170"/>
        <v>0</v>
      </c>
      <c r="L195" s="93">
        <f t="shared" si="171"/>
        <v>0</v>
      </c>
      <c r="M195" s="99">
        <f t="shared" si="172"/>
        <v>0</v>
      </c>
      <c r="N195" s="100"/>
      <c r="O195" s="102">
        <f>($E195/DP!$N$29)*F195</f>
        <v>0</v>
      </c>
      <c r="P195" s="102">
        <f>IF(O195&gt;0,(DP!$N$31),0*1)</f>
        <v>0</v>
      </c>
      <c r="Q195" s="102">
        <f t="shared" si="181"/>
        <v>0</v>
      </c>
      <c r="R195" s="102">
        <f t="shared" si="182"/>
        <v>0</v>
      </c>
      <c r="S195" s="418">
        <f t="shared" si="183"/>
        <v>0</v>
      </c>
      <c r="T195" s="475">
        <f>H195*DP!$U$44</f>
        <v>0</v>
      </c>
      <c r="U195" s="475">
        <f>IF(H195&gt;0,DP!$V$44,0*1)</f>
        <v>0</v>
      </c>
      <c r="V195" s="475">
        <f t="shared" si="184"/>
        <v>0</v>
      </c>
      <c r="W195" s="475">
        <f>H195*DP!$U$45</f>
        <v>0</v>
      </c>
      <c r="X195" s="475">
        <f>IF(H195&gt;0,DP!$V$45,0*1)</f>
        <v>0</v>
      </c>
      <c r="Y195" s="475">
        <f t="shared" si="185"/>
        <v>0</v>
      </c>
      <c r="Z195" s="100"/>
      <c r="AA195" s="93">
        <f>IF(D195=DP!$L$15,F195*(1+DP!$N$15),IF(D195=DP!$L$16,F195*(1+DP!$N$16),IF(D195=DP!$L$17,F195*(1+DP!$N$17),IF(D195=DP!$L$18,F195*(1+DP!$N$18),0*1))))</f>
        <v>0</v>
      </c>
      <c r="AB195" s="102">
        <f>IF(D195=DP!$L$22,(DP!$M$22),IF(D195=DP!$L$23,(DP!$M$23),IF(D195=DP!$L$24,(DP!$M$24),IF(D195=DP!$L$25,(DP!$M$25),((0*1))))))</f>
        <v>0</v>
      </c>
      <c r="AC195" s="93">
        <f t="shared" si="186"/>
        <v>0</v>
      </c>
      <c r="AD195" s="93">
        <f>IF(D195=DP!$L$15,F195*(1+DP!$N$15),IF(D195=DP!$L$16,F195*(1+DP!$N$16),IF(D195=DP!$L$17,F195*(1+DP!$N$17),IF(D195=DP!$L$18,F195*(1+DP!$N$18),0*1))))</f>
        <v>0</v>
      </c>
      <c r="AE195" s="102">
        <f>IF(D195=DP!$L$22,(DP!$N$22),IF(D195=DP!$L$23,(DP!$N$23),IF(D195=DP!$L$24,(DP!$N$24),IF(D195=DP!$L$25,(DP!$N$25),((0*1))))))</f>
        <v>0</v>
      </c>
      <c r="AF195" s="93">
        <f t="shared" si="187"/>
        <v>0</v>
      </c>
      <c r="AG195" s="93">
        <f>IF(D195=DP!$L$15,(F195/DP!$K$15)*(1+DP!$N$15),IF(D195=DP!$L$16,(F195/DP!$K$16)*(1+DP!$N$16),IF(D195=DP!$L$17,(F195/DP!$K$17)*(1+DP!$N$17),IF(D195=DP!$L$18,(F195/DP!$K$18)*(1+DP!$N$18),0*1))))</f>
        <v>0</v>
      </c>
      <c r="AH195" s="102">
        <f>IF(D195=DP!$L$22,(DP!$O$22),IF(D195=DP!$L$23,(DP!$O$23),IF(D195=DP!$L$24,(DP!$O$24),IF(D195=DP!$L$25,(DP!$O$25),((0*1))))))</f>
        <v>0</v>
      </c>
      <c r="AI195" s="93">
        <f t="shared" si="188"/>
        <v>0</v>
      </c>
      <c r="AJ195" s="93">
        <f>IF(D195=DP!$L$15,F195*(1+DP!$N$15),IF(D195=DP!$L$16,F195*(1+DP!$N$16),IF(D195=DP!$L$17,F195*(1+DP!$N$17),IF(D195=DP!$L$18,F195*(1+DP!$N$18),0*1))))</f>
        <v>0</v>
      </c>
      <c r="AK195" s="102">
        <f>IF(D195=DP!$L$22,(DP!$P$22),IF(D195=DP!$L$23,(DP!$P$23),IF(D195=DP!$L$24,(DP!$P$24),IF(D195=DP!$L$25,(DP!$P$25),((0*1))))))</f>
        <v>0</v>
      </c>
      <c r="AL195" s="93">
        <f t="shared" si="189"/>
        <v>0</v>
      </c>
      <c r="AM195" s="100"/>
      <c r="AN195" s="149">
        <f t="shared" si="173"/>
        <v>0</v>
      </c>
      <c r="AO195" s="149">
        <f>DP!$N$35*H195</f>
        <v>0</v>
      </c>
      <c r="AP195" s="149">
        <f>DP!$O$35*H195</f>
        <v>0</v>
      </c>
      <c r="AQ195" s="149">
        <f>DP!$P$35*H195</f>
        <v>0</v>
      </c>
      <c r="AV195" s="489">
        <f>DP!AV36</f>
        <v>0</v>
      </c>
      <c r="AW195" s="489">
        <f>DP!AW36</f>
        <v>0</v>
      </c>
      <c r="AX195" s="489">
        <f>DP!AX36</f>
        <v>0</v>
      </c>
      <c r="AY195" s="412">
        <f t="shared" si="190"/>
        <v>0</v>
      </c>
      <c r="AZ195" s="470">
        <f>DP!BD36</f>
        <v>0</v>
      </c>
      <c r="BA195" s="98">
        <f t="shared" si="191"/>
        <v>0</v>
      </c>
      <c r="BB195" s="97"/>
      <c r="BC195" s="102">
        <f t="shared" si="174"/>
        <v>0</v>
      </c>
      <c r="BD195" s="98">
        <f t="shared" si="175"/>
        <v>0</v>
      </c>
      <c r="BE195" s="93">
        <f t="shared" si="176"/>
        <v>0</v>
      </c>
      <c r="BF195" s="99">
        <f t="shared" si="177"/>
        <v>0</v>
      </c>
      <c r="BG195" s="100"/>
      <c r="BH195" s="102">
        <f>IFERROR((BA195*100%)/DP!$AP$29,(0*1))</f>
        <v>0</v>
      </c>
      <c r="BI195" s="102">
        <f>IF(BH195&gt;0,(DP!$AP$31),0*1)</f>
        <v>0</v>
      </c>
      <c r="BJ195" s="435">
        <f t="shared" si="200"/>
        <v>0</v>
      </c>
      <c r="BK195" s="475">
        <f>BA195*DP!$AW$44</f>
        <v>0</v>
      </c>
      <c r="BL195" s="475">
        <f>IF(BA195&gt;0,DP!$AX$44,0*1)</f>
        <v>0</v>
      </c>
      <c r="BM195" s="475">
        <f t="shared" si="193"/>
        <v>0</v>
      </c>
      <c r="BN195" s="102">
        <f>BA195*DP!$AW$45</f>
        <v>0</v>
      </c>
      <c r="BO195" s="102">
        <f>IF(BA195&gt;0,DP!$AX$45,0*1)</f>
        <v>0</v>
      </c>
      <c r="BP195" s="475">
        <f t="shared" si="194"/>
        <v>0</v>
      </c>
      <c r="BQ195" s="100"/>
      <c r="BR195" s="100"/>
      <c r="BS195" s="100"/>
      <c r="BT195" s="93">
        <f>IF(AW195=DP!$AN$15,AY195*(1+DP!$AP$15),IF(AW195=DP!$AN$16,AY195*(1+DP!$AP$16),IF(AW195=DP!$AN$17,AY195*(1+DP!$AP$17),IF(AW195=DP!$AN$18,AY195*(1+DP!$AP$18),0*1))))</f>
        <v>0</v>
      </c>
      <c r="BU195" s="102">
        <f>IF(AW195=DP!$AN$22,(DP!$AO$22),IF(AW195=DP!$AN$23,(DP!$AO$23),IF(AW195=DP!$AN$24,(DP!$AO$24),IF(AW195=DP!$AN$25,(DP!$AO$25),((0*1))))))</f>
        <v>0</v>
      </c>
      <c r="BV195" s="93">
        <f t="shared" si="195"/>
        <v>0</v>
      </c>
      <c r="BW195" s="93">
        <f>IF(AW195=DP!$AN$15,AY195*(1+DP!$AP$15),IF(AW195=DP!$AN$16,AY195*(1+DP!$AP$16),IF(AW195=DP!$AN$17,AY195*(1+DP!$AP$17),IF(AW195=DP!$AN$18,AY195*(1+DP!$AP$18),0*1))))</f>
        <v>0</v>
      </c>
      <c r="BX195" s="102">
        <f>IF(AW195=DP!$AN$22,(DP!$AP$22),IF(AW195=DP!$AN$23,(DP!$AP$23),IF(AW195=DP!$AN$24,(DP!$AP$24),IF(AW195=DP!$AN$25,(DP!$AP$25),((0*1))))))</f>
        <v>0</v>
      </c>
      <c r="BY195" s="93">
        <f t="shared" si="199"/>
        <v>0</v>
      </c>
      <c r="BZ195" s="93">
        <f>IF(AW195=DP!$AN$15,(AY195/DP!$AM$15)*(1+DP!$AP$15),IF(AW195=DP!$AN$16,(AY195/DP!$AM$16)*(1+DP!$AP$16),IF(AW195=DP!$AN$17,(AY195/DP!$AM$17)*(1+DP!$AP$17),IF(AW195=DP!$AN$18,(AY195/DP!$AM$18)*(1+DP!$AP$18),0*1))))</f>
        <v>0</v>
      </c>
      <c r="CA195" s="102">
        <f>IF(AW195=DP!$AN$22,(DP!$AQ$22),IF(AW195=DP!$AN$23,(DP!$AQ$23),IF(AW195=DP!$AN$24,(DP!$AQ$24),IF(AW195=DP!$AN$25,(DP!$AQ$25),((0*1))))))</f>
        <v>0</v>
      </c>
      <c r="CB195" s="93">
        <f t="shared" si="197"/>
        <v>0</v>
      </c>
      <c r="CC195" s="93">
        <f>IF(AW195=DP!$AN$15,AY195*(1+DP!$AP$15),IF(AW195=DP!$AN$16,AY195*(1+DP!$AP$16),IF(AW195=DP!$AN$17,AY195*(1+DP!$AP$17),IF(AW195=DP!$AN$18,AY195*(1+DP!$AP$18),0*1))))</f>
        <v>0</v>
      </c>
      <c r="CD195" s="102">
        <f>IF(AW195=DP!$AN$22,(DP!$AR$22),IF(AW195=DP!$AN$23,(DP!$AR$23),IF(AW195=DP!$AN$24,(DP!$AR$24),IF(AW195=DP!$AN$25,(DP!$AR$25),((0*1))))))</f>
        <v>0</v>
      </c>
      <c r="CE195" s="93">
        <f t="shared" si="198"/>
        <v>0</v>
      </c>
      <c r="CF195" s="100"/>
      <c r="CG195" s="149">
        <f t="shared" si="178"/>
        <v>0</v>
      </c>
      <c r="CH195" s="149">
        <f>DP!$N$35*BA195</f>
        <v>0</v>
      </c>
      <c r="CI195" s="149">
        <f>DP!$O$35*BA195</f>
        <v>0</v>
      </c>
      <c r="CJ195" s="149">
        <f>DP!$P$35*BA195</f>
        <v>0</v>
      </c>
    </row>
    <row r="196" spans="2:88" ht="16" thickBot="1" x14ac:dyDescent="0.4">
      <c r="C196" s="103" t="s">
        <v>222</v>
      </c>
      <c r="D196" s="104"/>
      <c r="E196" s="104"/>
      <c r="F196" s="120">
        <f>SUM(F177:F195)</f>
        <v>0</v>
      </c>
      <c r="G196" s="411">
        <f>SUM(G177:G195)</f>
        <v>0</v>
      </c>
      <c r="H196" s="121">
        <f>SUM(H177:H195)</f>
        <v>0</v>
      </c>
      <c r="I196" s="87"/>
      <c r="J196" s="151"/>
      <c r="K196" s="106"/>
      <c r="L196" s="107">
        <f t="shared" ref="L196" si="201">SUM(L177:L195)</f>
        <v>0</v>
      </c>
      <c r="M196" s="105">
        <f>SUM(M177:M195)</f>
        <v>0</v>
      </c>
      <c r="N196" s="87"/>
      <c r="O196" s="152">
        <f>SUM(O177:O195)</f>
        <v>0</v>
      </c>
      <c r="P196" s="416"/>
      <c r="Q196" s="152">
        <f>SUM(Q177:Q195)</f>
        <v>0</v>
      </c>
      <c r="R196" s="126"/>
      <c r="S196" s="419">
        <f>SUM(S177:S195)</f>
        <v>0</v>
      </c>
      <c r="T196" s="476">
        <f>SUM(T177:T195)</f>
        <v>0</v>
      </c>
      <c r="U196" s="477"/>
      <c r="V196" s="478">
        <f>SUM(V177:V195)</f>
        <v>0</v>
      </c>
      <c r="W196" s="478">
        <f>SUM(W177:W195)</f>
        <v>0</v>
      </c>
      <c r="X196" s="477"/>
      <c r="Y196" s="479">
        <f>SUM(Y177:Y195)</f>
        <v>0</v>
      </c>
      <c r="Z196" s="87"/>
      <c r="AA196" s="152">
        <f>SUM(AA177:AA195)</f>
        <v>0</v>
      </c>
      <c r="AB196" s="77"/>
      <c r="AC196" s="153">
        <f>SUM(AC177:AC195)</f>
        <v>0</v>
      </c>
      <c r="AD196" s="153">
        <f>SUM(AD177:AD195)</f>
        <v>0</v>
      </c>
      <c r="AE196" s="77"/>
      <c r="AF196" s="153">
        <f>SUM(AF177:AF195)</f>
        <v>0</v>
      </c>
      <c r="AG196" s="153">
        <f>SUM(AG177:AG195)</f>
        <v>0</v>
      </c>
      <c r="AH196" s="77"/>
      <c r="AI196" s="153">
        <f>SUM(AI177:AI195)</f>
        <v>0</v>
      </c>
      <c r="AJ196" s="153">
        <f>SUM(AJ177:AJ195)</f>
        <v>0</v>
      </c>
      <c r="AK196" s="77"/>
      <c r="AL196" s="154">
        <f>SUM(AL177:AL195)</f>
        <v>0</v>
      </c>
      <c r="AM196" s="87"/>
      <c r="AN196" s="152">
        <f>SUM(AN177:AN195)</f>
        <v>0</v>
      </c>
      <c r="AO196" s="153">
        <f t="shared" ref="AO196:AQ196" si="202">SUM(AO177:AO195)</f>
        <v>0</v>
      </c>
      <c r="AP196" s="153">
        <f t="shared" si="202"/>
        <v>0</v>
      </c>
      <c r="AQ196" s="153">
        <f t="shared" si="202"/>
        <v>0</v>
      </c>
      <c r="AV196" s="103" t="s">
        <v>222</v>
      </c>
      <c r="AW196" s="104"/>
      <c r="AX196" s="104"/>
      <c r="AY196" s="120">
        <f>SUM(AY177:AY195)</f>
        <v>488160</v>
      </c>
      <c r="AZ196" s="411">
        <f>SUM(AZ177:AZ195)</f>
        <v>0.99999999999999989</v>
      </c>
      <c r="BA196" s="121">
        <f>SUM(BA177:BA195)</f>
        <v>183600</v>
      </c>
      <c r="BB196" s="87"/>
      <c r="BC196" s="151"/>
      <c r="BD196" s="106"/>
      <c r="BE196" s="107">
        <f>SUM(BE177:BE195)</f>
        <v>506070.51072395616</v>
      </c>
      <c r="BF196" s="105">
        <f>SUM(BF177:BF195)</f>
        <v>438138.5107239561</v>
      </c>
      <c r="BG196" s="87"/>
      <c r="BH196" s="152">
        <f>SUM(BH177:BH195)</f>
        <v>408000</v>
      </c>
      <c r="BI196" s="126"/>
      <c r="BJ196" s="419">
        <f>SUM(BJ177:BJ195)</f>
        <v>183600</v>
      </c>
      <c r="BK196" s="492">
        <f>SUM(BK177:BK195)</f>
        <v>459</v>
      </c>
      <c r="BL196" s="491"/>
      <c r="BM196" s="492">
        <f>SUM(BM177:BM195)</f>
        <v>436.04999999999995</v>
      </c>
      <c r="BN196" s="492">
        <f>SUM(BN177:BN195)</f>
        <v>30477.599999999999</v>
      </c>
      <c r="BO196" s="491"/>
      <c r="BP196" s="492">
        <f>SUM(BP177:BP195)</f>
        <v>23443.369920000001</v>
      </c>
      <c r="BQ196" s="87"/>
      <c r="BR196" s="87"/>
      <c r="BS196" s="87"/>
      <c r="BT196" s="152">
        <f>SUM(BT177:BT195)</f>
        <v>490600.8</v>
      </c>
      <c r="BU196" s="77"/>
      <c r="BV196" s="153">
        <f>SUM(BV177:BV195)</f>
        <v>113945.292</v>
      </c>
      <c r="BW196" s="153">
        <f>SUM(BW177:BW195)</f>
        <v>490600.8</v>
      </c>
      <c r="BX196" s="77"/>
      <c r="BY196" s="153">
        <f>SUM(BY177:BY195)</f>
        <v>28643.705999999998</v>
      </c>
      <c r="BZ196" s="153">
        <f>SUM(BZ177:BZ195)</f>
        <v>25054.649999999994</v>
      </c>
      <c r="CA196" s="77"/>
      <c r="CB196" s="153">
        <f>SUM(CB177:CB195)</f>
        <v>12827.98079999999</v>
      </c>
      <c r="CC196" s="153">
        <f>SUM(CC177:CC195)</f>
        <v>490600.8</v>
      </c>
      <c r="CD196" s="77"/>
      <c r="CE196" s="154">
        <f>SUM(CE177:CE195)</f>
        <v>16212.38275862069</v>
      </c>
      <c r="CF196" s="87"/>
      <c r="CG196" s="152">
        <f>SUM(CG177:CG195)</f>
        <v>59029.729245335482</v>
      </c>
      <c r="CH196" s="153">
        <f t="shared" ref="CH196:CJ196" si="203">SUM(CH177:CH195)</f>
        <v>2637.9310344827586</v>
      </c>
      <c r="CI196" s="153">
        <f t="shared" si="203"/>
        <v>10024.137931034486</v>
      </c>
      <c r="CJ196" s="153">
        <f t="shared" si="203"/>
        <v>67932</v>
      </c>
    </row>
    <row r="197" spans="2:88" x14ac:dyDescent="0.35">
      <c r="C197" s="108"/>
      <c r="D197" s="108"/>
      <c r="E197" s="108"/>
      <c r="F197" s="87"/>
      <c r="G197" s="87"/>
      <c r="H197" s="87"/>
      <c r="I197" s="109"/>
      <c r="J197" s="87"/>
      <c r="K197" s="87"/>
      <c r="L197" s="87"/>
      <c r="M197" s="87"/>
      <c r="N197" s="87"/>
      <c r="O197" s="220"/>
      <c r="P197" s="220"/>
      <c r="Q197" s="220"/>
      <c r="R197" s="87"/>
      <c r="S197" s="422">
        <f>Q196</f>
        <v>0</v>
      </c>
      <c r="T197"/>
      <c r="U197"/>
      <c r="V197"/>
      <c r="W197"/>
      <c r="X197"/>
      <c r="Y197"/>
      <c r="Z197" s="87"/>
      <c r="AA197" s="87"/>
      <c r="AB197" s="87"/>
      <c r="AC197" s="87"/>
      <c r="AD197" s="87"/>
      <c r="AM197" s="87"/>
      <c r="AN197" s="420">
        <f>IFERROR(IF(DP!$C$16=PS!$B$3,PS!$K$23*D172/(D172+AW172),IF(DP!$C$16=PS!$N$3,PS!$AC$23*D172/(D172+AW172),IF(DP!$C$16=PS!$AF$3,PS!$AP$23*D172/(D172+AW172)))),0*1)</f>
        <v>0</v>
      </c>
      <c r="AO197" s="220"/>
      <c r="AP197" s="220"/>
      <c r="AQ197" s="433"/>
      <c r="AR197" s="34"/>
      <c r="AV197" s="108"/>
      <c r="AW197" s="108"/>
      <c r="AX197" s="108"/>
      <c r="AY197" s="87"/>
      <c r="AZ197" s="87"/>
      <c r="BA197" s="87"/>
      <c r="BB197" s="109"/>
      <c r="BC197" s="87"/>
      <c r="BD197" s="87"/>
      <c r="BE197" s="87"/>
      <c r="BF197" s="87"/>
      <c r="BG197" s="87"/>
      <c r="BH197" s="87"/>
      <c r="BI197" s="87"/>
      <c r="BJ197" s="87"/>
      <c r="BK197"/>
      <c r="BL197"/>
      <c r="BM197"/>
      <c r="BN197"/>
      <c r="BO197"/>
      <c r="BP197"/>
      <c r="BQ197" s="87"/>
      <c r="BR197" s="87"/>
      <c r="BS197" s="87"/>
      <c r="BT197" s="87"/>
      <c r="BU197" s="87"/>
      <c r="BV197" s="87"/>
      <c r="BW197" s="87"/>
      <c r="CF197" s="87"/>
      <c r="CG197" s="420">
        <f>IFERROR(IF(DP!$C$16=PS!$B$3,PS!$K$23*AW172/(AW172+D172),IF(DP!$C$16=PS!$N$3,PS!$AC$23*AW172/(AW172+D172),IF(DP!$C$16=PS!$AF$3,PS!$AP$23*AW172/(AW172+D172)))),0*1)</f>
        <v>59029.729245335482</v>
      </c>
      <c r="CH197" s="220"/>
      <c r="CI197" s="220"/>
      <c r="CJ197" s="433"/>
    </row>
    <row r="198" spans="2:88" x14ac:dyDescent="0.35">
      <c r="C198" s="108"/>
      <c r="D198" s="108"/>
      <c r="E198" s="108"/>
      <c r="F198" s="87"/>
      <c r="G198" s="87"/>
      <c r="H198" s="87"/>
      <c r="I198" s="109"/>
      <c r="J198" s="87"/>
      <c r="K198" s="87"/>
      <c r="L198" s="87"/>
      <c r="M198" s="87"/>
      <c r="N198" s="87"/>
      <c r="O198" s="87"/>
      <c r="P198" s="87"/>
      <c r="Q198" s="87"/>
      <c r="T198" s="87"/>
      <c r="U198" s="87"/>
      <c r="V198" s="87"/>
      <c r="W198" s="87"/>
      <c r="X198" s="87"/>
      <c r="Y198" s="87"/>
      <c r="Z198" s="87"/>
      <c r="AM198" s="87"/>
      <c r="AO198" s="224"/>
      <c r="AP198" s="224"/>
      <c r="AQ198" s="224"/>
      <c r="AR198" s="34"/>
      <c r="AV198" s="108"/>
      <c r="AW198" s="108"/>
      <c r="AX198" s="108"/>
      <c r="AY198" s="87"/>
      <c r="AZ198" s="87"/>
      <c r="BA198" s="87"/>
      <c r="BB198" s="109"/>
      <c r="BC198" s="87"/>
      <c r="BD198" s="87"/>
      <c r="BE198" s="87"/>
      <c r="BF198" s="87"/>
      <c r="BG198" s="87"/>
      <c r="BH198" s="87"/>
      <c r="BK198" s="87"/>
      <c r="BL198" s="87"/>
      <c r="BM198" s="87"/>
      <c r="BN198" s="87"/>
      <c r="BO198" s="87"/>
      <c r="BP198" s="87"/>
      <c r="BQ198" s="87"/>
      <c r="BR198" s="87"/>
      <c r="BS198" s="87"/>
      <c r="BT198"/>
      <c r="BU198"/>
      <c r="BV198"/>
      <c r="BW198"/>
      <c r="BX198"/>
      <c r="BY198"/>
      <c r="BZ198"/>
      <c r="CA198"/>
      <c r="CB198"/>
      <c r="CC198"/>
      <c r="CF198" s="87"/>
    </row>
    <row r="199" spans="2:88" x14ac:dyDescent="0.35">
      <c r="C199" s="108"/>
      <c r="D199" s="108"/>
      <c r="E199" s="108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116" t="s">
        <v>228</v>
      </c>
      <c r="S199" s="94">
        <f>IFERROR((SUMIF(B177:B195,1,H177:H195))/H196*S197,0*1)</f>
        <v>0</v>
      </c>
      <c r="T199" s="109"/>
      <c r="U199" s="87"/>
      <c r="V199" s="87"/>
      <c r="W199" s="87"/>
      <c r="X199" s="87"/>
      <c r="Y199" s="87"/>
      <c r="Z199" s="87"/>
      <c r="AM199" s="87"/>
      <c r="AV199" s="108"/>
      <c r="AW199" s="108"/>
      <c r="AX199" s="108"/>
      <c r="AY199" s="87"/>
      <c r="AZ199" s="87"/>
      <c r="BA199" s="87"/>
      <c r="BB199" s="87"/>
      <c r="BC199" s="87"/>
      <c r="BD199" s="87"/>
      <c r="BE199" s="87"/>
      <c r="BF199" s="87"/>
      <c r="BG199" s="87"/>
      <c r="BK199" s="109"/>
      <c r="BL199" s="87"/>
      <c r="BM199" s="87"/>
      <c r="BN199" s="87"/>
      <c r="BO199" s="87"/>
      <c r="BP199" s="87"/>
      <c r="BQ199" s="87"/>
      <c r="BR199" s="87"/>
      <c r="BS199" s="87"/>
      <c r="BT199"/>
      <c r="BU199"/>
      <c r="BV199"/>
      <c r="BW199"/>
      <c r="BX199"/>
      <c r="BY199"/>
      <c r="BZ199"/>
      <c r="CA199"/>
      <c r="CB199"/>
      <c r="CC199"/>
      <c r="CF199" s="87"/>
    </row>
    <row r="200" spans="2:88" x14ac:dyDescent="0.35">
      <c r="C200" s="108"/>
      <c r="D200" s="108"/>
      <c r="E200" s="108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116" t="s">
        <v>229</v>
      </c>
      <c r="S200" s="94">
        <f>S197-S199</f>
        <v>0</v>
      </c>
      <c r="T200" s="109"/>
      <c r="U200" s="87"/>
      <c r="V200" s="87"/>
      <c r="W200" s="87"/>
      <c r="X200" s="87"/>
      <c r="Y200" s="87"/>
      <c r="Z200" s="87"/>
      <c r="AM200" s="87"/>
      <c r="AV200" s="108"/>
      <c r="AW200" s="108"/>
      <c r="AX200" s="108"/>
      <c r="AY200" s="87"/>
      <c r="AZ200" s="87"/>
      <c r="BA200" s="87"/>
      <c r="BB200" s="87"/>
      <c r="BC200" s="87"/>
      <c r="BD200" s="87"/>
      <c r="BE200" s="87"/>
      <c r="BF200" s="87"/>
      <c r="BG200" s="87"/>
      <c r="BK200" s="109"/>
      <c r="BL200" s="87"/>
      <c r="BM200" s="87"/>
      <c r="BN200" s="87"/>
      <c r="BO200" s="87"/>
      <c r="BP200" s="87"/>
      <c r="BQ200" s="87"/>
      <c r="BR200" s="87"/>
      <c r="BS200" s="87"/>
      <c r="BT200"/>
      <c r="BU200"/>
      <c r="BV200"/>
      <c r="BW200"/>
      <c r="BX200"/>
      <c r="BY200"/>
      <c r="BZ200"/>
      <c r="CA200"/>
      <c r="CB200"/>
      <c r="CC200"/>
      <c r="CF200" s="87"/>
    </row>
    <row r="201" spans="2:88" x14ac:dyDescent="0.35">
      <c r="C201" s="108"/>
      <c r="D201" s="108"/>
      <c r="E201" s="108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T201" s="87"/>
      <c r="U201" s="87"/>
      <c r="V201" s="87"/>
      <c r="W201" s="87"/>
      <c r="X201" s="87"/>
      <c r="Y201" s="87"/>
      <c r="Z201" s="87"/>
      <c r="AM201" s="87"/>
      <c r="AV201" s="108"/>
      <c r="AW201" s="108"/>
      <c r="AX201" s="108"/>
      <c r="AY201" s="87"/>
      <c r="AZ201" s="87"/>
      <c r="BA201" s="87"/>
      <c r="BB201" s="87"/>
      <c r="BC201" s="87"/>
      <c r="BD201" s="87"/>
      <c r="BE201" s="87"/>
      <c r="BF201" s="87"/>
      <c r="BG201" s="87"/>
      <c r="BK201" s="87"/>
      <c r="BL201" s="87"/>
      <c r="BM201" s="87"/>
      <c r="BN201" s="87"/>
      <c r="BO201" s="87"/>
      <c r="BP201" s="87"/>
      <c r="BQ201" s="87"/>
      <c r="BR201" s="87"/>
      <c r="BS201" s="87"/>
      <c r="BT201"/>
      <c r="BU201"/>
      <c r="BV201"/>
      <c r="BW201"/>
      <c r="BX201"/>
      <c r="BY201"/>
      <c r="BZ201"/>
      <c r="CA201"/>
      <c r="CB201"/>
      <c r="CC201"/>
      <c r="CF201" s="87"/>
    </row>
    <row r="202" spans="2:88" x14ac:dyDescent="0.35">
      <c r="C202" s="108"/>
      <c r="D202" s="108"/>
      <c r="E202" s="108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T202" s="87"/>
      <c r="U202" s="87"/>
      <c r="V202" s="87"/>
      <c r="W202" s="87"/>
      <c r="X202" s="87"/>
      <c r="Y202" s="87"/>
      <c r="Z202" s="87"/>
      <c r="AM202" s="87"/>
      <c r="AV202" s="108"/>
      <c r="AW202" s="108"/>
      <c r="AX202" s="108"/>
      <c r="AY202" s="87"/>
      <c r="AZ202" s="87"/>
      <c r="BA202" s="87"/>
      <c r="BB202" s="87"/>
      <c r="BC202" s="87"/>
      <c r="BD202" s="87"/>
      <c r="BE202" s="87"/>
      <c r="BF202" s="87"/>
      <c r="BG202" s="87"/>
      <c r="BH202" s="87"/>
      <c r="BK202" s="87"/>
      <c r="BL202" s="87"/>
      <c r="BM202" s="87"/>
      <c r="BN202" s="87"/>
      <c r="BO202" s="87"/>
      <c r="BP202" s="87"/>
      <c r="BQ202" s="87"/>
      <c r="BR202" s="87"/>
      <c r="BS202" s="87"/>
      <c r="BT202"/>
      <c r="BU202"/>
      <c r="BV202"/>
      <c r="BW202"/>
      <c r="BX202"/>
      <c r="BY202"/>
      <c r="BZ202"/>
      <c r="CA202"/>
      <c r="CB202"/>
      <c r="CC202"/>
      <c r="CF202" s="87"/>
    </row>
    <row r="203" spans="2:88" x14ac:dyDescent="0.35">
      <c r="C203" s="108"/>
      <c r="D203" s="108"/>
      <c r="E203" s="108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T203" s="87"/>
      <c r="U203" s="87"/>
      <c r="V203" s="87"/>
      <c r="W203" s="87"/>
      <c r="X203" s="87"/>
      <c r="Y203" s="87"/>
      <c r="Z203" s="87"/>
      <c r="AM203" s="87"/>
      <c r="AV203" s="108"/>
      <c r="AW203" s="108"/>
      <c r="AX203" s="108"/>
      <c r="AY203" s="87"/>
      <c r="AZ203" s="87"/>
      <c r="BA203" s="87"/>
      <c r="BB203" s="87"/>
      <c r="BC203" s="87"/>
      <c r="BD203" s="87"/>
      <c r="BE203" s="87"/>
      <c r="BF203" s="87"/>
      <c r="BG203" s="87"/>
      <c r="BH203" s="87"/>
      <c r="BK203" s="87"/>
      <c r="BL203" s="87"/>
      <c r="BM203" s="87"/>
      <c r="BN203" s="87"/>
      <c r="BO203" s="87"/>
      <c r="BP203" s="87"/>
      <c r="BQ203" s="87"/>
      <c r="BR203" s="87"/>
      <c r="BS203" s="87"/>
      <c r="BT203"/>
      <c r="BU203"/>
      <c r="BV203"/>
      <c r="BW203"/>
      <c r="BX203"/>
      <c r="BY203"/>
      <c r="BZ203"/>
      <c r="CA203"/>
      <c r="CB203"/>
      <c r="CC203"/>
      <c r="CF203" s="87"/>
    </row>
    <row r="205" spans="2:88" ht="16" thickBot="1" x14ac:dyDescent="0.4">
      <c r="C205" s="421" t="s">
        <v>342</v>
      </c>
      <c r="D205" s="482">
        <f>DP!AC14</f>
        <v>0</v>
      </c>
      <c r="AV205" s="421" t="s">
        <v>353</v>
      </c>
      <c r="AW205" s="482">
        <f>DP!BE14</f>
        <v>183600</v>
      </c>
    </row>
    <row r="206" spans="2:88" ht="15.5" customHeight="1" x14ac:dyDescent="0.35">
      <c r="C206" s="1026" t="s">
        <v>78</v>
      </c>
      <c r="D206" s="1009" t="s">
        <v>169</v>
      </c>
      <c r="E206" s="1010"/>
      <c r="F206" s="1010"/>
      <c r="G206" s="1010"/>
      <c r="H206" s="1011"/>
      <c r="I206" s="130"/>
      <c r="J206" s="1015" t="s">
        <v>170</v>
      </c>
      <c r="K206" s="1015" t="s">
        <v>215</v>
      </c>
      <c r="L206" s="1015" t="s">
        <v>216</v>
      </c>
      <c r="M206" s="1017" t="s">
        <v>217</v>
      </c>
      <c r="N206" s="130"/>
      <c r="O206" s="1019" t="s">
        <v>213</v>
      </c>
      <c r="P206" s="1007"/>
      <c r="Q206" s="1007"/>
      <c r="R206" s="1007"/>
      <c r="S206" s="1007"/>
      <c r="T206" s="1007"/>
      <c r="U206" s="1007"/>
      <c r="V206" s="1007"/>
      <c r="W206" s="1007"/>
      <c r="X206" s="1007"/>
      <c r="Y206" s="1007"/>
      <c r="Z206" s="130"/>
      <c r="AA206" s="1019" t="s">
        <v>180</v>
      </c>
      <c r="AB206" s="1007"/>
      <c r="AC206" s="1007"/>
      <c r="AD206" s="1007"/>
      <c r="AE206" s="1007"/>
      <c r="AF206" s="1007"/>
      <c r="AG206" s="1007"/>
      <c r="AH206" s="1007"/>
      <c r="AI206" s="1007"/>
      <c r="AJ206" s="1007"/>
      <c r="AK206" s="1007"/>
      <c r="AL206" s="1020"/>
      <c r="AM206" s="130"/>
      <c r="AN206" s="131" t="s">
        <v>214</v>
      </c>
      <c r="AO206" s="1006" t="s">
        <v>361</v>
      </c>
      <c r="AP206" s="1007"/>
      <c r="AQ206" s="1008"/>
      <c r="AV206" s="1026" t="s">
        <v>78</v>
      </c>
      <c r="AW206" s="1009" t="s">
        <v>169</v>
      </c>
      <c r="AX206" s="1010"/>
      <c r="AY206" s="1010"/>
      <c r="AZ206" s="1010"/>
      <c r="BA206" s="1011"/>
      <c r="BB206" s="130"/>
      <c r="BC206" s="1015" t="s">
        <v>170</v>
      </c>
      <c r="BD206" s="1015" t="s">
        <v>215</v>
      </c>
      <c r="BE206" s="1015" t="s">
        <v>216</v>
      </c>
      <c r="BF206" s="1017" t="s">
        <v>217</v>
      </c>
      <c r="BG206" s="130"/>
      <c r="BH206" s="1019" t="s">
        <v>213</v>
      </c>
      <c r="BI206" s="1007"/>
      <c r="BJ206" s="1007"/>
      <c r="BK206" s="1007"/>
      <c r="BL206" s="1007"/>
      <c r="BM206" s="1007"/>
      <c r="BN206" s="1007"/>
      <c r="BO206" s="1007"/>
      <c r="BP206" s="1007"/>
      <c r="BQ206" s="130"/>
      <c r="BR206" s="130"/>
      <c r="BS206" s="130"/>
      <c r="BT206" s="1019" t="s">
        <v>180</v>
      </c>
      <c r="BU206" s="1007"/>
      <c r="BV206" s="1007"/>
      <c r="BW206" s="1007"/>
      <c r="BX206" s="1007"/>
      <c r="BY206" s="1007"/>
      <c r="BZ206" s="1007"/>
      <c r="CA206" s="1007"/>
      <c r="CB206" s="1007"/>
      <c r="CC206" s="1007"/>
      <c r="CD206" s="1007"/>
      <c r="CE206" s="1020"/>
      <c r="CF206" s="130"/>
      <c r="CG206" s="131" t="s">
        <v>214</v>
      </c>
      <c r="CH206" s="1006" t="s">
        <v>361</v>
      </c>
      <c r="CI206" s="1007"/>
      <c r="CJ206" s="1008"/>
    </row>
    <row r="207" spans="2:88" ht="30.5" thickBot="1" x14ac:dyDescent="0.4">
      <c r="C207" s="1027"/>
      <c r="D207" s="1012"/>
      <c r="E207" s="1013"/>
      <c r="F207" s="1013"/>
      <c r="G207" s="1013"/>
      <c r="H207" s="1014"/>
      <c r="I207" s="130"/>
      <c r="J207" s="1016"/>
      <c r="K207" s="1016"/>
      <c r="L207" s="1016"/>
      <c r="M207" s="1018"/>
      <c r="N207" s="130"/>
      <c r="O207" s="134" t="s">
        <v>218</v>
      </c>
      <c r="P207" s="415"/>
      <c r="Q207" s="415"/>
      <c r="R207" s="135"/>
      <c r="S207" s="135"/>
      <c r="T207" s="69" t="s">
        <v>171</v>
      </c>
      <c r="U207" s="69"/>
      <c r="V207" s="69"/>
      <c r="W207" s="69" t="s">
        <v>172</v>
      </c>
      <c r="X207" s="69"/>
      <c r="Y207" s="69"/>
      <c r="Z207" s="130"/>
      <c r="AA207" s="1021" t="s">
        <v>173</v>
      </c>
      <c r="AB207" s="1022"/>
      <c r="AC207" s="1023"/>
      <c r="AD207" s="1024" t="s">
        <v>174</v>
      </c>
      <c r="AE207" s="1022"/>
      <c r="AF207" s="1023"/>
      <c r="AG207" s="1024" t="s">
        <v>175</v>
      </c>
      <c r="AH207" s="1022"/>
      <c r="AI207" s="1023"/>
      <c r="AJ207" s="1024" t="s">
        <v>176</v>
      </c>
      <c r="AK207" s="1022"/>
      <c r="AL207" s="1025"/>
      <c r="AM207" s="130"/>
      <c r="AN207" s="115" t="s">
        <v>177</v>
      </c>
      <c r="AO207" s="458" t="s">
        <v>362</v>
      </c>
      <c r="AP207" s="458" t="s">
        <v>363</v>
      </c>
      <c r="AQ207" s="494" t="s">
        <v>364</v>
      </c>
      <c r="AV207" s="1027"/>
      <c r="AW207" s="1012"/>
      <c r="AX207" s="1013"/>
      <c r="AY207" s="1013"/>
      <c r="AZ207" s="1013"/>
      <c r="BA207" s="1014"/>
      <c r="BB207" s="130"/>
      <c r="BC207" s="1016"/>
      <c r="BD207" s="1016"/>
      <c r="BE207" s="1016"/>
      <c r="BF207" s="1018"/>
      <c r="BG207" s="130"/>
      <c r="BH207" s="1031" t="s">
        <v>234</v>
      </c>
      <c r="BI207" s="1032"/>
      <c r="BJ207" s="1033"/>
      <c r="BK207" s="1024" t="s">
        <v>171</v>
      </c>
      <c r="BL207" s="1022"/>
      <c r="BM207" s="1023"/>
      <c r="BN207" s="1024" t="s">
        <v>231</v>
      </c>
      <c r="BO207" s="1022"/>
      <c r="BP207" s="1023"/>
      <c r="BQ207" s="130"/>
      <c r="BR207" s="130"/>
      <c r="BS207" s="130"/>
      <c r="BT207" s="1021" t="s">
        <v>173</v>
      </c>
      <c r="BU207" s="1022"/>
      <c r="BV207" s="1023"/>
      <c r="BW207" s="1024" t="s">
        <v>174</v>
      </c>
      <c r="BX207" s="1022"/>
      <c r="BY207" s="1023"/>
      <c r="BZ207" s="1024" t="s">
        <v>175</v>
      </c>
      <c r="CA207" s="1022"/>
      <c r="CB207" s="1023"/>
      <c r="CC207" s="1024" t="s">
        <v>176</v>
      </c>
      <c r="CD207" s="1022"/>
      <c r="CE207" s="1025"/>
      <c r="CF207" s="130"/>
      <c r="CG207" s="115" t="s">
        <v>177</v>
      </c>
      <c r="CH207" s="458" t="s">
        <v>362</v>
      </c>
      <c r="CI207" s="458" t="s">
        <v>363</v>
      </c>
      <c r="CJ207" s="494" t="s">
        <v>364</v>
      </c>
    </row>
    <row r="208" spans="2:88" ht="16" thickBot="1" x14ac:dyDescent="0.4">
      <c r="C208" s="1028"/>
      <c r="D208" s="111" t="s">
        <v>225</v>
      </c>
      <c r="E208" s="111"/>
      <c r="F208" s="112" t="s">
        <v>178</v>
      </c>
      <c r="G208" s="113" t="s">
        <v>226</v>
      </c>
      <c r="H208" s="114" t="s">
        <v>227</v>
      </c>
      <c r="I208" s="136"/>
      <c r="J208" s="119" t="s">
        <v>179</v>
      </c>
      <c r="K208" s="137" t="s">
        <v>224</v>
      </c>
      <c r="L208" s="137" t="s">
        <v>224</v>
      </c>
      <c r="M208" s="138" t="s">
        <v>224</v>
      </c>
      <c r="N208" s="136"/>
      <c r="O208" s="118" t="s">
        <v>223</v>
      </c>
      <c r="P208" s="119" t="s">
        <v>179</v>
      </c>
      <c r="Q208" s="137" t="s">
        <v>224</v>
      </c>
      <c r="R208" s="119" t="s">
        <v>179</v>
      </c>
      <c r="S208" s="137" t="s">
        <v>224</v>
      </c>
      <c r="T208" s="119" t="s">
        <v>219</v>
      </c>
      <c r="U208" s="119" t="s">
        <v>179</v>
      </c>
      <c r="V208" s="137" t="s">
        <v>224</v>
      </c>
      <c r="W208" s="119" t="s">
        <v>219</v>
      </c>
      <c r="X208" s="119" t="s">
        <v>179</v>
      </c>
      <c r="Y208" s="137" t="s">
        <v>224</v>
      </c>
      <c r="Z208" s="136"/>
      <c r="AA208" s="118" t="s">
        <v>220</v>
      </c>
      <c r="AB208" s="119" t="s">
        <v>179</v>
      </c>
      <c r="AC208" s="137" t="s">
        <v>224</v>
      </c>
      <c r="AD208" s="119" t="s">
        <v>220</v>
      </c>
      <c r="AE208" s="119" t="s">
        <v>179</v>
      </c>
      <c r="AF208" s="137" t="s">
        <v>224</v>
      </c>
      <c r="AG208" s="119" t="s">
        <v>220</v>
      </c>
      <c r="AH208" s="119" t="s">
        <v>179</v>
      </c>
      <c r="AI208" s="137" t="s">
        <v>224</v>
      </c>
      <c r="AJ208" s="119" t="s">
        <v>221</v>
      </c>
      <c r="AK208" s="119" t="s">
        <v>179</v>
      </c>
      <c r="AL208" s="138" t="s">
        <v>224</v>
      </c>
      <c r="AM208" s="136"/>
      <c r="AN208" s="139" t="s">
        <v>224</v>
      </c>
      <c r="AO208" s="137" t="s">
        <v>224</v>
      </c>
      <c r="AP208" s="137" t="s">
        <v>224</v>
      </c>
      <c r="AQ208" s="137" t="s">
        <v>224</v>
      </c>
      <c r="AV208" s="1028"/>
      <c r="AW208" s="111" t="s">
        <v>225</v>
      </c>
      <c r="AX208" s="111"/>
      <c r="AY208" s="112" t="s">
        <v>178</v>
      </c>
      <c r="AZ208" s="113" t="s">
        <v>226</v>
      </c>
      <c r="BA208" s="114" t="s">
        <v>227</v>
      </c>
      <c r="BB208" s="136"/>
      <c r="BC208" s="119" t="s">
        <v>179</v>
      </c>
      <c r="BD208" s="137" t="s">
        <v>224</v>
      </c>
      <c r="BE208" s="137" t="s">
        <v>224</v>
      </c>
      <c r="BF208" s="138" t="s">
        <v>224</v>
      </c>
      <c r="BG208" s="136"/>
      <c r="BH208" s="118" t="s">
        <v>219</v>
      </c>
      <c r="BI208" s="119" t="s">
        <v>179</v>
      </c>
      <c r="BJ208" s="137" t="s">
        <v>224</v>
      </c>
      <c r="BK208" s="119" t="s">
        <v>219</v>
      </c>
      <c r="BL208" s="119" t="s">
        <v>179</v>
      </c>
      <c r="BM208" s="137" t="s">
        <v>224</v>
      </c>
      <c r="BN208" s="119" t="s">
        <v>219</v>
      </c>
      <c r="BO208" s="119" t="s">
        <v>179</v>
      </c>
      <c r="BP208" s="137" t="s">
        <v>224</v>
      </c>
      <c r="BQ208" s="136"/>
      <c r="BR208" s="136"/>
      <c r="BS208" s="136"/>
      <c r="BT208" s="118" t="s">
        <v>220</v>
      </c>
      <c r="BU208" s="119" t="s">
        <v>179</v>
      </c>
      <c r="BV208" s="137" t="s">
        <v>224</v>
      </c>
      <c r="BW208" s="119" t="s">
        <v>220</v>
      </c>
      <c r="BX208" s="119" t="s">
        <v>179</v>
      </c>
      <c r="BY208" s="137" t="s">
        <v>224</v>
      </c>
      <c r="BZ208" s="119" t="s">
        <v>220</v>
      </c>
      <c r="CA208" s="119" t="s">
        <v>179</v>
      </c>
      <c r="CB208" s="137" t="s">
        <v>224</v>
      </c>
      <c r="CC208" s="119" t="s">
        <v>221</v>
      </c>
      <c r="CD208" s="119" t="s">
        <v>179</v>
      </c>
      <c r="CE208" s="138" t="s">
        <v>224</v>
      </c>
      <c r="CF208" s="136"/>
      <c r="CG208" s="139" t="s">
        <v>224</v>
      </c>
      <c r="CH208" s="137" t="s">
        <v>224</v>
      </c>
      <c r="CI208" s="137" t="s">
        <v>224</v>
      </c>
      <c r="CJ208" s="137" t="s">
        <v>224</v>
      </c>
    </row>
    <row r="209" spans="2:88" ht="16" thickBot="1" x14ac:dyDescent="0.4">
      <c r="C209" s="117" t="s">
        <v>331</v>
      </c>
      <c r="D209" s="117"/>
      <c r="E209" s="11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  <c r="AL209" s="87"/>
      <c r="AM209" s="87"/>
      <c r="AN209" s="87"/>
      <c r="AO209" s="87"/>
      <c r="AP209" s="87"/>
      <c r="AQ209" s="87"/>
      <c r="AV209" s="117" t="s">
        <v>350</v>
      </c>
      <c r="AW209" s="117"/>
      <c r="AX209" s="117"/>
      <c r="AY209" s="87"/>
      <c r="AZ209" s="87"/>
      <c r="BA209" s="87"/>
      <c r="BB209" s="87"/>
      <c r="BC209" s="87"/>
      <c r="BD209" s="87"/>
      <c r="BE209" s="87"/>
      <c r="BF209" s="87"/>
      <c r="BG209" s="87"/>
      <c r="BH209" s="87"/>
      <c r="BI209" s="87"/>
      <c r="BJ209" s="87"/>
      <c r="BK209" s="87"/>
      <c r="BL209" s="87"/>
      <c r="BM209" s="87"/>
      <c r="BN209" s="87"/>
      <c r="BO209" s="87"/>
      <c r="BP209" s="87"/>
      <c r="BQ209" s="87"/>
      <c r="BR209" s="87"/>
      <c r="BS209" s="87"/>
      <c r="BT209" s="87"/>
      <c r="BU209" s="87"/>
      <c r="BV209" s="87"/>
      <c r="BW209" s="87"/>
      <c r="BX209" s="87"/>
      <c r="BY209" s="87"/>
      <c r="BZ209" s="87"/>
      <c r="CA209" s="87"/>
      <c r="CB209" s="87"/>
      <c r="CC209" s="87"/>
      <c r="CD209" s="87"/>
      <c r="CE209" s="87"/>
      <c r="CF209" s="87"/>
      <c r="CG209" s="87"/>
      <c r="CH209" s="87"/>
      <c r="CI209" s="87"/>
      <c r="CJ209" s="87"/>
    </row>
    <row r="210" spans="2:88" x14ac:dyDescent="0.35">
      <c r="B210" s="480">
        <f>DP!S18</f>
        <v>1</v>
      </c>
      <c r="C210" s="480" t="str">
        <f>DP!T18</f>
        <v xml:space="preserve">PALMITO ENTERO 800 </v>
      </c>
      <c r="D210" s="480">
        <f>DP!U18</f>
        <v>800</v>
      </c>
      <c r="E210" s="480">
        <f>DP!V18</f>
        <v>500</v>
      </c>
      <c r="F210" s="412">
        <f>IFERROR((H210*1000)/E210,0*1)</f>
        <v>0</v>
      </c>
      <c r="G210" s="470">
        <f>DP!AC18</f>
        <v>0</v>
      </c>
      <c r="H210" s="98">
        <f>$D$205*G210</f>
        <v>0</v>
      </c>
      <c r="I210" s="97"/>
      <c r="J210" s="101">
        <f t="shared" ref="J210:J228" si="204">IF(F210&gt;0,L210/F210,0*1)</f>
        <v>0</v>
      </c>
      <c r="K210" s="122">
        <f t="shared" ref="K210:K228" si="205">IF(F210&gt;0,M210/F210,0*1)</f>
        <v>0</v>
      </c>
      <c r="L210" s="140">
        <f t="shared" ref="L210:L228" si="206">IF(F210&gt;0,M210+AQ210,0*1)</f>
        <v>0</v>
      </c>
      <c r="M210" s="123">
        <f t="shared" ref="M210:M228" si="207">IF(F210&gt;0,(S210+V210+Y210+AC210+AF210+AI210+AL210+AN210),0*1)</f>
        <v>0</v>
      </c>
      <c r="N210" s="100"/>
      <c r="O210" s="102">
        <f>($E210/DP!$O$29)*F210</f>
        <v>0</v>
      </c>
      <c r="P210" s="102">
        <f>IF(O210&gt;0,(DP!$O$31),0*1)</f>
        <v>0</v>
      </c>
      <c r="Q210" s="102">
        <f>O210*P210</f>
        <v>0</v>
      </c>
      <c r="R210" s="102">
        <f>IF(O210&gt;0,S210/O210,0*1)</f>
        <v>0</v>
      </c>
      <c r="S210" s="418">
        <f>IFERROR(IF(B210=1,(S$232+70%*S$233)/(SUMIF($B$210:$B$228,1,$H$210:$H$228))*H210,(30%*S$233)/(SUMIF($B$210:$B$228,0,$H$210:$H$228))*H210),0*1)</f>
        <v>0</v>
      </c>
      <c r="T210" s="475">
        <f>H210*DP!$W$44</f>
        <v>0</v>
      </c>
      <c r="U210" s="475">
        <f>IF(H210&gt;0,DP!$X$44,0*1)</f>
        <v>0</v>
      </c>
      <c r="V210" s="475">
        <f>T210*U210</f>
        <v>0</v>
      </c>
      <c r="W210" s="475">
        <f>H210*DP!$W$45</f>
        <v>0</v>
      </c>
      <c r="X210" s="475">
        <f>IF(H210&gt;0,DP!$X$45,0*1)</f>
        <v>0</v>
      </c>
      <c r="Y210" s="475">
        <f>W210*X210</f>
        <v>0</v>
      </c>
      <c r="Z210" s="100"/>
      <c r="AA210" s="93">
        <f>IF(D210=DP!$L$15,F210*(1+DP!$O$15),IF(D210=DP!$L$16,F210*(1+DP!$O$16),IF(D210=DP!$L$17,F210*(1+DP!$O$17),IF(D210=DP!$L$18,F210*(1+DP!$O$18),0*1))))</f>
        <v>0</v>
      </c>
      <c r="AB210" s="102">
        <f>IF(D210=DP!$L$22,(DP!$M$22),IF(D210=DP!$L$23,(DP!$M$23),IF(D210=DP!$L$24,(DP!$M$24),IF(D210=DP!$L$25,(DP!$M$25),((0*1))))))</f>
        <v>0</v>
      </c>
      <c r="AC210" s="93">
        <f>AA210*AB210</f>
        <v>0</v>
      </c>
      <c r="AD210" s="93">
        <f>IF(D210=DP!$L$15,F210*(1+DP!$O$15),IF(D210=DP!$L$16,F210*(1+DP!$O$16),IF(D210=DP!$L$17,F210*(1+DP!$O$17),IF(D210=DP!$L$18,F210*(1+DP!$O$18),0*1))))</f>
        <v>0</v>
      </c>
      <c r="AE210" s="102">
        <f>IF(D210=DP!$L$22,(DP!$N$22),IF(D210=DP!$L$23,(DP!$N$23),IF(D210=DP!$L$24,(DP!$N$24),IF(D210=DP!$L$25,(DP!$N$25),((0*1))))))</f>
        <v>0</v>
      </c>
      <c r="AF210" s="93">
        <f>AD210*AE210</f>
        <v>0</v>
      </c>
      <c r="AG210" s="93">
        <f>IF(D210=DP!$L$15,(F210/DP!$K$15)*(1+DP!$O$15),IF(D210=DP!$L$16,(F210/DP!$K$16)*(1+DP!$O$16),IF(D210=DP!$L$17,(F210/DP!$K$17)*(1+DP!$O$17),IF(D210=DP!$L$18,(F210/DP!$K$18)*(1+DP!$O$18),0*1))))</f>
        <v>0</v>
      </c>
      <c r="AH210" s="102">
        <f>IF(D210=DP!$L$22,(DP!$O$22),IF(D210=DP!$L$23,(DP!$O$23),IF(D210=DP!$L$24,(DP!$O$24),IF(D210=DP!$L$25,(DP!$O$25),((0*1))))))</f>
        <v>0</v>
      </c>
      <c r="AI210" s="93">
        <f>AG210*AH210</f>
        <v>0</v>
      </c>
      <c r="AJ210" s="93">
        <f>IF(D210=DP!$L$15,F210*(1+DP!$O$15),IF(D210=DP!$L$16,F210*(1+DP!$O$16),IF(D210=DP!$L$17,F210*(1+DP!$O$17),IF(D210=DP!$L$18,F210*(1+DP!$O$18),0*1))))</f>
        <v>0</v>
      </c>
      <c r="AK210" s="102">
        <f>IF(D210=DP!$L$22,(DP!$P$22),IF(D210=DP!$L$23,(DP!$P$23),IF(D210=DP!$L$24,(DP!$P$24),IF(D210=DP!$L$25,(DP!$P$25),((0*1))))))</f>
        <v>0</v>
      </c>
      <c r="AL210" s="93">
        <f>AJ210*AK210</f>
        <v>0</v>
      </c>
      <c r="AM210" s="100"/>
      <c r="AN210" s="149">
        <f t="shared" ref="AN210:AN228" si="208">IF(F210&gt;0,AN$230/H$229*H210,0*1)</f>
        <v>0</v>
      </c>
      <c r="AO210" s="149">
        <f>DP!$N$35*H210</f>
        <v>0</v>
      </c>
      <c r="AP210" s="149">
        <f>DP!$O$35*H210</f>
        <v>0</v>
      </c>
      <c r="AQ210" s="149">
        <f>DP!$P$35*H210</f>
        <v>0</v>
      </c>
      <c r="AV210" s="412" t="str">
        <f>DP!AV18</f>
        <v>PIÑA RODAJA 850</v>
      </c>
      <c r="AW210" s="412">
        <f>DP!AW18</f>
        <v>850</v>
      </c>
      <c r="AX210" s="412">
        <f>DP!AX18</f>
        <v>425</v>
      </c>
      <c r="AY210" s="412">
        <f>IFERROR((BA210*1000)/AX210,0*1)</f>
        <v>0</v>
      </c>
      <c r="AZ210" s="470">
        <f>DP!BE18</f>
        <v>0</v>
      </c>
      <c r="BA210" s="98">
        <f>$AW$205*AZ210</f>
        <v>0</v>
      </c>
      <c r="BB210" s="97"/>
      <c r="BC210" s="101">
        <f t="shared" ref="BC210:BC228" si="209">IF(AY210&gt;0,BE210/AY210,0*1)</f>
        <v>0</v>
      </c>
      <c r="BD210" s="122">
        <f t="shared" ref="BD210:BD228" si="210">IF(AY210&gt;0,BF210/AY210,0*1)</f>
        <v>0</v>
      </c>
      <c r="BE210" s="140">
        <f t="shared" ref="BE210:BE228" si="211">IF(AY210&gt;0,BF210+CJ210,0*1)</f>
        <v>0</v>
      </c>
      <c r="BF210" s="123">
        <f t="shared" ref="BF210:BF228" si="212">IF(AY210&gt;0,(BJ210+BM210+BP210+BV210+BY210+CB210+CE210+CG210),0*1)</f>
        <v>0</v>
      </c>
      <c r="BG210" s="100"/>
      <c r="BH210" s="102">
        <f>IFERROR((BA210*100%)/DP!$AQ$29,(0*1))</f>
        <v>0</v>
      </c>
      <c r="BI210" s="102">
        <f>IF(BH210&gt;0,(DP!$AQ$31),0*1)</f>
        <v>0</v>
      </c>
      <c r="BJ210" s="435">
        <f>BH210*BI210</f>
        <v>0</v>
      </c>
      <c r="BK210" s="475">
        <f>BA210*DP!$AY$44</f>
        <v>0</v>
      </c>
      <c r="BL210" s="475">
        <f>IF(BA210&gt;0,DP!$AZ$44,0*1)</f>
        <v>0</v>
      </c>
      <c r="BM210" s="475">
        <f>BK210*BL210</f>
        <v>0</v>
      </c>
      <c r="BN210" s="102">
        <f>BA210*DP!$AY$45</f>
        <v>0</v>
      </c>
      <c r="BO210" s="102">
        <f>IF(BA210&gt;0,DP!$AZ$45,0*1)</f>
        <v>0</v>
      </c>
      <c r="BP210" s="475">
        <f>BN210*BO210</f>
        <v>0</v>
      </c>
      <c r="BQ210" s="100"/>
      <c r="BR210" s="100"/>
      <c r="BS210" s="100"/>
      <c r="BT210" s="93">
        <f>IF(AW210=DP!$AN$15,AY210*(1+DP!$AQ$15),IF(AW210=DP!$AN$16,AY210*(1+DP!$AQ$16),IF(AW210=DP!$AN$17,AY210*(1+DP!$AQ$17),IF(AW210=DP!$AN$18,AY210*(1+DP!$AQ$18),0*1))))</f>
        <v>0</v>
      </c>
      <c r="BU210" s="102">
        <f>IF(AW210=DP!$AN$22,(DP!$AO$22),IF(AW210=DP!$AN$23,(DP!$AO$23),IF(AW210=DP!$AN$24,(DP!$AO$24),IF(AW210=DP!$AN$25,(DP!$AO$25),((0*1))))))</f>
        <v>0</v>
      </c>
      <c r="BV210" s="93">
        <f>BT210*BU210</f>
        <v>0</v>
      </c>
      <c r="BW210" s="93">
        <f>IF(AW210=DP!$AN$15,AY210*(1+DP!$AQ$15),IF(AW210=DP!$AN$16,AY210*(1+DP!$AQ$16),IF(AW210=DP!$AN$17,AY210*(1+DP!$AQ$17),IF(AW210=DP!$AN$18,AY210*(1+DP!$AQ$18),0*1))))</f>
        <v>0</v>
      </c>
      <c r="BX210" s="102">
        <f>IF(AW210=DP!$AN$22,(DP!$AP$22),IF(AW210=DP!$AN$23,(DP!$AP$23),IF(AW210=DP!$AN$24,(DP!$AP$24),IF(AW210=DP!$AN$25,(DP!$AP$25),((0*1))))))</f>
        <v>0</v>
      </c>
      <c r="BY210" s="93">
        <f>BW210*BX210</f>
        <v>0</v>
      </c>
      <c r="BZ210" s="93">
        <f>IF(AW210=DP!$AN$15,(AY210/DP!$AM$15)*(1+DP!$AQ$15),IF(AW210=DP!$AN$16,(AY210/DP!$AM$16)*(1+DP!$AQ$16),IF(AW210=DP!$AN$17,(AY210/DP!$AM$17)*(1+DP!$AQ$17),IF(AW210=DP!$AN$18,(AY210/DP!$AM$18)*(1+DP!$AQ$18),0*1))))</f>
        <v>0</v>
      </c>
      <c r="CA210" s="102">
        <f>IF(AW210=DP!$AN$22,(DP!$AQ$22),IF(AW210=DP!$AN$23,(DP!$AQ$23),IF(AW210=DP!$AN$24,(DP!$AQ$24),IF(AW210=DP!$AN$25,(DP!$AQ$25),((0*1))))))</f>
        <v>0</v>
      </c>
      <c r="CB210" s="93">
        <f>BZ210*CA210</f>
        <v>0</v>
      </c>
      <c r="CC210" s="93">
        <f>IF(AW210=DP!$AN$15,AY210*(1+DP!$AQ$15),IF(AW210=DP!$AN$16,AY210*(1+DP!$AQ$16),IF(AW210=DP!$AN$17,AY210*(1+DP!$AQ$17),IF(AW210=DP!$AN$18,AY210*(1+DP!$AQ$18),0*1))))</f>
        <v>0</v>
      </c>
      <c r="CD210" s="102">
        <f>IF(AW210=DP!$AN$22,(DP!$AR$22),IF(AW210=DP!$AN$23,(DP!$AR$23),IF(AW210=DP!$AN$24,(DP!$AR$24),IF(AW210=DP!$AN$25,(DP!$AR$25),((0*1))))))</f>
        <v>0</v>
      </c>
      <c r="CE210" s="93">
        <f>CC210*CD210</f>
        <v>0</v>
      </c>
      <c r="CF210" s="100"/>
      <c r="CG210" s="149">
        <f t="shared" ref="CG210:CG228" si="213">IF(AY210&gt;0,CG$230/BA$229*BA210,0*1)</f>
        <v>0</v>
      </c>
      <c r="CH210" s="149">
        <f>DP!$N$35*BA210</f>
        <v>0</v>
      </c>
      <c r="CI210" s="149">
        <f>DP!$O$35*BA210</f>
        <v>0</v>
      </c>
      <c r="CJ210" s="149">
        <f>DP!$P$35*BA210</f>
        <v>0</v>
      </c>
    </row>
    <row r="211" spans="2:88" x14ac:dyDescent="0.35">
      <c r="B211" s="480">
        <f>DP!S19</f>
        <v>0</v>
      </c>
      <c r="C211" s="480" t="str">
        <f>DP!T19</f>
        <v>PALMITO RODAJA 800</v>
      </c>
      <c r="D211" s="480">
        <f>DP!U19</f>
        <v>800</v>
      </c>
      <c r="E211" s="480">
        <f>DP!V19</f>
        <v>500</v>
      </c>
      <c r="F211" s="412">
        <f t="shared" ref="F211:F228" si="214">IFERROR((H211*1000)/E211,0*1)</f>
        <v>0</v>
      </c>
      <c r="G211" s="470">
        <f>DP!AC19</f>
        <v>0</v>
      </c>
      <c r="H211" s="98">
        <f t="shared" ref="H211:H228" si="215">$D$205*G211</f>
        <v>0</v>
      </c>
      <c r="I211" s="97"/>
      <c r="J211" s="102">
        <f t="shared" si="204"/>
        <v>0</v>
      </c>
      <c r="K211" s="98">
        <f t="shared" si="205"/>
        <v>0</v>
      </c>
      <c r="L211" s="93">
        <f t="shared" si="206"/>
        <v>0</v>
      </c>
      <c r="M211" s="99">
        <f t="shared" si="207"/>
        <v>0</v>
      </c>
      <c r="N211" s="100"/>
      <c r="O211" s="102">
        <f>($E211/DP!$O$29)*F211</f>
        <v>0</v>
      </c>
      <c r="P211" s="102">
        <f>IF(O211&gt;0,(DP!$O$31),0*1)</f>
        <v>0</v>
      </c>
      <c r="Q211" s="102">
        <f t="shared" ref="Q211:Q228" si="216">O211*P211</f>
        <v>0</v>
      </c>
      <c r="R211" s="102">
        <f t="shared" ref="R211:R228" si="217">IF(O211&gt;0,S211/O211,0*1)</f>
        <v>0</v>
      </c>
      <c r="S211" s="418">
        <f t="shared" ref="S211:S228" si="218">IFERROR(IF(B211=1,(S$232+70%*S$233)/(SUMIF($B$210:$B$228,1,$H$210:$H$228))*H211,(30%*S$233)/(SUMIF($B$210:$B$228,0,$H$210:$H$228))*H211),0*1)</f>
        <v>0</v>
      </c>
      <c r="T211" s="475">
        <f>H211*DP!$W$44</f>
        <v>0</v>
      </c>
      <c r="U211" s="475">
        <f>IF(H211&gt;0,DP!$X$44,0*1)</f>
        <v>0</v>
      </c>
      <c r="V211" s="475">
        <f t="shared" ref="V211:V228" si="219">T211*U211</f>
        <v>0</v>
      </c>
      <c r="W211" s="475">
        <f>H211*DP!$W$45</f>
        <v>0</v>
      </c>
      <c r="X211" s="475">
        <f>IF(H211&gt;0,DP!$X$45,0*1)</f>
        <v>0</v>
      </c>
      <c r="Y211" s="475">
        <f t="shared" ref="Y211:Y228" si="220">W211*X211</f>
        <v>0</v>
      </c>
      <c r="Z211" s="100"/>
      <c r="AA211" s="93">
        <f>IF(D211=DP!$L$15,F211*(1+DP!$O$15),IF(D211=DP!$L$16,F211*(1+DP!$O$16),IF(D211=DP!$L$17,F211*(1+DP!$O$17),IF(D211=DP!$L$18,F211*(1+DP!$O$18),0*1))))</f>
        <v>0</v>
      </c>
      <c r="AB211" s="102">
        <f>IF(D211=DP!$L$22,(DP!$M$22),IF(D211=DP!$L$23,(DP!$M$23),IF(D211=DP!$L$24,(DP!$M$24),IF(D211=DP!$L$25,(DP!$M$25),((0*1))))))</f>
        <v>0</v>
      </c>
      <c r="AC211" s="93">
        <f t="shared" ref="AC211:AC228" si="221">AA211*AB211</f>
        <v>0</v>
      </c>
      <c r="AD211" s="93">
        <f>IF(D211=DP!$L$15,F211*(1+DP!$O$15),IF(D211=DP!$L$16,F211*(1+DP!$O$16),IF(D211=DP!$L$17,F211*(1+DP!$O$17),IF(D211=DP!$L$18,F211*(1+DP!$O$18),0*1))))</f>
        <v>0</v>
      </c>
      <c r="AE211" s="102">
        <f>IF(D211=DP!$L$22,(DP!$N$22),IF(D211=DP!$L$23,(DP!$N$23),IF(D211=DP!$L$24,(DP!$N$24),IF(D211=DP!$L$25,(DP!$N$25),((0*1))))))</f>
        <v>0</v>
      </c>
      <c r="AF211" s="93">
        <f t="shared" ref="AF211:AF228" si="222">AD211*AE211</f>
        <v>0</v>
      </c>
      <c r="AG211" s="93">
        <f>IF(D211=DP!$L$15,(F211/DP!$K$15)*(1+DP!$O$15),IF(D211=DP!$L$16,(F211/DP!$K$16)*(1+DP!$O$16),IF(D211=DP!$L$17,(F211/DP!$K$17)*(1+DP!$O$17),IF(D211=DP!$L$18,(F211/DP!$K$18)*(1+DP!$O$18),0*1))))</f>
        <v>0</v>
      </c>
      <c r="AH211" s="102">
        <f>IF(D211=DP!$L$22,(DP!$O$22),IF(D211=DP!$L$23,(DP!$O$23),IF(D211=DP!$L$24,(DP!$O$24),IF(D211=DP!$L$25,(DP!$O$25),((0*1))))))</f>
        <v>0</v>
      </c>
      <c r="AI211" s="93">
        <f t="shared" ref="AI211:AI228" si="223">AG211*AH211</f>
        <v>0</v>
      </c>
      <c r="AJ211" s="93">
        <f>IF(D211=DP!$L$15,F211*(1+DP!$O$15),IF(D211=DP!$L$16,F211*(1+DP!$O$16),IF(D211=DP!$L$17,F211*(1+DP!$O$17),IF(D211=DP!$L$18,F211*(1+DP!$O$18),0*1))))</f>
        <v>0</v>
      </c>
      <c r="AK211" s="102">
        <f>IF(D211=DP!$L$22,(DP!$P$22),IF(D211=DP!$L$23,(DP!$P$23),IF(D211=DP!$L$24,(DP!$P$24),IF(D211=DP!$L$25,(DP!$P$25),((0*1))))))</f>
        <v>0</v>
      </c>
      <c r="AL211" s="93">
        <f t="shared" ref="AL211:AL228" si="224">AJ211*AK211</f>
        <v>0</v>
      </c>
      <c r="AM211" s="100"/>
      <c r="AN211" s="149">
        <f t="shared" si="208"/>
        <v>0</v>
      </c>
      <c r="AO211" s="149">
        <f>DP!$N$35*H211</f>
        <v>0</v>
      </c>
      <c r="AP211" s="149">
        <f>DP!$O$35*H211</f>
        <v>0</v>
      </c>
      <c r="AQ211" s="149">
        <f>DP!$P$35*H211</f>
        <v>0</v>
      </c>
      <c r="AV211" s="412" t="str">
        <f>DP!AV19</f>
        <v>PIÑA TROZO 850</v>
      </c>
      <c r="AW211" s="412">
        <f>DP!AW19</f>
        <v>850</v>
      </c>
      <c r="AX211" s="412">
        <f>DP!AX19</f>
        <v>440</v>
      </c>
      <c r="AY211" s="412">
        <f t="shared" ref="AY211:AY228" si="225">IFERROR((BA211*1000)/AX211,0*1)</f>
        <v>0</v>
      </c>
      <c r="AZ211" s="470">
        <f>DP!BE19</f>
        <v>0</v>
      </c>
      <c r="BA211" s="98">
        <f t="shared" ref="BA211:BA228" si="226">$AW$205*AZ211</f>
        <v>0</v>
      </c>
      <c r="BB211" s="97"/>
      <c r="BC211" s="102">
        <f t="shared" si="209"/>
        <v>0</v>
      </c>
      <c r="BD211" s="98">
        <f t="shared" si="210"/>
        <v>0</v>
      </c>
      <c r="BE211" s="93">
        <f t="shared" si="211"/>
        <v>0</v>
      </c>
      <c r="BF211" s="99">
        <f t="shared" si="212"/>
        <v>0</v>
      </c>
      <c r="BG211" s="100"/>
      <c r="BH211" s="102">
        <f>IFERROR((BA211*100%)/DP!$AQ$29,(0*1))</f>
        <v>0</v>
      </c>
      <c r="BI211" s="102">
        <f>IF(BH211&gt;0,(DP!$AQ$31),0*1)</f>
        <v>0</v>
      </c>
      <c r="BJ211" s="435">
        <f t="shared" ref="BJ211:BJ225" si="227">BH211*BI211</f>
        <v>0</v>
      </c>
      <c r="BK211" s="475">
        <f>BA211*DP!$AY$44</f>
        <v>0</v>
      </c>
      <c r="BL211" s="475">
        <f>IF(BA211&gt;0,DP!$AZ$44,0*1)</f>
        <v>0</v>
      </c>
      <c r="BM211" s="475">
        <f t="shared" ref="BM211:BM228" si="228">BK211*BL211</f>
        <v>0</v>
      </c>
      <c r="BN211" s="102">
        <f>BA211*DP!$AY$45</f>
        <v>0</v>
      </c>
      <c r="BO211" s="102">
        <f>IF(BA211&gt;0,DP!$AZ$45,0*1)</f>
        <v>0</v>
      </c>
      <c r="BP211" s="475">
        <f t="shared" ref="BP211:BP228" si="229">BN211*BO211</f>
        <v>0</v>
      </c>
      <c r="BQ211" s="100"/>
      <c r="BR211" s="100"/>
      <c r="BS211" s="100"/>
      <c r="BT211" s="93">
        <f>IF(AW211=DP!$AN$15,AY211*(1+DP!$AQ$15),IF(AW211=DP!$AN$16,AY211*(1+DP!$AQ$16),IF(AW211=DP!$AN$17,AY211*(1+DP!$AQ$17),IF(AW211=DP!$AN$18,AY211*(1+DP!$AQ$18),0*1))))</f>
        <v>0</v>
      </c>
      <c r="BU211" s="102">
        <f>IF(AW211=DP!$AN$22,(DP!$AO$22),IF(AW211=DP!$AN$23,(DP!$AO$23),IF(AW211=DP!$AN$24,(DP!$AO$24),IF(AW211=DP!$AN$25,(DP!$AO$25),((0*1))))))</f>
        <v>0</v>
      </c>
      <c r="BV211" s="93">
        <f t="shared" ref="BV211:BV228" si="230">BT211*BU211</f>
        <v>0</v>
      </c>
      <c r="BW211" s="93">
        <f>IF(AW211=DP!$AN$15,AY211*(1+DP!$AQ$15),IF(AW211=DP!$AN$16,AY211*(1+DP!$AQ$16),IF(AW211=DP!$AN$17,AY211*(1+DP!$AQ$17),IF(AW211=DP!$AN$18,AY211*(1+DP!$AQ$18),0*1))))</f>
        <v>0</v>
      </c>
      <c r="BX211" s="102">
        <f>IF(AW211=DP!$AN$22,(DP!$AP$22),IF(AW211=DP!$AN$23,(DP!$AP$23),IF(AW211=DP!$AN$24,(DP!$AP$24),IF(AW211=DP!$AN$25,(DP!$AP$25),((0*1))))))</f>
        <v>0</v>
      </c>
      <c r="BY211" s="93">
        <f t="shared" ref="BY211:BY228" si="231">BW211*BX211</f>
        <v>0</v>
      </c>
      <c r="BZ211" s="93">
        <f>IF(AW211=DP!$AN$15,(AY211/DP!$AM$15)*(1+DP!$AQ$15),IF(AW211=DP!$AN$16,(AY211/DP!$AM$16)*(1+DP!$AQ$16),IF(AW211=DP!$AN$17,(AY211/DP!$AM$17)*(1+DP!$AQ$17),IF(AW211=DP!$AN$18,(AY211/DP!$AM$18)*(1+DP!$AQ$18),0*1))))</f>
        <v>0</v>
      </c>
      <c r="CA211" s="102">
        <f>IF(AW211=DP!$AN$22,(DP!$AQ$22),IF(AW211=DP!$AN$23,(DP!$AQ$23),IF(AW211=DP!$AN$24,(DP!$AQ$24),IF(AW211=DP!$AN$25,(DP!$AQ$25),((0*1))))))</f>
        <v>0</v>
      </c>
      <c r="CB211" s="93">
        <f t="shared" ref="CB211:CB228" si="232">BZ211*CA211</f>
        <v>0</v>
      </c>
      <c r="CC211" s="93">
        <f>IF(AW211=DP!$AN$15,AY211*(1+DP!$AQ$15),IF(AW211=DP!$AN$16,AY211*(1+DP!$AQ$16),IF(AW211=DP!$AN$17,AY211*(1+DP!$AQ$17),IF(AW211=DP!$AN$18,AY211*(1+DP!$AQ$18),0*1))))</f>
        <v>0</v>
      </c>
      <c r="CD211" s="102">
        <f>IF(AW211=DP!$AN$22,(DP!$AR$22),IF(AW211=DP!$AN$23,(DP!$AR$23),IF(AW211=DP!$AN$24,(DP!$AR$24),IF(AW211=DP!$AN$25,(DP!$AR$25),((0*1))))))</f>
        <v>0</v>
      </c>
      <c r="CE211" s="93">
        <f t="shared" ref="CE211:CE228" si="233">CC211*CD211</f>
        <v>0</v>
      </c>
      <c r="CF211" s="100"/>
      <c r="CG211" s="149">
        <f t="shared" si="213"/>
        <v>0</v>
      </c>
      <c r="CH211" s="149">
        <f>DP!$N$35*BA211</f>
        <v>0</v>
      </c>
      <c r="CI211" s="149">
        <f>DP!$O$35*BA211</f>
        <v>0</v>
      </c>
      <c r="CJ211" s="149">
        <f>DP!$P$35*BA211</f>
        <v>0</v>
      </c>
    </row>
    <row r="212" spans="2:88" x14ac:dyDescent="0.35">
      <c r="B212" s="480">
        <f>DP!S20</f>
        <v>0</v>
      </c>
      <c r="C212" s="480" t="str">
        <f>DP!T20</f>
        <v>PALMITO TROZO 800</v>
      </c>
      <c r="D212" s="480">
        <f>DP!U20</f>
        <v>800</v>
      </c>
      <c r="E212" s="480">
        <f>DP!V20</f>
        <v>500</v>
      </c>
      <c r="F212" s="412">
        <f t="shared" si="214"/>
        <v>0</v>
      </c>
      <c r="G212" s="470">
        <f>DP!AC20</f>
        <v>0</v>
      </c>
      <c r="H212" s="98">
        <f t="shared" si="215"/>
        <v>0</v>
      </c>
      <c r="I212" s="97"/>
      <c r="J212" s="102">
        <f t="shared" si="204"/>
        <v>0</v>
      </c>
      <c r="K212" s="98">
        <f t="shared" si="205"/>
        <v>0</v>
      </c>
      <c r="L212" s="93">
        <f t="shared" si="206"/>
        <v>0</v>
      </c>
      <c r="M212" s="99">
        <f t="shared" si="207"/>
        <v>0</v>
      </c>
      <c r="N212" s="100"/>
      <c r="O212" s="102">
        <f>($E212/DP!$O$29)*F212</f>
        <v>0</v>
      </c>
      <c r="P212" s="102">
        <f>IF(O212&gt;0,(DP!$O$31),0*1)</f>
        <v>0</v>
      </c>
      <c r="Q212" s="102">
        <f t="shared" si="216"/>
        <v>0</v>
      </c>
      <c r="R212" s="102">
        <f t="shared" si="217"/>
        <v>0</v>
      </c>
      <c r="S212" s="418">
        <f t="shared" si="218"/>
        <v>0</v>
      </c>
      <c r="T212" s="475">
        <f>H212*DP!$W$44</f>
        <v>0</v>
      </c>
      <c r="U212" s="475">
        <f>IF(H212&gt;0,DP!$X$44,0*1)</f>
        <v>0</v>
      </c>
      <c r="V212" s="475">
        <f t="shared" si="219"/>
        <v>0</v>
      </c>
      <c r="W212" s="475">
        <f>H212*DP!$W$45</f>
        <v>0</v>
      </c>
      <c r="X212" s="475">
        <f>IF(H212&gt;0,DP!$X$45,0*1)</f>
        <v>0</v>
      </c>
      <c r="Y212" s="475">
        <f t="shared" si="220"/>
        <v>0</v>
      </c>
      <c r="Z212" s="100"/>
      <c r="AA212" s="93">
        <f>IF(D212=DP!$L$15,F212*(1+DP!$O$15),IF(D212=DP!$L$16,F212*(1+DP!$O$16),IF(D212=DP!$L$17,F212*(1+DP!$O$17),IF(D212=DP!$L$18,F212*(1+DP!$O$18),0*1))))</f>
        <v>0</v>
      </c>
      <c r="AB212" s="102">
        <f>IF(D212=DP!$L$22,(DP!$M$22),IF(D212=DP!$L$23,(DP!$M$23),IF(D212=DP!$L$24,(DP!$M$24),IF(D212=DP!$L$25,(DP!$M$25),((0*1))))))</f>
        <v>0</v>
      </c>
      <c r="AC212" s="93">
        <f t="shared" si="221"/>
        <v>0</v>
      </c>
      <c r="AD212" s="93">
        <f>IF(D212=DP!$L$15,F212*(1+DP!$O$15),IF(D212=DP!$L$16,F212*(1+DP!$O$16),IF(D212=DP!$L$17,F212*(1+DP!$O$17),IF(D212=DP!$L$18,F212*(1+DP!$O$18),0*1))))</f>
        <v>0</v>
      </c>
      <c r="AE212" s="102">
        <f>IF(D212=DP!$L$22,(DP!$N$22),IF(D212=DP!$L$23,(DP!$N$23),IF(D212=DP!$L$24,(DP!$N$24),IF(D212=DP!$L$25,(DP!$N$25),((0*1))))))</f>
        <v>0</v>
      </c>
      <c r="AF212" s="93">
        <f t="shared" si="222"/>
        <v>0</v>
      </c>
      <c r="AG212" s="93">
        <f>IF(D212=DP!$L$15,(F212/DP!$K$15)*(1+DP!$O$15),IF(D212=DP!$L$16,(F212/DP!$K$16)*(1+DP!$O$16),IF(D212=DP!$L$17,(F212/DP!$K$17)*(1+DP!$O$17),IF(D212=DP!$L$18,(F212/DP!$K$18)*(1+DP!$O$18),0*1))))</f>
        <v>0</v>
      </c>
      <c r="AH212" s="102">
        <f>IF(D212=DP!$L$22,(DP!$O$22),IF(D212=DP!$L$23,(DP!$O$23),IF(D212=DP!$L$24,(DP!$O$24),IF(D212=DP!$L$25,(DP!$O$25),((0*1))))))</f>
        <v>0</v>
      </c>
      <c r="AI212" s="93">
        <f t="shared" si="223"/>
        <v>0</v>
      </c>
      <c r="AJ212" s="93">
        <f>IF(D212=DP!$L$15,F212*(1+DP!$O$15),IF(D212=DP!$L$16,F212*(1+DP!$O$16),IF(D212=DP!$L$17,F212*(1+DP!$O$17),IF(D212=DP!$L$18,F212*(1+DP!$O$18),0*1))))</f>
        <v>0</v>
      </c>
      <c r="AK212" s="102">
        <f>IF(D212=DP!$L$22,(DP!$P$22),IF(D212=DP!$L$23,(DP!$P$23),IF(D212=DP!$L$24,(DP!$P$24),IF(D212=DP!$L$25,(DP!$P$25),((0*1))))))</f>
        <v>0</v>
      </c>
      <c r="AL212" s="93">
        <f t="shared" si="224"/>
        <v>0</v>
      </c>
      <c r="AM212" s="100"/>
      <c r="AN212" s="149">
        <f t="shared" si="208"/>
        <v>0</v>
      </c>
      <c r="AO212" s="149">
        <f>DP!$N$35*H212</f>
        <v>0</v>
      </c>
      <c r="AP212" s="149">
        <f>DP!$O$35*H212</f>
        <v>0</v>
      </c>
      <c r="AQ212" s="149">
        <f>DP!$P$35*H212</f>
        <v>0</v>
      </c>
      <c r="AV212" s="412" t="str">
        <f>DP!AV20</f>
        <v>PIÑA TROZO A-10</v>
      </c>
      <c r="AW212" s="412">
        <f>DP!AW20</f>
        <v>2920</v>
      </c>
      <c r="AX212" s="412">
        <f>DP!AX20</f>
        <v>1825</v>
      </c>
      <c r="AY212" s="412">
        <f t="shared" si="225"/>
        <v>0</v>
      </c>
      <c r="AZ212" s="470">
        <f>DP!BE20</f>
        <v>0</v>
      </c>
      <c r="BA212" s="98">
        <f t="shared" si="226"/>
        <v>0</v>
      </c>
      <c r="BB212" s="97"/>
      <c r="BC212" s="102">
        <f t="shared" si="209"/>
        <v>0</v>
      </c>
      <c r="BD212" s="98">
        <f t="shared" si="210"/>
        <v>0</v>
      </c>
      <c r="BE212" s="93">
        <f t="shared" si="211"/>
        <v>0</v>
      </c>
      <c r="BF212" s="99">
        <f t="shared" si="212"/>
        <v>0</v>
      </c>
      <c r="BG212" s="100"/>
      <c r="BH212" s="102">
        <f>IFERROR((BA212*100%)/DP!$AQ$29,(0*1))</f>
        <v>0</v>
      </c>
      <c r="BI212" s="102">
        <f>IF(BH212&gt;0,(DP!$AQ$31),0*1)</f>
        <v>0</v>
      </c>
      <c r="BJ212" s="435">
        <f t="shared" si="227"/>
        <v>0</v>
      </c>
      <c r="BK212" s="475">
        <f>BA212*DP!$AY$44</f>
        <v>0</v>
      </c>
      <c r="BL212" s="475">
        <f>IF(BA212&gt;0,DP!$AZ$44,0*1)</f>
        <v>0</v>
      </c>
      <c r="BM212" s="475">
        <f t="shared" si="228"/>
        <v>0</v>
      </c>
      <c r="BN212" s="102">
        <f>BA212*DP!$AY$45</f>
        <v>0</v>
      </c>
      <c r="BO212" s="102">
        <f>IF(BA212&gt;0,DP!$AZ$45,0*1)</f>
        <v>0</v>
      </c>
      <c r="BP212" s="475">
        <f t="shared" si="229"/>
        <v>0</v>
      </c>
      <c r="BQ212" s="100"/>
      <c r="BR212" s="100"/>
      <c r="BS212" s="100"/>
      <c r="BT212" s="93">
        <f>IF(AW212=DP!$AN$15,AY212*(1+DP!$AQ$15),IF(AW212=DP!$AN$16,AY212*(1+DP!$AQ$16),IF(AW212=DP!$AN$17,AY212*(1+DP!$AQ$17),IF(AW212=DP!$AN$18,AY212*(1+DP!$AQ$18),0*1))))</f>
        <v>0</v>
      </c>
      <c r="BU212" s="102">
        <f>IF(AW212=DP!$AN$22,(DP!$AO$22),IF(AW212=DP!$AN$23,(DP!$AO$23),IF(AW212=DP!$AN$24,(DP!$AO$24),IF(AW212=DP!$AN$25,(DP!$AO$25),((0*1))))))</f>
        <v>0</v>
      </c>
      <c r="BV212" s="93">
        <f t="shared" si="230"/>
        <v>0</v>
      </c>
      <c r="BW212" s="93">
        <f>IF(AW212=DP!$AN$15,AY212*(1+DP!$AQ$15),IF(AW212=DP!$AN$16,AY212*(1+DP!$AQ$16),IF(AW212=DP!$AN$17,AY212*(1+DP!$AQ$17),IF(AW212=DP!$AN$18,AY212*(1+DP!$AQ$18),0*1))))</f>
        <v>0</v>
      </c>
      <c r="BX212" s="102">
        <f>IF(AW212=DP!$AN$22,(DP!$AP$22),IF(AW212=DP!$AN$23,(DP!$AP$23),IF(AW212=DP!$AN$24,(DP!$AP$24),IF(AW212=DP!$AN$25,(DP!$AP$25),((0*1))))))</f>
        <v>0</v>
      </c>
      <c r="BY212" s="93">
        <f t="shared" si="231"/>
        <v>0</v>
      </c>
      <c r="BZ212" s="93">
        <f>IF(AW212=DP!$AN$15,(AY212/DP!$AM$15)*(1+DP!$AQ$15),IF(AW212=DP!$AN$16,(AY212/DP!$AM$16)*(1+DP!$AQ$16),IF(AW212=DP!$AN$17,(AY212/DP!$AM$17)*(1+DP!$AQ$17),IF(AW212=DP!$AN$18,(AY212/DP!$AM$18)*(1+DP!$AQ$18),0*1))))</f>
        <v>0</v>
      </c>
      <c r="CA212" s="102">
        <f>IF(AW212=DP!$AN$22,(DP!$AQ$22),IF(AW212=DP!$AN$23,(DP!$AQ$23),IF(AW212=DP!$AN$24,(DP!$AQ$24),IF(AW212=DP!$AN$25,(DP!$AQ$25),((0*1))))))</f>
        <v>0</v>
      </c>
      <c r="CB212" s="93">
        <f t="shared" si="232"/>
        <v>0</v>
      </c>
      <c r="CC212" s="93">
        <f>IF(AW212=DP!$AN$15,AY212*(1+DP!$AQ$15),IF(AW212=DP!$AN$16,AY212*(1+DP!$AQ$16),IF(AW212=DP!$AN$17,AY212*(1+DP!$AQ$17),IF(AW212=DP!$AN$18,AY212*(1+DP!$AQ$18),0*1))))</f>
        <v>0</v>
      </c>
      <c r="CD212" s="102">
        <f>IF(AW212=DP!$AN$22,(DP!$AR$22),IF(AW212=DP!$AN$23,(DP!$AR$23),IF(AW212=DP!$AN$24,(DP!$AR$24),IF(AW212=DP!$AN$25,(DP!$AR$25),((0*1))))))</f>
        <v>0</v>
      </c>
      <c r="CE212" s="93">
        <f t="shared" si="233"/>
        <v>0</v>
      </c>
      <c r="CF212" s="100"/>
      <c r="CG212" s="149">
        <f t="shared" si="213"/>
        <v>0</v>
      </c>
      <c r="CH212" s="149">
        <f>DP!$N$35*BA212</f>
        <v>0</v>
      </c>
      <c r="CI212" s="149">
        <f>DP!$O$35*BA212</f>
        <v>0</v>
      </c>
      <c r="CJ212" s="149">
        <f>DP!$P$35*BA212</f>
        <v>0</v>
      </c>
    </row>
    <row r="213" spans="2:88" x14ac:dyDescent="0.35">
      <c r="B213" s="480">
        <f>DP!S21</f>
        <v>1</v>
      </c>
      <c r="C213" s="480" t="str">
        <f>DP!T21</f>
        <v>PALMITO ENTERO 400</v>
      </c>
      <c r="D213" s="480">
        <f>DP!U21</f>
        <v>400</v>
      </c>
      <c r="E213" s="480">
        <f>DP!V21</f>
        <v>220</v>
      </c>
      <c r="F213" s="412">
        <f t="shared" si="214"/>
        <v>0</v>
      </c>
      <c r="G213" s="470">
        <f>DP!AC21</f>
        <v>0</v>
      </c>
      <c r="H213" s="98">
        <f t="shared" si="215"/>
        <v>0</v>
      </c>
      <c r="I213" s="97"/>
      <c r="J213" s="102">
        <f t="shared" si="204"/>
        <v>0</v>
      </c>
      <c r="K213" s="98">
        <f t="shared" si="205"/>
        <v>0</v>
      </c>
      <c r="L213" s="93">
        <f t="shared" si="206"/>
        <v>0</v>
      </c>
      <c r="M213" s="99">
        <f t="shared" si="207"/>
        <v>0</v>
      </c>
      <c r="N213" s="100"/>
      <c r="O213" s="102">
        <f>($E213/DP!$O$29)*F213</f>
        <v>0</v>
      </c>
      <c r="P213" s="102">
        <f>IF(O213&gt;0,(DP!$O$31),0*1)</f>
        <v>0</v>
      </c>
      <c r="Q213" s="102">
        <f t="shared" si="216"/>
        <v>0</v>
      </c>
      <c r="R213" s="102">
        <f t="shared" si="217"/>
        <v>0</v>
      </c>
      <c r="S213" s="418">
        <f t="shared" si="218"/>
        <v>0</v>
      </c>
      <c r="T213" s="475">
        <f>H213*DP!$W$44</f>
        <v>0</v>
      </c>
      <c r="U213" s="475">
        <f>IF(H213&gt;0,DP!$X$44,0*1)</f>
        <v>0</v>
      </c>
      <c r="V213" s="475">
        <f t="shared" si="219"/>
        <v>0</v>
      </c>
      <c r="W213" s="475">
        <f>H213*DP!$W$45</f>
        <v>0</v>
      </c>
      <c r="X213" s="475">
        <f>IF(H213&gt;0,DP!$X$45,0*1)</f>
        <v>0</v>
      </c>
      <c r="Y213" s="475">
        <f t="shared" si="220"/>
        <v>0</v>
      </c>
      <c r="Z213" s="100"/>
      <c r="AA213" s="93">
        <f>IF(D213=DP!$L$15,F213*(1+DP!$O$15),IF(D213=DP!$L$16,F213*(1+DP!$O$16),IF(D213=DP!$L$17,F213*(1+DP!$O$17),IF(D213=DP!$L$18,F213*(1+DP!$O$18),0*1))))</f>
        <v>0</v>
      </c>
      <c r="AB213" s="102">
        <f>IF(D213=DP!$L$22,(DP!$M$22),IF(D213=DP!$L$23,(DP!$M$23),IF(D213=DP!$L$24,(DP!$M$24),IF(D213=DP!$L$25,(DP!$M$25),((0*1))))))</f>
        <v>0</v>
      </c>
      <c r="AC213" s="93">
        <f t="shared" si="221"/>
        <v>0</v>
      </c>
      <c r="AD213" s="93">
        <f>IF(D213=DP!$L$15,F213*(1+DP!$O$15),IF(D213=DP!$L$16,F213*(1+DP!$O$16),IF(D213=DP!$L$17,F213*(1+DP!$O$17),IF(D213=DP!$L$18,F213*(1+DP!$O$18),0*1))))</f>
        <v>0</v>
      </c>
      <c r="AE213" s="102">
        <f>IF(D213=DP!$L$22,(DP!$N$22),IF(D213=DP!$L$23,(DP!$N$23),IF(D213=DP!$L$24,(DP!$N$24),IF(D213=DP!$L$25,(DP!$N$25),((0*1))))))</f>
        <v>0</v>
      </c>
      <c r="AF213" s="93">
        <f t="shared" si="222"/>
        <v>0</v>
      </c>
      <c r="AG213" s="93">
        <f>IF(D213=DP!$L$15,(F213/DP!$K$15)*(1+DP!$O$15),IF(D213=DP!$L$16,(F213/DP!$K$16)*(1+DP!$O$16),IF(D213=DP!$L$17,(F213/DP!$K$17)*(1+DP!$O$17),IF(D213=DP!$L$18,(F213/DP!$K$18)*(1+DP!$O$18),0*1))))</f>
        <v>0</v>
      </c>
      <c r="AH213" s="102">
        <f>IF(D213=DP!$L$22,(DP!$O$22),IF(D213=DP!$L$23,(DP!$O$23),IF(D213=DP!$L$24,(DP!$O$24),IF(D213=DP!$L$25,(DP!$O$25),((0*1))))))</f>
        <v>0</v>
      </c>
      <c r="AI213" s="93">
        <f t="shared" si="223"/>
        <v>0</v>
      </c>
      <c r="AJ213" s="93">
        <f>IF(D213=DP!$L$15,F213*(1+DP!$O$15),IF(D213=DP!$L$16,F213*(1+DP!$O$16),IF(D213=DP!$L$17,F213*(1+DP!$O$17),IF(D213=DP!$L$18,F213*(1+DP!$O$18),0*1))))</f>
        <v>0</v>
      </c>
      <c r="AK213" s="102">
        <f>IF(D213=DP!$L$22,(DP!$P$22),IF(D213=DP!$L$23,(DP!$P$23),IF(D213=DP!$L$24,(DP!$P$24),IF(D213=DP!$L$25,(DP!$P$25),((0*1))))))</f>
        <v>0</v>
      </c>
      <c r="AL213" s="93">
        <f t="shared" si="224"/>
        <v>0</v>
      </c>
      <c r="AM213" s="100"/>
      <c r="AN213" s="149">
        <f t="shared" si="208"/>
        <v>0</v>
      </c>
      <c r="AO213" s="149">
        <f>DP!$N$35*H213</f>
        <v>0</v>
      </c>
      <c r="AP213" s="149">
        <f>DP!$O$35*H213</f>
        <v>0</v>
      </c>
      <c r="AQ213" s="149">
        <f>DP!$P$35*H213</f>
        <v>0</v>
      </c>
      <c r="AV213" s="412" t="str">
        <f>DP!AV21</f>
        <v>PIÑA RODAJA A-10</v>
      </c>
      <c r="AW213" s="412">
        <f>DP!AW21</f>
        <v>2920</v>
      </c>
      <c r="AX213" s="412">
        <f>DP!AX21</f>
        <v>1825</v>
      </c>
      <c r="AY213" s="412">
        <f t="shared" si="225"/>
        <v>0</v>
      </c>
      <c r="AZ213" s="470">
        <f>DP!BE21</f>
        <v>0</v>
      </c>
      <c r="BA213" s="98">
        <f t="shared" si="226"/>
        <v>0</v>
      </c>
      <c r="BB213" s="97"/>
      <c r="BC213" s="102">
        <f t="shared" si="209"/>
        <v>0</v>
      </c>
      <c r="BD213" s="98">
        <f t="shared" si="210"/>
        <v>0</v>
      </c>
      <c r="BE213" s="93">
        <f t="shared" si="211"/>
        <v>0</v>
      </c>
      <c r="BF213" s="99">
        <f t="shared" si="212"/>
        <v>0</v>
      </c>
      <c r="BG213" s="100"/>
      <c r="BH213" s="102">
        <f>IFERROR((BA213*100%)/DP!$AQ$29,(0*1))</f>
        <v>0</v>
      </c>
      <c r="BI213" s="102">
        <f>IF(BH213&gt;0,(DP!$AQ$31),0*1)</f>
        <v>0</v>
      </c>
      <c r="BJ213" s="435">
        <f t="shared" si="227"/>
        <v>0</v>
      </c>
      <c r="BK213" s="475">
        <f>BA213*DP!$AY$44</f>
        <v>0</v>
      </c>
      <c r="BL213" s="475">
        <f>IF(BA213&gt;0,DP!$AZ$44,0*1)</f>
        <v>0</v>
      </c>
      <c r="BM213" s="475">
        <f t="shared" si="228"/>
        <v>0</v>
      </c>
      <c r="BN213" s="102">
        <f>BA213*DP!$AY$45</f>
        <v>0</v>
      </c>
      <c r="BO213" s="102">
        <f>IF(BA213&gt;0,DP!$AZ$45,0*1)</f>
        <v>0</v>
      </c>
      <c r="BP213" s="475">
        <f t="shared" si="229"/>
        <v>0</v>
      </c>
      <c r="BQ213" s="100"/>
      <c r="BR213" s="100"/>
      <c r="BS213" s="100"/>
      <c r="BT213" s="93">
        <f>IF(AW213=DP!$AN$15,AY213*(1+DP!$AQ$15),IF(AW213=DP!$AN$16,AY213*(1+DP!$AQ$16),IF(AW213=DP!$AN$17,AY213*(1+DP!$AQ$17),IF(AW213=DP!$AN$18,AY213*(1+DP!$AQ$18),0*1))))</f>
        <v>0</v>
      </c>
      <c r="BU213" s="102">
        <f>IF(AW213=DP!$AN$22,(DP!$AO$22),IF(AW213=DP!$AN$23,(DP!$AO$23),IF(AW213=DP!$AN$24,(DP!$AO$24),IF(AW213=DP!$AN$25,(DP!$AO$25),((0*1))))))</f>
        <v>0</v>
      </c>
      <c r="BV213" s="93">
        <f t="shared" si="230"/>
        <v>0</v>
      </c>
      <c r="BW213" s="93">
        <f>IF(AW213=DP!$AN$15,AY213*(1+DP!$AQ$15),IF(AW213=DP!$AN$16,AY213*(1+DP!$AQ$16),IF(AW213=DP!$AN$17,AY213*(1+DP!$AQ$17),IF(AW213=DP!$AN$18,AY213*(1+DP!$AQ$18),0*1))))</f>
        <v>0</v>
      </c>
      <c r="BX213" s="102">
        <f>IF(AW213=DP!$AN$22,(DP!$AP$22),IF(AW213=DP!$AN$23,(DP!$AP$23),IF(AW213=DP!$AN$24,(DP!$AP$24),IF(AW213=DP!$AN$25,(DP!$AP$25),((0*1))))))</f>
        <v>0</v>
      </c>
      <c r="BY213" s="93">
        <f t="shared" si="231"/>
        <v>0</v>
      </c>
      <c r="BZ213" s="93">
        <f>IF(AW213=DP!$AN$15,(AY213/DP!$AM$15)*(1+DP!$AQ$15),IF(AW213=DP!$AN$16,(AY213/DP!$AM$16)*(1+DP!$AQ$16),IF(AW213=DP!$AN$17,(AY213/DP!$AM$17)*(1+DP!$AQ$17),IF(AW213=DP!$AN$18,(AY213/DP!$AM$18)*(1+DP!$AQ$18),0*1))))</f>
        <v>0</v>
      </c>
      <c r="CA213" s="102">
        <f>IF(AW213=DP!$AN$22,(DP!$AQ$22),IF(AW213=DP!$AN$23,(DP!$AQ$23),IF(AW213=DP!$AN$24,(DP!$AQ$24),IF(AW213=DP!$AN$25,(DP!$AQ$25),((0*1))))))</f>
        <v>0</v>
      </c>
      <c r="CB213" s="93">
        <f t="shared" si="232"/>
        <v>0</v>
      </c>
      <c r="CC213" s="93">
        <f>IF(AW213=DP!$AN$15,AY213*(1+DP!$AQ$15),IF(AW213=DP!$AN$16,AY213*(1+DP!$AQ$16),IF(AW213=DP!$AN$17,AY213*(1+DP!$AQ$17),IF(AW213=DP!$AN$18,AY213*(1+DP!$AQ$18),0*1))))</f>
        <v>0</v>
      </c>
      <c r="CD213" s="102">
        <f>IF(AW213=DP!$AN$22,(DP!$AR$22),IF(AW213=DP!$AN$23,(DP!$AR$23),IF(AW213=DP!$AN$24,(DP!$AR$24),IF(AW213=DP!$AN$25,(DP!$AR$25),((0*1))))))</f>
        <v>0</v>
      </c>
      <c r="CE213" s="93">
        <f t="shared" si="233"/>
        <v>0</v>
      </c>
      <c r="CF213" s="100"/>
      <c r="CG213" s="149">
        <f t="shared" si="213"/>
        <v>0</v>
      </c>
      <c r="CH213" s="149">
        <f>DP!$N$35*BA213</f>
        <v>0</v>
      </c>
      <c r="CI213" s="149">
        <f>DP!$O$35*BA213</f>
        <v>0</v>
      </c>
      <c r="CJ213" s="149">
        <f>DP!$P$35*BA213</f>
        <v>0</v>
      </c>
    </row>
    <row r="214" spans="2:88" x14ac:dyDescent="0.35">
      <c r="B214" s="480">
        <f>DP!S22</f>
        <v>0</v>
      </c>
      <c r="C214" s="480" t="str">
        <f>DP!T22</f>
        <v>PALMITO RODAJA 400</v>
      </c>
      <c r="D214" s="480">
        <f>DP!U22</f>
        <v>400</v>
      </c>
      <c r="E214" s="480">
        <f>DP!V22</f>
        <v>220</v>
      </c>
      <c r="F214" s="412">
        <f t="shared" si="214"/>
        <v>0</v>
      </c>
      <c r="G214" s="470">
        <f>DP!AC22</f>
        <v>0</v>
      </c>
      <c r="H214" s="98">
        <f t="shared" si="215"/>
        <v>0</v>
      </c>
      <c r="I214" s="97"/>
      <c r="J214" s="102">
        <f t="shared" si="204"/>
        <v>0</v>
      </c>
      <c r="K214" s="98">
        <f t="shared" si="205"/>
        <v>0</v>
      </c>
      <c r="L214" s="93">
        <f t="shared" si="206"/>
        <v>0</v>
      </c>
      <c r="M214" s="99">
        <f t="shared" si="207"/>
        <v>0</v>
      </c>
      <c r="N214" s="100"/>
      <c r="O214" s="102">
        <f>($E214/DP!$O$29)*F214</f>
        <v>0</v>
      </c>
      <c r="P214" s="102">
        <f>IF(O214&gt;0,(DP!$O$31),0*1)</f>
        <v>0</v>
      </c>
      <c r="Q214" s="102">
        <f t="shared" si="216"/>
        <v>0</v>
      </c>
      <c r="R214" s="102">
        <f t="shared" si="217"/>
        <v>0</v>
      </c>
      <c r="S214" s="418">
        <f t="shared" si="218"/>
        <v>0</v>
      </c>
      <c r="T214" s="475">
        <f>H214*DP!$W$44</f>
        <v>0</v>
      </c>
      <c r="U214" s="475">
        <f>IF(H214&gt;0,DP!$X$44,0*1)</f>
        <v>0</v>
      </c>
      <c r="V214" s="475">
        <f t="shared" si="219"/>
        <v>0</v>
      </c>
      <c r="W214" s="475">
        <f>H214*DP!$W$45</f>
        <v>0</v>
      </c>
      <c r="X214" s="475">
        <f>IF(H214&gt;0,DP!$X$45,0*1)</f>
        <v>0</v>
      </c>
      <c r="Y214" s="475">
        <f t="shared" si="220"/>
        <v>0</v>
      </c>
      <c r="Z214" s="100"/>
      <c r="AA214" s="93">
        <f>IF(D214=DP!$L$15,F214*(1+DP!$O$15),IF(D214=DP!$L$16,F214*(1+DP!$O$16),IF(D214=DP!$L$17,F214*(1+DP!$O$17),IF(D214=DP!$L$18,F214*(1+DP!$O$18),0*1))))</f>
        <v>0</v>
      </c>
      <c r="AB214" s="102">
        <f>IF(D214=DP!$L$22,(DP!$M$22),IF(D214=DP!$L$23,(DP!$M$23),IF(D214=DP!$L$24,(DP!$M$24),IF(D214=DP!$L$25,(DP!$M$25),((0*1))))))</f>
        <v>0</v>
      </c>
      <c r="AC214" s="93">
        <f t="shared" si="221"/>
        <v>0</v>
      </c>
      <c r="AD214" s="93">
        <f>IF(D214=DP!$L$15,F214*(1+DP!$O$15),IF(D214=DP!$L$16,F214*(1+DP!$O$16),IF(D214=DP!$L$17,F214*(1+DP!$O$17),IF(D214=DP!$L$18,F214*(1+DP!$O$18),0*1))))</f>
        <v>0</v>
      </c>
      <c r="AE214" s="102">
        <f>IF(D214=DP!$L$22,(DP!$N$22),IF(D214=DP!$L$23,(DP!$N$23),IF(D214=DP!$L$24,(DP!$N$24),IF(D214=DP!$L$25,(DP!$N$25),((0*1))))))</f>
        <v>0</v>
      </c>
      <c r="AF214" s="93">
        <f t="shared" si="222"/>
        <v>0</v>
      </c>
      <c r="AG214" s="93">
        <f>IF(D214=DP!$L$15,(F214/DP!$K$15)*(1+DP!$O$15),IF(D214=DP!$L$16,(F214/DP!$K$16)*(1+DP!$O$16),IF(D214=DP!$L$17,(F214/DP!$K$17)*(1+DP!$O$17),IF(D214=DP!$L$18,(F214/DP!$K$18)*(1+DP!$O$18),0*1))))</f>
        <v>0</v>
      </c>
      <c r="AH214" s="102">
        <f>IF(D214=DP!$L$22,(DP!$O$22),IF(D214=DP!$L$23,(DP!$O$23),IF(D214=DP!$L$24,(DP!$O$24),IF(D214=DP!$L$25,(DP!$O$25),((0*1))))))</f>
        <v>0</v>
      </c>
      <c r="AI214" s="93">
        <f t="shared" si="223"/>
        <v>0</v>
      </c>
      <c r="AJ214" s="93">
        <f>IF(D214=DP!$L$15,F214*(1+DP!$O$15),IF(D214=DP!$L$16,F214*(1+DP!$O$16),IF(D214=DP!$L$17,F214*(1+DP!$O$17),IF(D214=DP!$L$18,F214*(1+DP!$O$18),0*1))))</f>
        <v>0</v>
      </c>
      <c r="AK214" s="102">
        <f>IF(D214=DP!$L$22,(DP!$P$22),IF(D214=DP!$L$23,(DP!$P$23),IF(D214=DP!$L$24,(DP!$P$24),IF(D214=DP!$L$25,(DP!$P$25),((0*1))))))</f>
        <v>0</v>
      </c>
      <c r="AL214" s="93">
        <f t="shared" si="224"/>
        <v>0</v>
      </c>
      <c r="AM214" s="100"/>
      <c r="AN214" s="149">
        <f t="shared" si="208"/>
        <v>0</v>
      </c>
      <c r="AO214" s="149">
        <f>DP!$N$35*H214</f>
        <v>0</v>
      </c>
      <c r="AP214" s="149">
        <f>DP!$O$35*H214</f>
        <v>0</v>
      </c>
      <c r="AQ214" s="149">
        <f>DP!$P$35*H214</f>
        <v>0</v>
      </c>
      <c r="AV214" s="412" t="str">
        <f>DP!AV22</f>
        <v>PIÑA RODAJA 567</v>
      </c>
      <c r="AW214" s="412">
        <f>DP!AW22</f>
        <v>567</v>
      </c>
      <c r="AX214" s="412">
        <f>DP!AX22</f>
        <v>340</v>
      </c>
      <c r="AY214" s="412">
        <f t="shared" si="225"/>
        <v>270000</v>
      </c>
      <c r="AZ214" s="470">
        <f>DP!BE22</f>
        <v>0.5</v>
      </c>
      <c r="BA214" s="98">
        <f t="shared" si="226"/>
        <v>91800</v>
      </c>
      <c r="BB214" s="97"/>
      <c r="BC214" s="102">
        <f t="shared" si="209"/>
        <v>0.96041166831383962</v>
      </c>
      <c r="BD214" s="98">
        <f t="shared" si="210"/>
        <v>0.83461166831383959</v>
      </c>
      <c r="BE214" s="93">
        <f t="shared" si="211"/>
        <v>259311.1504447367</v>
      </c>
      <c r="BF214" s="99">
        <f t="shared" si="212"/>
        <v>225345.1504447367</v>
      </c>
      <c r="BG214" s="100"/>
      <c r="BH214" s="102">
        <f>IFERROR((BA214*100%)/DP!$AQ$29,(0*1))</f>
        <v>204000</v>
      </c>
      <c r="BI214" s="102">
        <f>IF(BH214&gt;0,(DP!$AQ$31),0*1)</f>
        <v>0.45</v>
      </c>
      <c r="BJ214" s="435">
        <f t="shared" si="227"/>
        <v>91800</v>
      </c>
      <c r="BK214" s="475">
        <f>BA214*DP!$AY$44</f>
        <v>229.5</v>
      </c>
      <c r="BL214" s="475">
        <f>IF(BA214&gt;0,DP!$AZ$44,0*1)</f>
        <v>0.95</v>
      </c>
      <c r="BM214" s="475">
        <f t="shared" si="228"/>
        <v>218.02499999999998</v>
      </c>
      <c r="BN214" s="102">
        <f>BA214*DP!$AY$45</f>
        <v>15238.800000000001</v>
      </c>
      <c r="BO214" s="102">
        <f>IF(BA214&gt;0,DP!$AZ$45,0*1)</f>
        <v>0.76919999999999999</v>
      </c>
      <c r="BP214" s="475">
        <f t="shared" si="229"/>
        <v>11721.684960000001</v>
      </c>
      <c r="BQ214" s="100"/>
      <c r="BR214" s="100"/>
      <c r="BS214" s="100"/>
      <c r="BT214" s="93">
        <f>IF(AW214=DP!$AN$15,AY214*(1+DP!$AQ$15),IF(AW214=DP!$AN$16,AY214*(1+DP!$AQ$16),IF(AW214=DP!$AN$17,AY214*(1+DP!$AQ$17),IF(AW214=DP!$AN$18,AY214*(1+DP!$AQ$18),0*1))))</f>
        <v>271350</v>
      </c>
      <c r="BU214" s="102">
        <f>IF(AW214=DP!$AN$22,(DP!$AO$22),IF(AW214=DP!$AN$23,(DP!$AO$23),IF(AW214=DP!$AN$24,(DP!$AO$24),IF(AW214=DP!$AN$25,(DP!$AO$25),((0*1))))))</f>
        <v>0.23</v>
      </c>
      <c r="BV214" s="93">
        <f t="shared" si="230"/>
        <v>62410.5</v>
      </c>
      <c r="BW214" s="93">
        <f>IF(AW214=DP!$AN$15,AY214*(1+DP!$AQ$15),IF(AW214=DP!$AN$16,AY214*(1+DP!$AQ$16),IF(AW214=DP!$AN$17,AY214*(1+DP!$AQ$17),IF(AW214=DP!$AN$18,AY214*(1+DP!$AQ$18),0*1))))</f>
        <v>271350</v>
      </c>
      <c r="BX214" s="102">
        <f>IF(AW214=DP!$AN$22,(DP!$AP$22),IF(AW214=DP!$AN$23,(DP!$AP$23),IF(AW214=DP!$AN$24,(DP!$AP$24),IF(AW214=DP!$AN$25,(DP!$AP$25),((0*1))))))</f>
        <v>5.5E-2</v>
      </c>
      <c r="BY214" s="93">
        <f t="shared" si="231"/>
        <v>14924.25</v>
      </c>
      <c r="BZ214" s="93">
        <f>IF(AW214=DP!$AN$15,(AY214/DP!$AM$15)*(1+DP!$AQ$15),IF(AW214=DP!$AN$16,(AY214/DP!$AM$16)*(1+DP!$AQ$16),IF(AW214=DP!$AN$17,(AY214/DP!$AM$17)*(1+DP!$AQ$17),IF(AW214=DP!$AN$18,(AY214/DP!$AM$18)*(1+DP!$AQ$18),0*1))))</f>
        <v>11306.249999999998</v>
      </c>
      <c r="CA214" s="102">
        <f>IF(AW214=DP!$AN$22,(DP!$AQ$22),IF(AW214=DP!$AN$23,(DP!$AQ$23),IF(AW214=DP!$AN$24,(DP!$AQ$24),IF(AW214=DP!$AN$25,(DP!$AQ$25),((0*1))))))</f>
        <v>0.51199999999999923</v>
      </c>
      <c r="CB214" s="93">
        <f t="shared" si="232"/>
        <v>5788.7999999999902</v>
      </c>
      <c r="CC214" s="93">
        <f>IF(AW214=DP!$AN$15,AY214*(1+DP!$AQ$15),IF(AW214=DP!$AN$16,AY214*(1+DP!$AQ$16),IF(AW214=DP!$AN$17,AY214*(1+DP!$AQ$17),IF(AW214=DP!$AN$18,AY214*(1+DP!$AQ$18),0*1))))</f>
        <v>271350</v>
      </c>
      <c r="CD214" s="102">
        <f>IF(AW214=DP!$AN$22,(DP!$AR$22),IF(AW214=DP!$AN$23,(DP!$AR$23),IF(AW214=DP!$AN$24,(DP!$AR$24),IF(AW214=DP!$AN$25,(DP!$AR$25),((0*1))))))</f>
        <v>3.3045977011494254E-2</v>
      </c>
      <c r="CE214" s="93">
        <f t="shared" si="233"/>
        <v>8967.0258620689656</v>
      </c>
      <c r="CF214" s="100"/>
      <c r="CG214" s="149">
        <f t="shared" si="213"/>
        <v>29514.864622667745</v>
      </c>
      <c r="CH214" s="149">
        <f>DP!$N$35*BA214</f>
        <v>1318.9655172413795</v>
      </c>
      <c r="CI214" s="149">
        <f>DP!$O$35*BA214</f>
        <v>5012.0689655172418</v>
      </c>
      <c r="CJ214" s="149">
        <f>DP!$P$35*BA214</f>
        <v>33966</v>
      </c>
    </row>
    <row r="215" spans="2:88" x14ac:dyDescent="0.35">
      <c r="B215" s="480">
        <f>DP!S23</f>
        <v>0</v>
      </c>
      <c r="C215" s="480" t="str">
        <f>DP!T23</f>
        <v>PALMITO TROZO 400</v>
      </c>
      <c r="D215" s="480">
        <f>DP!U23</f>
        <v>400</v>
      </c>
      <c r="E215" s="480">
        <f>DP!V23</f>
        <v>236</v>
      </c>
      <c r="F215" s="412">
        <f t="shared" si="214"/>
        <v>0</v>
      </c>
      <c r="G215" s="470">
        <f>DP!AC23</f>
        <v>0</v>
      </c>
      <c r="H215" s="98">
        <f t="shared" si="215"/>
        <v>0</v>
      </c>
      <c r="I215" s="97"/>
      <c r="J215" s="102">
        <f t="shared" si="204"/>
        <v>0</v>
      </c>
      <c r="K215" s="98">
        <f t="shared" si="205"/>
        <v>0</v>
      </c>
      <c r="L215" s="93">
        <f t="shared" si="206"/>
        <v>0</v>
      </c>
      <c r="M215" s="99">
        <f t="shared" si="207"/>
        <v>0</v>
      </c>
      <c r="N215" s="100"/>
      <c r="O215" s="102">
        <f>($E215/DP!$O$29)*F215</f>
        <v>0</v>
      </c>
      <c r="P215" s="102">
        <f>IF(O215&gt;0,(DP!$O$31),0*1)</f>
        <v>0</v>
      </c>
      <c r="Q215" s="102">
        <f t="shared" si="216"/>
        <v>0</v>
      </c>
      <c r="R215" s="102">
        <f t="shared" si="217"/>
        <v>0</v>
      </c>
      <c r="S215" s="418">
        <f t="shared" si="218"/>
        <v>0</v>
      </c>
      <c r="T215" s="475">
        <f>H215*DP!$W$44</f>
        <v>0</v>
      </c>
      <c r="U215" s="475">
        <f>IF(H215&gt;0,DP!$X$44,0*1)</f>
        <v>0</v>
      </c>
      <c r="V215" s="475">
        <f t="shared" si="219"/>
        <v>0</v>
      </c>
      <c r="W215" s="475">
        <f>H215*DP!$W$45</f>
        <v>0</v>
      </c>
      <c r="X215" s="475">
        <f>IF(H215&gt;0,DP!$X$45,0*1)</f>
        <v>0</v>
      </c>
      <c r="Y215" s="475">
        <f t="shared" si="220"/>
        <v>0</v>
      </c>
      <c r="Z215" s="100"/>
      <c r="AA215" s="93">
        <f>IF(D215=DP!$L$15,F215*(1+DP!$O$15),IF(D215=DP!$L$16,F215*(1+DP!$O$16),IF(D215=DP!$L$17,F215*(1+DP!$O$17),IF(D215=DP!$L$18,F215*(1+DP!$O$18),0*1))))</f>
        <v>0</v>
      </c>
      <c r="AB215" s="102">
        <f>IF(D215=DP!$L$22,(DP!$M$22),IF(D215=DP!$L$23,(DP!$M$23),IF(D215=DP!$L$24,(DP!$M$24),IF(D215=DP!$L$25,(DP!$M$25),((0*1))))))</f>
        <v>0</v>
      </c>
      <c r="AC215" s="93">
        <f t="shared" si="221"/>
        <v>0</v>
      </c>
      <c r="AD215" s="93">
        <f>IF(D215=DP!$L$15,F215*(1+DP!$O$15),IF(D215=DP!$L$16,F215*(1+DP!$O$16),IF(D215=DP!$L$17,F215*(1+DP!$O$17),IF(D215=DP!$L$18,F215*(1+DP!$O$18),0*1))))</f>
        <v>0</v>
      </c>
      <c r="AE215" s="102">
        <f>IF(D215=DP!$L$22,(DP!$N$22),IF(D215=DP!$L$23,(DP!$N$23),IF(D215=DP!$L$24,(DP!$N$24),IF(D215=DP!$L$25,(DP!$N$25),((0*1))))))</f>
        <v>0</v>
      </c>
      <c r="AF215" s="93">
        <f t="shared" si="222"/>
        <v>0</v>
      </c>
      <c r="AG215" s="93">
        <f>IF(D215=DP!$L$15,(F215/DP!$K$15)*(1+DP!$O$15),IF(D215=DP!$L$16,(F215/DP!$K$16)*(1+DP!$O$16),IF(D215=DP!$L$17,(F215/DP!$K$17)*(1+DP!$O$17),IF(D215=DP!$L$18,(F215/DP!$K$18)*(1+DP!$O$18),0*1))))</f>
        <v>0</v>
      </c>
      <c r="AH215" s="102">
        <f>IF(D215=DP!$L$22,(DP!$O$22),IF(D215=DP!$L$23,(DP!$O$23),IF(D215=DP!$L$24,(DP!$O$24),IF(D215=DP!$L$25,(DP!$O$25),((0*1))))))</f>
        <v>0</v>
      </c>
      <c r="AI215" s="93">
        <f t="shared" si="223"/>
        <v>0</v>
      </c>
      <c r="AJ215" s="93">
        <f>IF(D215=DP!$L$15,F215*(1+DP!$O$15),IF(D215=DP!$L$16,F215*(1+DP!$O$16),IF(D215=DP!$L$17,F215*(1+DP!$O$17),IF(D215=DP!$L$18,F215*(1+DP!$O$18),0*1))))</f>
        <v>0</v>
      </c>
      <c r="AK215" s="102">
        <f>IF(D215=DP!$L$22,(DP!$P$22),IF(D215=DP!$L$23,(DP!$P$23),IF(D215=DP!$L$24,(DP!$P$24),IF(D215=DP!$L$25,(DP!$P$25),((0*1))))))</f>
        <v>0</v>
      </c>
      <c r="AL215" s="93">
        <f t="shared" si="224"/>
        <v>0</v>
      </c>
      <c r="AM215" s="100"/>
      <c r="AN215" s="149">
        <f t="shared" si="208"/>
        <v>0</v>
      </c>
      <c r="AO215" s="149">
        <f>DP!$N$35*H215</f>
        <v>0</v>
      </c>
      <c r="AP215" s="149">
        <f>DP!$O$35*H215</f>
        <v>0</v>
      </c>
      <c r="AQ215" s="149">
        <f>DP!$P$35*H215</f>
        <v>0</v>
      </c>
      <c r="AV215" s="412" t="str">
        <f>DP!AV23</f>
        <v>PIÑA TROZO 567</v>
      </c>
      <c r="AW215" s="412">
        <f>DP!AW23</f>
        <v>567</v>
      </c>
      <c r="AX215" s="412">
        <f>DP!AX23</f>
        <v>340</v>
      </c>
      <c r="AY215" s="412">
        <f t="shared" si="225"/>
        <v>108000</v>
      </c>
      <c r="AZ215" s="470">
        <f>DP!BE23</f>
        <v>0.2</v>
      </c>
      <c r="BA215" s="98">
        <f t="shared" si="226"/>
        <v>36720</v>
      </c>
      <c r="BB215" s="97"/>
      <c r="BC215" s="102">
        <f t="shared" si="209"/>
        <v>0.9604116683138394</v>
      </c>
      <c r="BD215" s="98">
        <f t="shared" si="210"/>
        <v>0.83461166831383948</v>
      </c>
      <c r="BE215" s="93">
        <f t="shared" si="211"/>
        <v>103724.46017789465</v>
      </c>
      <c r="BF215" s="99">
        <f t="shared" si="212"/>
        <v>90138.060177894658</v>
      </c>
      <c r="BG215" s="100"/>
      <c r="BH215" s="102">
        <f>IFERROR((BA215*100%)/DP!$AQ$29,(0*1))</f>
        <v>81600</v>
      </c>
      <c r="BI215" s="102">
        <f>IF(BH215&gt;0,(DP!$AQ$31),0*1)</f>
        <v>0.45</v>
      </c>
      <c r="BJ215" s="435">
        <f t="shared" si="227"/>
        <v>36720</v>
      </c>
      <c r="BK215" s="475">
        <f>BA215*DP!$AY$44</f>
        <v>91.8</v>
      </c>
      <c r="BL215" s="475">
        <f>IF(BA215&gt;0,DP!$AZ$44,0*1)</f>
        <v>0.95</v>
      </c>
      <c r="BM215" s="475">
        <f t="shared" si="228"/>
        <v>87.21</v>
      </c>
      <c r="BN215" s="102">
        <f>BA215*DP!$AY$45</f>
        <v>6095.52</v>
      </c>
      <c r="BO215" s="102">
        <f>IF(BA215&gt;0,DP!$AZ$45,0*1)</f>
        <v>0.76919999999999999</v>
      </c>
      <c r="BP215" s="475">
        <f t="shared" si="229"/>
        <v>4688.673984</v>
      </c>
      <c r="BQ215" s="100"/>
      <c r="BR215" s="100"/>
      <c r="BS215" s="100"/>
      <c r="BT215" s="93">
        <f>IF(AW215=DP!$AN$15,AY215*(1+DP!$AQ$15),IF(AW215=DP!$AN$16,AY215*(1+DP!$AQ$16),IF(AW215=DP!$AN$17,AY215*(1+DP!$AQ$17),IF(AW215=DP!$AN$18,AY215*(1+DP!$AQ$18),0*1))))</f>
        <v>108539.99999999999</v>
      </c>
      <c r="BU215" s="102">
        <f>IF(AW215=DP!$AN$22,(DP!$AO$22),IF(AW215=DP!$AN$23,(DP!$AO$23),IF(AW215=DP!$AN$24,(DP!$AO$24),IF(AW215=DP!$AN$25,(DP!$AO$25),((0*1))))))</f>
        <v>0.23</v>
      </c>
      <c r="BV215" s="93">
        <f t="shared" si="230"/>
        <v>24964.199999999997</v>
      </c>
      <c r="BW215" s="93">
        <f>IF(AW215=DP!$AN$15,AY215*(1+DP!$AQ$15),IF(AW215=DP!$AN$16,AY215*(1+DP!$AQ$16),IF(AW215=DP!$AN$17,AY215*(1+DP!$AQ$17),IF(AW215=DP!$AN$18,AY215*(1+DP!$AQ$18),0*1))))</f>
        <v>108539.99999999999</v>
      </c>
      <c r="BX215" s="102">
        <f>IF(AW215=DP!$AN$22,(DP!$AP$22),IF(AW215=DP!$AN$23,(DP!$AP$23),IF(AW215=DP!$AN$24,(DP!$AP$24),IF(AW215=DP!$AN$25,(DP!$AP$25),((0*1))))))</f>
        <v>5.5E-2</v>
      </c>
      <c r="BY215" s="93">
        <f t="shared" si="231"/>
        <v>5969.6999999999989</v>
      </c>
      <c r="BZ215" s="93">
        <f>IF(AW215=DP!$AN$15,(AY215/DP!$AM$15)*(1+DP!$AQ$15),IF(AW215=DP!$AN$16,(AY215/DP!$AM$16)*(1+DP!$AQ$16),IF(AW215=DP!$AN$17,(AY215/DP!$AM$17)*(1+DP!$AQ$17),IF(AW215=DP!$AN$18,(AY215/DP!$AM$18)*(1+DP!$AQ$18),0*1))))</f>
        <v>4522.4999999999991</v>
      </c>
      <c r="CA215" s="102">
        <f>IF(AW215=DP!$AN$22,(DP!$AQ$22),IF(AW215=DP!$AN$23,(DP!$AQ$23),IF(AW215=DP!$AN$24,(DP!$AQ$24),IF(AW215=DP!$AN$25,(DP!$AQ$25),((0*1))))))</f>
        <v>0.51199999999999923</v>
      </c>
      <c r="CB215" s="93">
        <f t="shared" si="232"/>
        <v>2315.5199999999959</v>
      </c>
      <c r="CC215" s="93">
        <f>IF(AW215=DP!$AN$15,AY215*(1+DP!$AQ$15),IF(AW215=DP!$AN$16,AY215*(1+DP!$AQ$16),IF(AW215=DP!$AN$17,AY215*(1+DP!$AQ$17),IF(AW215=DP!$AN$18,AY215*(1+DP!$AQ$18),0*1))))</f>
        <v>108539.99999999999</v>
      </c>
      <c r="CD215" s="102">
        <f>IF(AW215=DP!$AN$22,(DP!$AR$22),IF(AW215=DP!$AN$23,(DP!$AR$23),IF(AW215=DP!$AN$24,(DP!$AR$24),IF(AW215=DP!$AN$25,(DP!$AR$25),((0*1))))))</f>
        <v>3.3045977011494254E-2</v>
      </c>
      <c r="CE215" s="93">
        <f t="shared" si="233"/>
        <v>3586.8103448275861</v>
      </c>
      <c r="CF215" s="100"/>
      <c r="CG215" s="149">
        <f t="shared" si="213"/>
        <v>11805.945849067097</v>
      </c>
      <c r="CH215" s="149">
        <f>DP!$N$35*BA215</f>
        <v>527.58620689655174</v>
      </c>
      <c r="CI215" s="149">
        <f>DP!$O$35*BA215</f>
        <v>2004.8275862068967</v>
      </c>
      <c r="CJ215" s="149">
        <f>DP!$P$35*BA215</f>
        <v>13586.4</v>
      </c>
    </row>
    <row r="216" spans="2:88" x14ac:dyDescent="0.35">
      <c r="B216" s="480">
        <f>DP!S24</f>
        <v>0</v>
      </c>
      <c r="C216" s="480" t="str">
        <f>DP!T24</f>
        <v>PALMITO TROZO  A-10</v>
      </c>
      <c r="D216" s="480">
        <f>DP!U24</f>
        <v>2920</v>
      </c>
      <c r="E216" s="480">
        <f>DP!V24</f>
        <v>1825</v>
      </c>
      <c r="F216" s="412">
        <f t="shared" si="214"/>
        <v>0</v>
      </c>
      <c r="G216" s="470">
        <f>DP!AC24</f>
        <v>0</v>
      </c>
      <c r="H216" s="98">
        <f t="shared" si="215"/>
        <v>0</v>
      </c>
      <c r="I216" s="97"/>
      <c r="J216" s="102">
        <f t="shared" si="204"/>
        <v>0</v>
      </c>
      <c r="K216" s="98">
        <f t="shared" si="205"/>
        <v>0</v>
      </c>
      <c r="L216" s="93">
        <f t="shared" si="206"/>
        <v>0</v>
      </c>
      <c r="M216" s="99">
        <f t="shared" si="207"/>
        <v>0</v>
      </c>
      <c r="N216" s="100"/>
      <c r="O216" s="102">
        <f>($E216/DP!$O$29)*F216</f>
        <v>0</v>
      </c>
      <c r="P216" s="102">
        <f>IF(O216&gt;0,(DP!$O$31),0*1)</f>
        <v>0</v>
      </c>
      <c r="Q216" s="102">
        <f t="shared" si="216"/>
        <v>0</v>
      </c>
      <c r="R216" s="102">
        <f t="shared" si="217"/>
        <v>0</v>
      </c>
      <c r="S216" s="418">
        <f t="shared" si="218"/>
        <v>0</v>
      </c>
      <c r="T216" s="475">
        <f>H216*DP!$W$44</f>
        <v>0</v>
      </c>
      <c r="U216" s="475">
        <f>IF(H216&gt;0,DP!$X$44,0*1)</f>
        <v>0</v>
      </c>
      <c r="V216" s="475">
        <f t="shared" si="219"/>
        <v>0</v>
      </c>
      <c r="W216" s="475">
        <f>H216*DP!$W$45</f>
        <v>0</v>
      </c>
      <c r="X216" s="475">
        <f>IF(H216&gt;0,DP!$X$45,0*1)</f>
        <v>0</v>
      </c>
      <c r="Y216" s="475">
        <f t="shared" si="220"/>
        <v>0</v>
      </c>
      <c r="Z216" s="100"/>
      <c r="AA216" s="93">
        <f>IF(D216=DP!$L$15,F216*(1+DP!$O$15),IF(D216=DP!$L$16,F216*(1+DP!$O$16),IF(D216=DP!$L$17,F216*(1+DP!$O$17),IF(D216=DP!$L$18,F216*(1+DP!$O$18),0*1))))</f>
        <v>0</v>
      </c>
      <c r="AB216" s="102">
        <f>IF(D216=DP!$L$22,(DP!$M$22),IF(D216=DP!$L$23,(DP!$M$23),IF(D216=DP!$L$24,(DP!$M$24),IF(D216=DP!$L$25,(DP!$M$25),((0*1))))))</f>
        <v>0</v>
      </c>
      <c r="AC216" s="93">
        <f t="shared" si="221"/>
        <v>0</v>
      </c>
      <c r="AD216" s="93">
        <f>IF(D216=DP!$L$15,F216*(1+DP!$O$15),IF(D216=DP!$L$16,F216*(1+DP!$O$16),IF(D216=DP!$L$17,F216*(1+DP!$O$17),IF(D216=DP!$L$18,F216*(1+DP!$O$18),0*1))))</f>
        <v>0</v>
      </c>
      <c r="AE216" s="102">
        <f>IF(D216=DP!$L$22,(DP!$N$22),IF(D216=DP!$L$23,(DP!$N$23),IF(D216=DP!$L$24,(DP!$N$24),IF(D216=DP!$L$25,(DP!$N$25),((0*1))))))</f>
        <v>0</v>
      </c>
      <c r="AF216" s="93">
        <f t="shared" si="222"/>
        <v>0</v>
      </c>
      <c r="AG216" s="93">
        <f>IF(D216=DP!$L$15,(F216/DP!$K$15)*(1+DP!$O$15),IF(D216=DP!$L$16,(F216/DP!$K$16)*(1+DP!$O$16),IF(D216=DP!$L$17,(F216/DP!$K$17)*(1+DP!$O$17),IF(D216=DP!$L$18,(F216/DP!$K$18)*(1+DP!$O$18),0*1))))</f>
        <v>0</v>
      </c>
      <c r="AH216" s="102">
        <f>IF(D216=DP!$L$22,(DP!$O$22),IF(D216=DP!$L$23,(DP!$O$23),IF(D216=DP!$L$24,(DP!$O$24),IF(D216=DP!$L$25,(DP!$O$25),((0*1))))))</f>
        <v>0</v>
      </c>
      <c r="AI216" s="93">
        <f t="shared" si="223"/>
        <v>0</v>
      </c>
      <c r="AJ216" s="93">
        <f>IF(D216=DP!$L$15,F216*(1+DP!$O$15),IF(D216=DP!$L$16,F216*(1+DP!$O$16),IF(D216=DP!$L$17,F216*(1+DP!$O$17),IF(D216=DP!$L$18,F216*(1+DP!$O$18),0*1))))</f>
        <v>0</v>
      </c>
      <c r="AK216" s="102">
        <f>IF(D216=DP!$L$22,(DP!$P$22),IF(D216=DP!$L$23,(DP!$P$23),IF(D216=DP!$L$24,(DP!$P$24),IF(D216=DP!$L$25,(DP!$P$25),((0*1))))))</f>
        <v>0</v>
      </c>
      <c r="AL216" s="93">
        <f t="shared" si="224"/>
        <v>0</v>
      </c>
      <c r="AM216" s="100"/>
      <c r="AN216" s="149">
        <f t="shared" si="208"/>
        <v>0</v>
      </c>
      <c r="AO216" s="149">
        <f>DP!$N$35*H216</f>
        <v>0</v>
      </c>
      <c r="AP216" s="149">
        <f>DP!$O$35*H216</f>
        <v>0</v>
      </c>
      <c r="AQ216" s="149">
        <f>DP!$P$35*H216</f>
        <v>0</v>
      </c>
      <c r="AV216" s="412" t="str">
        <f>DP!AV24</f>
        <v>PIÑA RODAJA 822</v>
      </c>
      <c r="AW216" s="412">
        <f>DP!AW24</f>
        <v>822</v>
      </c>
      <c r="AX216" s="412">
        <f>DP!AX24</f>
        <v>500</v>
      </c>
      <c r="AY216" s="412">
        <f t="shared" si="225"/>
        <v>73440</v>
      </c>
      <c r="AZ216" s="470">
        <f>DP!BE24</f>
        <v>0.2</v>
      </c>
      <c r="BA216" s="98">
        <f t="shared" si="226"/>
        <v>36720</v>
      </c>
      <c r="BB216" s="97"/>
      <c r="BC216" s="102">
        <f t="shared" si="209"/>
        <v>1.2984286501572693</v>
      </c>
      <c r="BD216" s="98">
        <f t="shared" si="210"/>
        <v>1.1134286501572692</v>
      </c>
      <c r="BE216" s="93">
        <f t="shared" si="211"/>
        <v>95356.600067549851</v>
      </c>
      <c r="BF216" s="99">
        <f t="shared" si="212"/>
        <v>81770.200067549857</v>
      </c>
      <c r="BG216" s="100"/>
      <c r="BH216" s="102">
        <f>IFERROR((BA216*100%)/DP!$AQ$29,(0*1))</f>
        <v>81600</v>
      </c>
      <c r="BI216" s="102">
        <f>IF(BH216&gt;0,(DP!$AQ$31),0*1)</f>
        <v>0.45</v>
      </c>
      <c r="BJ216" s="435">
        <f t="shared" si="227"/>
        <v>36720</v>
      </c>
      <c r="BK216" s="475">
        <f>BA216*DP!$AY$44</f>
        <v>91.8</v>
      </c>
      <c r="BL216" s="475">
        <f>IF(BA216&gt;0,DP!$AZ$44,0*1)</f>
        <v>0.95</v>
      </c>
      <c r="BM216" s="475">
        <f t="shared" si="228"/>
        <v>87.21</v>
      </c>
      <c r="BN216" s="102">
        <f>BA216*DP!$AY$45</f>
        <v>6095.52</v>
      </c>
      <c r="BO216" s="102">
        <f>IF(BA216&gt;0,DP!$AZ$45,0*1)</f>
        <v>0.76919999999999999</v>
      </c>
      <c r="BP216" s="475">
        <f t="shared" si="229"/>
        <v>4688.673984</v>
      </c>
      <c r="BQ216" s="100"/>
      <c r="BR216" s="100"/>
      <c r="BS216" s="100"/>
      <c r="BT216" s="93">
        <f>IF(AW216=DP!$AN$15,AY216*(1+DP!$AQ$15),IF(AW216=DP!$AN$16,AY216*(1+DP!$AQ$16),IF(AW216=DP!$AN$17,AY216*(1+DP!$AQ$17),IF(AW216=DP!$AN$18,AY216*(1+DP!$AQ$18),0*1))))</f>
        <v>73807.199999999997</v>
      </c>
      <c r="BU216" s="102">
        <f>IF(AW216=DP!$AN$22,(DP!$AO$22),IF(AW216=DP!$AN$23,(DP!$AO$23),IF(AW216=DP!$AN$24,(DP!$AO$24),IF(AW216=DP!$AN$25,(DP!$AO$25),((0*1))))))</f>
        <v>0.24</v>
      </c>
      <c r="BV216" s="93">
        <f t="shared" si="230"/>
        <v>17713.727999999999</v>
      </c>
      <c r="BW216" s="93">
        <f>IF(AW216=DP!$AN$15,AY216*(1+DP!$AQ$15),IF(AW216=DP!$AN$16,AY216*(1+DP!$AQ$16),IF(AW216=DP!$AN$17,AY216*(1+DP!$AQ$17),IF(AW216=DP!$AN$18,AY216*(1+DP!$AQ$18),0*1))))</f>
        <v>73807.199999999997</v>
      </c>
      <c r="BX216" s="102">
        <f>IF(AW216=DP!$AN$22,(DP!$AP$22),IF(AW216=DP!$AN$23,(DP!$AP$23),IF(AW216=DP!$AN$24,(DP!$AP$24),IF(AW216=DP!$AN$25,(DP!$AP$25),((0*1))))))</f>
        <v>7.0000000000000007E-2</v>
      </c>
      <c r="BY216" s="93">
        <f t="shared" si="231"/>
        <v>5166.5039999999999</v>
      </c>
      <c r="BZ216" s="93">
        <f>IF(AW216=DP!$AN$15,(AY216/DP!$AM$15)*(1+DP!$AQ$15),IF(AW216=DP!$AN$16,(AY216/DP!$AM$16)*(1+DP!$AQ$16),IF(AW216=DP!$AN$17,(AY216/DP!$AM$17)*(1+DP!$AQ$17),IF(AW216=DP!$AN$18,(AY216/DP!$AM$18)*(1+DP!$AQ$18),0*1))))</f>
        <v>6150.5999999999995</v>
      </c>
      <c r="CA216" s="102">
        <f>IF(AW216=DP!$AN$22,(DP!$AQ$22),IF(AW216=DP!$AN$23,(DP!$AQ$23),IF(AW216=DP!$AN$24,(DP!$AQ$24),IF(AW216=DP!$AN$25,(DP!$AQ$25),((0*1))))))</f>
        <v>0.51200000000000045</v>
      </c>
      <c r="CB216" s="93">
        <f t="shared" si="232"/>
        <v>3149.1072000000026</v>
      </c>
      <c r="CC216" s="93">
        <f>IF(AW216=DP!$AN$15,AY216*(1+DP!$AQ$15),IF(AW216=DP!$AN$16,AY216*(1+DP!$AQ$16),IF(AW216=DP!$AN$17,AY216*(1+DP!$AQ$17),IF(AW216=DP!$AN$18,AY216*(1+DP!$AQ$18),0*1))))</f>
        <v>73807.199999999997</v>
      </c>
      <c r="CD216" s="102">
        <f>IF(AW216=DP!$AN$22,(DP!$AR$22),IF(AW216=DP!$AN$23,(DP!$AR$23),IF(AW216=DP!$AN$24,(DP!$AR$24),IF(AW216=DP!$AN$25,(DP!$AR$25),((0*1))))))</f>
        <v>3.3045977011494254E-2</v>
      </c>
      <c r="CE216" s="93">
        <f t="shared" si="233"/>
        <v>2439.0310344827585</v>
      </c>
      <c r="CF216" s="100"/>
      <c r="CG216" s="149">
        <f t="shared" si="213"/>
        <v>11805.945849067097</v>
      </c>
      <c r="CH216" s="149">
        <f>DP!$N$35*BA216</f>
        <v>527.58620689655174</v>
      </c>
      <c r="CI216" s="149">
        <f>DP!$O$35*BA216</f>
        <v>2004.8275862068967</v>
      </c>
      <c r="CJ216" s="149">
        <f>DP!$P$35*BA216</f>
        <v>13586.4</v>
      </c>
    </row>
    <row r="217" spans="2:88" x14ac:dyDescent="0.35">
      <c r="B217" s="480">
        <f>DP!S25</f>
        <v>0</v>
      </c>
      <c r="C217" s="480" t="str">
        <f>DP!T25</f>
        <v>PALMITO RODAJA  A-10</v>
      </c>
      <c r="D217" s="480">
        <f>DP!U25</f>
        <v>2920</v>
      </c>
      <c r="E217" s="480">
        <f>DP!V25</f>
        <v>1825</v>
      </c>
      <c r="F217" s="412">
        <f t="shared" si="214"/>
        <v>0</v>
      </c>
      <c r="G217" s="470">
        <f>DP!AC25</f>
        <v>0</v>
      </c>
      <c r="H217" s="98">
        <f t="shared" si="215"/>
        <v>0</v>
      </c>
      <c r="I217" s="97"/>
      <c r="J217" s="102">
        <f t="shared" si="204"/>
        <v>0</v>
      </c>
      <c r="K217" s="98">
        <f t="shared" si="205"/>
        <v>0</v>
      </c>
      <c r="L217" s="93">
        <f t="shared" si="206"/>
        <v>0</v>
      </c>
      <c r="M217" s="99">
        <f t="shared" si="207"/>
        <v>0</v>
      </c>
      <c r="N217" s="100"/>
      <c r="O217" s="102">
        <f>($E217/DP!$O$29)*F217</f>
        <v>0</v>
      </c>
      <c r="P217" s="102">
        <f>IF(O217&gt;0,(DP!$O$31),0*1)</f>
        <v>0</v>
      </c>
      <c r="Q217" s="102">
        <f t="shared" si="216"/>
        <v>0</v>
      </c>
      <c r="R217" s="102">
        <f t="shared" si="217"/>
        <v>0</v>
      </c>
      <c r="S217" s="418">
        <f t="shared" si="218"/>
        <v>0</v>
      </c>
      <c r="T217" s="475">
        <f>H217*DP!$W$44</f>
        <v>0</v>
      </c>
      <c r="U217" s="475">
        <f>IF(H217&gt;0,DP!$X$44,0*1)</f>
        <v>0</v>
      </c>
      <c r="V217" s="475">
        <f t="shared" si="219"/>
        <v>0</v>
      </c>
      <c r="W217" s="475">
        <f>H217*DP!$W$45</f>
        <v>0</v>
      </c>
      <c r="X217" s="475">
        <f>IF(H217&gt;0,DP!$X$45,0*1)</f>
        <v>0</v>
      </c>
      <c r="Y217" s="475">
        <f t="shared" si="220"/>
        <v>0</v>
      </c>
      <c r="Z217" s="100"/>
      <c r="AA217" s="93">
        <f>IF(D217=DP!$L$15,F217*(1+DP!$O$15),IF(D217=DP!$L$16,F217*(1+DP!$O$16),IF(D217=DP!$L$17,F217*(1+DP!$O$17),IF(D217=DP!$L$18,F217*(1+DP!$O$18),0*1))))</f>
        <v>0</v>
      </c>
      <c r="AB217" s="102">
        <f>IF(D217=DP!$L$22,(DP!$M$22),IF(D217=DP!$L$23,(DP!$M$23),IF(D217=DP!$L$24,(DP!$M$24),IF(D217=DP!$L$25,(DP!$M$25),((0*1))))))</f>
        <v>0</v>
      </c>
      <c r="AC217" s="93">
        <f t="shared" si="221"/>
        <v>0</v>
      </c>
      <c r="AD217" s="93">
        <f>IF(D217=DP!$L$15,F217*(1+DP!$O$15),IF(D217=DP!$L$16,F217*(1+DP!$O$16),IF(D217=DP!$L$17,F217*(1+DP!$O$17),IF(D217=DP!$L$18,F217*(1+DP!$O$18),0*1))))</f>
        <v>0</v>
      </c>
      <c r="AE217" s="102">
        <f>IF(D217=DP!$L$22,(DP!$N$22),IF(D217=DP!$L$23,(DP!$N$23),IF(D217=DP!$L$24,(DP!$N$24),IF(D217=DP!$L$25,(DP!$N$25),((0*1))))))</f>
        <v>0</v>
      </c>
      <c r="AF217" s="93">
        <f t="shared" si="222"/>
        <v>0</v>
      </c>
      <c r="AG217" s="93">
        <f>IF(D217=DP!$L$15,(F217/DP!$K$15)*(1+DP!$O$15),IF(D217=DP!$L$16,(F217/DP!$K$16)*(1+DP!$O$16),IF(D217=DP!$L$17,(F217/DP!$K$17)*(1+DP!$O$17),IF(D217=DP!$L$18,(F217/DP!$K$18)*(1+DP!$O$18),0*1))))</f>
        <v>0</v>
      </c>
      <c r="AH217" s="102">
        <f>IF(D217=DP!$L$22,(DP!$O$22),IF(D217=DP!$L$23,(DP!$O$23),IF(D217=DP!$L$24,(DP!$O$24),IF(D217=DP!$L$25,(DP!$O$25),((0*1))))))</f>
        <v>0</v>
      </c>
      <c r="AI217" s="93">
        <f t="shared" si="223"/>
        <v>0</v>
      </c>
      <c r="AJ217" s="93">
        <f>IF(D217=DP!$L$15,F217*(1+DP!$O$15),IF(D217=DP!$L$16,F217*(1+DP!$O$16),IF(D217=DP!$L$17,F217*(1+DP!$O$17),IF(D217=DP!$L$18,F217*(1+DP!$O$18),0*1))))</f>
        <v>0</v>
      </c>
      <c r="AK217" s="102">
        <f>IF(D217=DP!$L$22,(DP!$P$22),IF(D217=DP!$L$23,(DP!$P$23),IF(D217=DP!$L$24,(DP!$P$24),IF(D217=DP!$L$25,(DP!$P$25),((0*1))))))</f>
        <v>0</v>
      </c>
      <c r="AL217" s="93">
        <f t="shared" si="224"/>
        <v>0</v>
      </c>
      <c r="AM217" s="100"/>
      <c r="AN217" s="149">
        <f t="shared" si="208"/>
        <v>0</v>
      </c>
      <c r="AO217" s="149">
        <f>DP!$N$35*H217</f>
        <v>0</v>
      </c>
      <c r="AP217" s="149">
        <f>DP!$O$35*H217</f>
        <v>0</v>
      </c>
      <c r="AQ217" s="149">
        <f>DP!$P$35*H217</f>
        <v>0</v>
      </c>
      <c r="AV217" s="412" t="str">
        <f>DP!AV25</f>
        <v>PIÑA TROZO 822</v>
      </c>
      <c r="AW217" s="412">
        <f>DP!AW25</f>
        <v>822</v>
      </c>
      <c r="AX217" s="412">
        <f>DP!AX25</f>
        <v>500</v>
      </c>
      <c r="AY217" s="412">
        <f t="shared" si="225"/>
        <v>36720</v>
      </c>
      <c r="AZ217" s="470">
        <f>DP!BE25</f>
        <v>0.1</v>
      </c>
      <c r="BA217" s="98">
        <f t="shared" si="226"/>
        <v>18360</v>
      </c>
      <c r="BB217" s="97"/>
      <c r="BC217" s="102">
        <f t="shared" si="209"/>
        <v>1.2984286501572693</v>
      </c>
      <c r="BD217" s="98">
        <f t="shared" si="210"/>
        <v>1.1134286501572692</v>
      </c>
      <c r="BE217" s="93">
        <f t="shared" si="211"/>
        <v>47678.300033774925</v>
      </c>
      <c r="BF217" s="99">
        <f t="shared" si="212"/>
        <v>40885.100033774928</v>
      </c>
      <c r="BG217" s="100"/>
      <c r="BH217" s="102">
        <f>IFERROR((BA217*100%)/DP!$AQ$29,(0*1))</f>
        <v>40800</v>
      </c>
      <c r="BI217" s="102">
        <f>IF(BH217&gt;0,(DP!$AQ$31),0*1)</f>
        <v>0.45</v>
      </c>
      <c r="BJ217" s="435">
        <f t="shared" si="227"/>
        <v>18360</v>
      </c>
      <c r="BK217" s="475">
        <f>BA217*DP!$AY$44</f>
        <v>45.9</v>
      </c>
      <c r="BL217" s="475">
        <f>IF(BA217&gt;0,DP!$AZ$44,0*1)</f>
        <v>0.95</v>
      </c>
      <c r="BM217" s="475">
        <f t="shared" si="228"/>
        <v>43.604999999999997</v>
      </c>
      <c r="BN217" s="102">
        <f>BA217*DP!$AY$45</f>
        <v>3047.76</v>
      </c>
      <c r="BO217" s="102">
        <f>IF(BA217&gt;0,DP!$AZ$45,0*1)</f>
        <v>0.76919999999999999</v>
      </c>
      <c r="BP217" s="475">
        <f t="shared" si="229"/>
        <v>2344.336992</v>
      </c>
      <c r="BQ217" s="100"/>
      <c r="BR217" s="100"/>
      <c r="BS217" s="100"/>
      <c r="BT217" s="93">
        <f>IF(AW217=DP!$AN$15,AY217*(1+DP!$AQ$15),IF(AW217=DP!$AN$16,AY217*(1+DP!$AQ$16),IF(AW217=DP!$AN$17,AY217*(1+DP!$AQ$17),IF(AW217=DP!$AN$18,AY217*(1+DP!$AQ$18),0*1))))</f>
        <v>36903.599999999999</v>
      </c>
      <c r="BU217" s="102">
        <f>IF(AW217=DP!$AN$22,(DP!$AO$22),IF(AW217=DP!$AN$23,(DP!$AO$23),IF(AW217=DP!$AN$24,(DP!$AO$24),IF(AW217=DP!$AN$25,(DP!$AO$25),((0*1))))))</f>
        <v>0.24</v>
      </c>
      <c r="BV217" s="93">
        <f t="shared" si="230"/>
        <v>8856.8639999999996</v>
      </c>
      <c r="BW217" s="93">
        <f>IF(AW217=DP!$AN$15,AY217*(1+DP!$AQ$15),IF(AW217=DP!$AN$16,AY217*(1+DP!$AQ$16),IF(AW217=DP!$AN$17,AY217*(1+DP!$AQ$17),IF(AW217=DP!$AN$18,AY217*(1+DP!$AQ$18),0*1))))</f>
        <v>36903.599999999999</v>
      </c>
      <c r="BX217" s="102">
        <f>IF(AW217=DP!$AN$22,(DP!$AP$22),IF(AW217=DP!$AN$23,(DP!$AP$23),IF(AW217=DP!$AN$24,(DP!$AP$24),IF(AW217=DP!$AN$25,(DP!$AP$25),((0*1))))))</f>
        <v>7.0000000000000007E-2</v>
      </c>
      <c r="BY217" s="93">
        <f t="shared" si="231"/>
        <v>2583.252</v>
      </c>
      <c r="BZ217" s="93">
        <f>IF(AW217=DP!$AN$15,(AY217/DP!$AM$15)*(1+DP!$AQ$15),IF(AW217=DP!$AN$16,(AY217/DP!$AM$16)*(1+DP!$AQ$16),IF(AW217=DP!$AN$17,(AY217/DP!$AM$17)*(1+DP!$AQ$17),IF(AW217=DP!$AN$18,(AY217/DP!$AM$18)*(1+DP!$AQ$18),0*1))))</f>
        <v>3075.2999999999997</v>
      </c>
      <c r="CA217" s="102">
        <f>IF(AW217=DP!$AN$22,(DP!$AQ$22),IF(AW217=DP!$AN$23,(DP!$AQ$23),IF(AW217=DP!$AN$24,(DP!$AQ$24),IF(AW217=DP!$AN$25,(DP!$AQ$25),((0*1))))))</f>
        <v>0.51200000000000045</v>
      </c>
      <c r="CB217" s="93">
        <f t="shared" si="232"/>
        <v>1574.5536000000013</v>
      </c>
      <c r="CC217" s="93">
        <f>IF(AW217=DP!$AN$15,AY217*(1+DP!$AQ$15),IF(AW217=DP!$AN$16,AY217*(1+DP!$AQ$16),IF(AW217=DP!$AN$17,AY217*(1+DP!$AQ$17),IF(AW217=DP!$AN$18,AY217*(1+DP!$AQ$18),0*1))))</f>
        <v>36903.599999999999</v>
      </c>
      <c r="CD217" s="102">
        <f>IF(AW217=DP!$AN$22,(DP!$AR$22),IF(AW217=DP!$AN$23,(DP!$AR$23),IF(AW217=DP!$AN$24,(DP!$AR$24),IF(AW217=DP!$AN$25,(DP!$AR$25),((0*1))))))</f>
        <v>3.3045977011494254E-2</v>
      </c>
      <c r="CE217" s="93">
        <f t="shared" si="233"/>
        <v>1219.5155172413793</v>
      </c>
      <c r="CF217" s="100"/>
      <c r="CG217" s="149">
        <f t="shared" si="213"/>
        <v>5902.9729245335484</v>
      </c>
      <c r="CH217" s="149">
        <f>DP!$N$35*BA217</f>
        <v>263.79310344827587</v>
      </c>
      <c r="CI217" s="149">
        <f>DP!$O$35*BA217</f>
        <v>1002.4137931034484</v>
      </c>
      <c r="CJ217" s="149">
        <f>DP!$P$35*BA217</f>
        <v>6793.2</v>
      </c>
    </row>
    <row r="218" spans="2:88" x14ac:dyDescent="0.35">
      <c r="B218" s="480">
        <f>DP!S26</f>
        <v>0</v>
      </c>
      <c r="C218" s="480">
        <f>DP!T26</f>
        <v>0</v>
      </c>
      <c r="D218" s="480">
        <f>DP!U26</f>
        <v>0</v>
      </c>
      <c r="E218" s="480">
        <f>DP!V26</f>
        <v>0</v>
      </c>
      <c r="F218" s="412">
        <f t="shared" si="214"/>
        <v>0</v>
      </c>
      <c r="G218" s="470">
        <f>DP!AC26</f>
        <v>0</v>
      </c>
      <c r="H218" s="98">
        <f t="shared" si="215"/>
        <v>0</v>
      </c>
      <c r="I218" s="97"/>
      <c r="J218" s="102">
        <f t="shared" si="204"/>
        <v>0</v>
      </c>
      <c r="K218" s="98">
        <f t="shared" si="205"/>
        <v>0</v>
      </c>
      <c r="L218" s="93">
        <f t="shared" si="206"/>
        <v>0</v>
      </c>
      <c r="M218" s="99">
        <f t="shared" si="207"/>
        <v>0</v>
      </c>
      <c r="N218" s="100"/>
      <c r="O218" s="102">
        <f>($E218/DP!$O$29)*F218</f>
        <v>0</v>
      </c>
      <c r="P218" s="102">
        <f>IF(O218&gt;0,(DP!$O$31),0*1)</f>
        <v>0</v>
      </c>
      <c r="Q218" s="102">
        <f t="shared" si="216"/>
        <v>0</v>
      </c>
      <c r="R218" s="102">
        <f t="shared" si="217"/>
        <v>0</v>
      </c>
      <c r="S218" s="418">
        <f t="shared" si="218"/>
        <v>0</v>
      </c>
      <c r="T218" s="475">
        <f>H218*DP!$W$44</f>
        <v>0</v>
      </c>
      <c r="U218" s="475">
        <f>IF(H218&gt;0,DP!$X$44,0*1)</f>
        <v>0</v>
      </c>
      <c r="V218" s="475">
        <f t="shared" si="219"/>
        <v>0</v>
      </c>
      <c r="W218" s="475">
        <f>H218*DP!$W$45</f>
        <v>0</v>
      </c>
      <c r="X218" s="475">
        <f>IF(H218&gt;0,DP!$X$45,0*1)</f>
        <v>0</v>
      </c>
      <c r="Y218" s="475">
        <f t="shared" si="220"/>
        <v>0</v>
      </c>
      <c r="Z218" s="100"/>
      <c r="AA218" s="93">
        <f>IF(D218=DP!$L$15,F218*(1+DP!$O$15),IF(D218=DP!$L$16,F218*(1+DP!$O$16),IF(D218=DP!$L$17,F218*(1+DP!$O$17),IF(D218=DP!$L$18,F218*(1+DP!$O$18),0*1))))</f>
        <v>0</v>
      </c>
      <c r="AB218" s="102">
        <f>IF(D218=DP!$L$22,(DP!$M$22),IF(D218=DP!$L$23,(DP!$M$23),IF(D218=DP!$L$24,(DP!$M$24),IF(D218=DP!$L$25,(DP!$M$25),((0*1))))))</f>
        <v>0</v>
      </c>
      <c r="AC218" s="93">
        <f t="shared" si="221"/>
        <v>0</v>
      </c>
      <c r="AD218" s="93">
        <f>IF(D218=DP!$L$15,F218*(1+DP!$O$15),IF(D218=DP!$L$16,F218*(1+DP!$O$16),IF(D218=DP!$L$17,F218*(1+DP!$O$17),IF(D218=DP!$L$18,F218*(1+DP!$O$18),0*1))))</f>
        <v>0</v>
      </c>
      <c r="AE218" s="102">
        <f>IF(D218=DP!$L$22,(DP!$N$22),IF(D218=DP!$L$23,(DP!$N$23),IF(D218=DP!$L$24,(DP!$N$24),IF(D218=DP!$L$25,(DP!$N$25),((0*1))))))</f>
        <v>0</v>
      </c>
      <c r="AF218" s="93">
        <f t="shared" si="222"/>
        <v>0</v>
      </c>
      <c r="AG218" s="93">
        <f>IF(D218=DP!$L$15,(F218/DP!$K$15)*(1+DP!$O$15),IF(D218=DP!$L$16,(F218/DP!$K$16)*(1+DP!$O$16),IF(D218=DP!$L$17,(F218/DP!$K$17)*(1+DP!$O$17),IF(D218=DP!$L$18,(F218/DP!$K$18)*(1+DP!$O$18),0*1))))</f>
        <v>0</v>
      </c>
      <c r="AH218" s="102">
        <f>IF(D218=DP!$L$22,(DP!$O$22),IF(D218=DP!$L$23,(DP!$O$23),IF(D218=DP!$L$24,(DP!$O$24),IF(D218=DP!$L$25,(DP!$O$25),((0*1))))))</f>
        <v>0</v>
      </c>
      <c r="AI218" s="93">
        <f t="shared" si="223"/>
        <v>0</v>
      </c>
      <c r="AJ218" s="93">
        <f>IF(D218=DP!$L$15,F218*(1+DP!$O$15),IF(D218=DP!$L$16,F218*(1+DP!$O$16),IF(D218=DP!$L$17,F218*(1+DP!$O$17),IF(D218=DP!$L$18,F218*(1+DP!$O$18),0*1))))</f>
        <v>0</v>
      </c>
      <c r="AK218" s="102">
        <f>IF(D218=DP!$L$22,(DP!$P$22),IF(D218=DP!$L$23,(DP!$P$23),IF(D218=DP!$L$24,(DP!$P$24),IF(D218=DP!$L$25,(DP!$P$25),((0*1))))))</f>
        <v>0</v>
      </c>
      <c r="AL218" s="93">
        <f t="shared" si="224"/>
        <v>0</v>
      </c>
      <c r="AM218" s="100"/>
      <c r="AN218" s="149">
        <f t="shared" si="208"/>
        <v>0</v>
      </c>
      <c r="AO218" s="149">
        <f>DP!$N$35*H218</f>
        <v>0</v>
      </c>
      <c r="AP218" s="149">
        <f>DP!$O$35*H218</f>
        <v>0</v>
      </c>
      <c r="AQ218" s="149">
        <f>DP!$P$35*H218</f>
        <v>0</v>
      </c>
      <c r="AV218" s="412">
        <f>DP!AV26</f>
        <v>0</v>
      </c>
      <c r="AW218" s="412">
        <f>DP!AW26</f>
        <v>0</v>
      </c>
      <c r="AX218" s="412">
        <f>DP!AX26</f>
        <v>0</v>
      </c>
      <c r="AY218" s="412">
        <f t="shared" si="225"/>
        <v>0</v>
      </c>
      <c r="AZ218" s="470">
        <f>DP!BE26</f>
        <v>0</v>
      </c>
      <c r="BA218" s="98">
        <f t="shared" si="226"/>
        <v>0</v>
      </c>
      <c r="BB218" s="97"/>
      <c r="BC218" s="102">
        <f t="shared" si="209"/>
        <v>0</v>
      </c>
      <c r="BD218" s="98">
        <f t="shared" si="210"/>
        <v>0</v>
      </c>
      <c r="BE218" s="93">
        <f t="shared" si="211"/>
        <v>0</v>
      </c>
      <c r="BF218" s="99">
        <f t="shared" si="212"/>
        <v>0</v>
      </c>
      <c r="BG218" s="100"/>
      <c r="BH218" s="102">
        <f>IFERROR((BA218*100%)/DP!$AQ$29,(0*1))</f>
        <v>0</v>
      </c>
      <c r="BI218" s="102">
        <f>IF(BH218&gt;0,(DP!$AQ$31),0*1)</f>
        <v>0</v>
      </c>
      <c r="BJ218" s="435">
        <f t="shared" si="227"/>
        <v>0</v>
      </c>
      <c r="BK218" s="475">
        <f>BA218*DP!$AY$44</f>
        <v>0</v>
      </c>
      <c r="BL218" s="475">
        <f>IF(BA218&gt;0,DP!$AZ$44,0*1)</f>
        <v>0</v>
      </c>
      <c r="BM218" s="475">
        <f t="shared" si="228"/>
        <v>0</v>
      </c>
      <c r="BN218" s="102">
        <f>BA218*DP!$AY$45</f>
        <v>0</v>
      </c>
      <c r="BO218" s="102">
        <f>IF(BA218&gt;0,DP!$AZ$45,0*1)</f>
        <v>0</v>
      </c>
      <c r="BP218" s="475">
        <f t="shared" si="229"/>
        <v>0</v>
      </c>
      <c r="BQ218" s="100"/>
      <c r="BR218" s="100"/>
      <c r="BS218" s="100"/>
      <c r="BT218" s="93">
        <f>IF(AW218=DP!$AN$15,AY218*(1+DP!$AQ$15),IF(AW218=DP!$AN$16,AY218*(1+DP!$AQ$16),IF(AW218=DP!$AN$17,AY218*(1+DP!$AQ$17),IF(AW218=DP!$AN$18,AY218*(1+DP!$AQ$18),0*1))))</f>
        <v>0</v>
      </c>
      <c r="BU218" s="102">
        <f>IF(AW218=DP!$AN$22,(DP!$AO$22),IF(AW218=DP!$AN$23,(DP!$AO$23),IF(AW218=DP!$AN$24,(DP!$AO$24),IF(AW218=DP!$AN$25,(DP!$AO$25),((0*1))))))</f>
        <v>0</v>
      </c>
      <c r="BV218" s="93">
        <f t="shared" si="230"/>
        <v>0</v>
      </c>
      <c r="BW218" s="93">
        <f>IF(AW218=DP!$AN$15,AY218*(1+DP!$AQ$15),IF(AW218=DP!$AN$16,AY218*(1+DP!$AQ$16),IF(AW218=DP!$AN$17,AY218*(1+DP!$AQ$17),IF(AW218=DP!$AN$18,AY218*(1+DP!$AQ$18),0*1))))</f>
        <v>0</v>
      </c>
      <c r="BX218" s="102">
        <f>IF(AW218=DP!$AN$22,(DP!$AP$22),IF(AW218=DP!$AN$23,(DP!$AP$23),IF(AW218=DP!$AN$24,(DP!$AP$24),IF(AW218=DP!$AN$25,(DP!$AP$25),((0*1))))))</f>
        <v>0</v>
      </c>
      <c r="BY218" s="93">
        <f t="shared" si="231"/>
        <v>0</v>
      </c>
      <c r="BZ218" s="93">
        <f>IF(AW218=DP!$AN$15,(AY218/DP!$AM$15)*(1+DP!$AQ$15),IF(AW218=DP!$AN$16,(AY218/DP!$AM$16)*(1+DP!$AQ$16),IF(AW218=DP!$AN$17,(AY218/DP!$AM$17)*(1+DP!$AQ$17),IF(AW218=DP!$AN$18,(AY218/DP!$AM$18)*(1+DP!$AQ$18),0*1))))</f>
        <v>0</v>
      </c>
      <c r="CA218" s="102">
        <f>IF(AW218=DP!$AN$22,(DP!$AQ$22),IF(AW218=DP!$AN$23,(DP!$AQ$23),IF(AW218=DP!$AN$24,(DP!$AQ$24),IF(AW218=DP!$AN$25,(DP!$AQ$25),((0*1))))))</f>
        <v>0</v>
      </c>
      <c r="CB218" s="93">
        <f t="shared" si="232"/>
        <v>0</v>
      </c>
      <c r="CC218" s="93">
        <f>IF(AW218=DP!$AN$15,AY218*(1+DP!$AQ$15),IF(AW218=DP!$AN$16,AY218*(1+DP!$AQ$16),IF(AW218=DP!$AN$17,AY218*(1+DP!$AQ$17),IF(AW218=DP!$AN$18,AY218*(1+DP!$AQ$18),0*1))))</f>
        <v>0</v>
      </c>
      <c r="CD218" s="102">
        <f>IF(AW218=DP!$AN$22,(DP!$AR$22),IF(AW218=DP!$AN$23,(DP!$AR$23),IF(AW218=DP!$AN$24,(DP!$AR$24),IF(AW218=DP!$AN$25,(DP!$AR$25),((0*1))))))</f>
        <v>0</v>
      </c>
      <c r="CE218" s="93">
        <f t="shared" si="233"/>
        <v>0</v>
      </c>
      <c r="CF218" s="100"/>
      <c r="CG218" s="149">
        <f t="shared" si="213"/>
        <v>0</v>
      </c>
      <c r="CH218" s="149">
        <f>DP!$N$35*BA218</f>
        <v>0</v>
      </c>
      <c r="CI218" s="149">
        <f>DP!$O$35*BA218</f>
        <v>0</v>
      </c>
      <c r="CJ218" s="149">
        <f>DP!$P$35*BA218</f>
        <v>0</v>
      </c>
    </row>
    <row r="219" spans="2:88" x14ac:dyDescent="0.35">
      <c r="B219" s="480">
        <f>DP!S27</f>
        <v>0</v>
      </c>
      <c r="C219" s="480">
        <f>DP!T27</f>
        <v>0</v>
      </c>
      <c r="D219" s="480">
        <f>DP!U27</f>
        <v>0</v>
      </c>
      <c r="E219" s="480">
        <f>DP!V27</f>
        <v>0</v>
      </c>
      <c r="F219" s="412">
        <f t="shared" si="214"/>
        <v>0</v>
      </c>
      <c r="G219" s="470">
        <f>DP!AC27</f>
        <v>0</v>
      </c>
      <c r="H219" s="98">
        <f t="shared" si="215"/>
        <v>0</v>
      </c>
      <c r="I219" s="97"/>
      <c r="J219" s="102">
        <f t="shared" si="204"/>
        <v>0</v>
      </c>
      <c r="K219" s="98">
        <f t="shared" si="205"/>
        <v>0</v>
      </c>
      <c r="L219" s="93">
        <f t="shared" si="206"/>
        <v>0</v>
      </c>
      <c r="M219" s="99">
        <f t="shared" si="207"/>
        <v>0</v>
      </c>
      <c r="N219" s="100"/>
      <c r="O219" s="102">
        <f>($E219/DP!$O$29)*F219</f>
        <v>0</v>
      </c>
      <c r="P219" s="102">
        <f>IF(O219&gt;0,(DP!$O$31),0*1)</f>
        <v>0</v>
      </c>
      <c r="Q219" s="102">
        <f t="shared" si="216"/>
        <v>0</v>
      </c>
      <c r="R219" s="102">
        <f t="shared" si="217"/>
        <v>0</v>
      </c>
      <c r="S219" s="418">
        <f t="shared" si="218"/>
        <v>0</v>
      </c>
      <c r="T219" s="475">
        <f>H219*DP!$W$44</f>
        <v>0</v>
      </c>
      <c r="U219" s="475">
        <f>IF(H219&gt;0,DP!$X$44,0*1)</f>
        <v>0</v>
      </c>
      <c r="V219" s="475">
        <f t="shared" si="219"/>
        <v>0</v>
      </c>
      <c r="W219" s="475">
        <f>H219*DP!$W$45</f>
        <v>0</v>
      </c>
      <c r="X219" s="475">
        <f>IF(H219&gt;0,DP!$X$45,0*1)</f>
        <v>0</v>
      </c>
      <c r="Y219" s="475">
        <f t="shared" si="220"/>
        <v>0</v>
      </c>
      <c r="Z219" s="100"/>
      <c r="AA219" s="93">
        <f>IF(D219=DP!$L$15,F219*(1+DP!$O$15),IF(D219=DP!$L$16,F219*(1+DP!$O$16),IF(D219=DP!$L$17,F219*(1+DP!$O$17),IF(D219=DP!$L$18,F219*(1+DP!$O$18),0*1))))</f>
        <v>0</v>
      </c>
      <c r="AB219" s="102">
        <f>IF(D219=DP!$L$22,(DP!$M$22),IF(D219=DP!$L$23,(DP!$M$23),IF(D219=DP!$L$24,(DP!$M$24),IF(D219=DP!$L$25,(DP!$M$25),((0*1))))))</f>
        <v>0</v>
      </c>
      <c r="AC219" s="93">
        <f t="shared" si="221"/>
        <v>0</v>
      </c>
      <c r="AD219" s="93">
        <f>IF(D219=DP!$L$15,F219*(1+DP!$O$15),IF(D219=DP!$L$16,F219*(1+DP!$O$16),IF(D219=DP!$L$17,F219*(1+DP!$O$17),IF(D219=DP!$L$18,F219*(1+DP!$O$18),0*1))))</f>
        <v>0</v>
      </c>
      <c r="AE219" s="102">
        <f>IF(D219=DP!$L$22,(DP!$N$22),IF(D219=DP!$L$23,(DP!$N$23),IF(D219=DP!$L$24,(DP!$N$24),IF(D219=DP!$L$25,(DP!$N$25),((0*1))))))</f>
        <v>0</v>
      </c>
      <c r="AF219" s="93">
        <f t="shared" si="222"/>
        <v>0</v>
      </c>
      <c r="AG219" s="93">
        <f>IF(D219=DP!$L$15,(F219/DP!$K$15)*(1+DP!$O$15),IF(D219=DP!$L$16,(F219/DP!$K$16)*(1+DP!$O$16),IF(D219=DP!$L$17,(F219/DP!$K$17)*(1+DP!$O$17),IF(D219=DP!$L$18,(F219/DP!$K$18)*(1+DP!$O$18),0*1))))</f>
        <v>0</v>
      </c>
      <c r="AH219" s="102">
        <f>IF(D219=DP!$L$22,(DP!$O$22),IF(D219=DP!$L$23,(DP!$O$23),IF(D219=DP!$L$24,(DP!$O$24),IF(D219=DP!$L$25,(DP!$O$25),((0*1))))))</f>
        <v>0</v>
      </c>
      <c r="AI219" s="93">
        <f t="shared" si="223"/>
        <v>0</v>
      </c>
      <c r="AJ219" s="93">
        <f>IF(D219=DP!$L$15,F219*(1+DP!$O$15),IF(D219=DP!$L$16,F219*(1+DP!$O$16),IF(D219=DP!$L$17,F219*(1+DP!$O$17),IF(D219=DP!$L$18,F219*(1+DP!$O$18),0*1))))</f>
        <v>0</v>
      </c>
      <c r="AK219" s="102">
        <f>IF(D219=DP!$L$22,(DP!$P$22),IF(D219=DP!$L$23,(DP!$P$23),IF(D219=DP!$L$24,(DP!$P$24),IF(D219=DP!$L$25,(DP!$P$25),((0*1))))))</f>
        <v>0</v>
      </c>
      <c r="AL219" s="93">
        <f t="shared" si="224"/>
        <v>0</v>
      </c>
      <c r="AM219" s="100"/>
      <c r="AN219" s="149">
        <f t="shared" si="208"/>
        <v>0</v>
      </c>
      <c r="AO219" s="149">
        <f>DP!$N$35*H219</f>
        <v>0</v>
      </c>
      <c r="AP219" s="149">
        <f>DP!$O$35*H219</f>
        <v>0</v>
      </c>
      <c r="AQ219" s="149">
        <f>DP!$P$35*H219</f>
        <v>0</v>
      </c>
      <c r="AV219" s="412">
        <f>DP!AV27</f>
        <v>0</v>
      </c>
      <c r="AW219" s="412">
        <f>DP!AW27</f>
        <v>0</v>
      </c>
      <c r="AX219" s="412">
        <f>DP!AX27</f>
        <v>0</v>
      </c>
      <c r="AY219" s="412">
        <f t="shared" si="225"/>
        <v>0</v>
      </c>
      <c r="AZ219" s="470">
        <f>DP!BE27</f>
        <v>0</v>
      </c>
      <c r="BA219" s="98">
        <f t="shared" si="226"/>
        <v>0</v>
      </c>
      <c r="BB219" s="97"/>
      <c r="BC219" s="102">
        <f t="shared" si="209"/>
        <v>0</v>
      </c>
      <c r="BD219" s="98">
        <f t="shared" si="210"/>
        <v>0</v>
      </c>
      <c r="BE219" s="93">
        <f t="shared" si="211"/>
        <v>0</v>
      </c>
      <c r="BF219" s="99">
        <f t="shared" si="212"/>
        <v>0</v>
      </c>
      <c r="BG219" s="100"/>
      <c r="BH219" s="102">
        <f>IFERROR((BA219*100%)/DP!$AQ$29,(0*1))</f>
        <v>0</v>
      </c>
      <c r="BI219" s="102">
        <f>IF(BH219&gt;0,(DP!$AQ$31),0*1)</f>
        <v>0</v>
      </c>
      <c r="BJ219" s="435">
        <f t="shared" si="227"/>
        <v>0</v>
      </c>
      <c r="BK219" s="475">
        <f>BA219*DP!$AY$44</f>
        <v>0</v>
      </c>
      <c r="BL219" s="475">
        <f>IF(BA219&gt;0,DP!$AZ$44,0*1)</f>
        <v>0</v>
      </c>
      <c r="BM219" s="475">
        <f t="shared" si="228"/>
        <v>0</v>
      </c>
      <c r="BN219" s="102">
        <f>BA219*DP!$AY$45</f>
        <v>0</v>
      </c>
      <c r="BO219" s="102">
        <f>IF(BA219&gt;0,DP!$AZ$45,0*1)</f>
        <v>0</v>
      </c>
      <c r="BP219" s="475">
        <f t="shared" si="229"/>
        <v>0</v>
      </c>
      <c r="BQ219" s="100"/>
      <c r="BR219" s="100"/>
      <c r="BS219" s="100"/>
      <c r="BT219" s="93">
        <f>IF(AW219=DP!$AN$15,AY219*(1+DP!$AQ$15),IF(AW219=DP!$AN$16,AY219*(1+DP!$AQ$16),IF(AW219=DP!$AN$17,AY219*(1+DP!$AQ$17),IF(AW219=DP!$AN$18,AY219*(1+DP!$AQ$18),0*1))))</f>
        <v>0</v>
      </c>
      <c r="BU219" s="102">
        <f>IF(AW219=DP!$AN$22,(DP!$AO$22),IF(AW219=DP!$AN$23,(DP!$AO$23),IF(AW219=DP!$AN$24,(DP!$AO$24),IF(AW219=DP!$AN$25,(DP!$AO$25),((0*1))))))</f>
        <v>0</v>
      </c>
      <c r="BV219" s="93">
        <f t="shared" si="230"/>
        <v>0</v>
      </c>
      <c r="BW219" s="93">
        <f>IF(AW219=DP!$AN$15,AY219*(1+DP!$AQ$15),IF(AW219=DP!$AN$16,AY219*(1+DP!$AQ$16),IF(AW219=DP!$AN$17,AY219*(1+DP!$AQ$17),IF(AW219=DP!$AN$18,AY219*(1+DP!$AQ$18),0*1))))</f>
        <v>0</v>
      </c>
      <c r="BX219" s="102">
        <f>IF(AW219=DP!$AN$22,(DP!$AP$22),IF(AW219=DP!$AN$23,(DP!$AP$23),IF(AW219=DP!$AN$24,(DP!$AP$24),IF(AW219=DP!$AN$25,(DP!$AP$25),((0*1))))))</f>
        <v>0</v>
      </c>
      <c r="BY219" s="93">
        <f t="shared" si="231"/>
        <v>0</v>
      </c>
      <c r="BZ219" s="93">
        <f>IF(AW219=DP!$AN$15,(AY219/DP!$AM$15)*(1+DP!$AQ$15),IF(AW219=DP!$AN$16,(AY219/DP!$AM$16)*(1+DP!$AQ$16),IF(AW219=DP!$AN$17,(AY219/DP!$AM$17)*(1+DP!$AQ$17),IF(AW219=DP!$AN$18,(AY219/DP!$AM$18)*(1+DP!$AQ$18),0*1))))</f>
        <v>0</v>
      </c>
      <c r="CA219" s="102">
        <f>IF(AW219=DP!$AN$22,(DP!$AQ$22),IF(AW219=DP!$AN$23,(DP!$AQ$23),IF(AW219=DP!$AN$24,(DP!$AQ$24),IF(AW219=DP!$AN$25,(DP!$AQ$25),((0*1))))))</f>
        <v>0</v>
      </c>
      <c r="CB219" s="93">
        <f t="shared" si="232"/>
        <v>0</v>
      </c>
      <c r="CC219" s="93">
        <f>IF(AW219=DP!$AN$15,AY219*(1+DP!$AQ$15),IF(AW219=DP!$AN$16,AY219*(1+DP!$AQ$16),IF(AW219=DP!$AN$17,AY219*(1+DP!$AQ$17),IF(AW219=DP!$AN$18,AY219*(1+DP!$AQ$18),0*1))))</f>
        <v>0</v>
      </c>
      <c r="CD219" s="102">
        <f>IF(AW219=DP!$AN$22,(DP!$AR$22),IF(AW219=DP!$AN$23,(DP!$AR$23),IF(AW219=DP!$AN$24,(DP!$AR$24),IF(AW219=DP!$AN$25,(DP!$AR$25),((0*1))))))</f>
        <v>0</v>
      </c>
      <c r="CE219" s="93">
        <f t="shared" si="233"/>
        <v>0</v>
      </c>
      <c r="CF219" s="100"/>
      <c r="CG219" s="149">
        <f t="shared" si="213"/>
        <v>0</v>
      </c>
      <c r="CH219" s="149">
        <f>DP!$N$35*BA219</f>
        <v>0</v>
      </c>
      <c r="CI219" s="149">
        <f>DP!$O$35*BA219</f>
        <v>0</v>
      </c>
      <c r="CJ219" s="149">
        <f>DP!$P$35*BA219</f>
        <v>0</v>
      </c>
    </row>
    <row r="220" spans="2:88" x14ac:dyDescent="0.35">
      <c r="B220" s="480">
        <f>DP!S28</f>
        <v>0</v>
      </c>
      <c r="C220" s="480">
        <f>DP!T28</f>
        <v>0</v>
      </c>
      <c r="D220" s="480">
        <f>DP!U28</f>
        <v>0</v>
      </c>
      <c r="E220" s="480">
        <f>DP!V28</f>
        <v>0</v>
      </c>
      <c r="F220" s="412">
        <f t="shared" si="214"/>
        <v>0</v>
      </c>
      <c r="G220" s="470">
        <f>DP!AC28</f>
        <v>0</v>
      </c>
      <c r="H220" s="98">
        <f t="shared" si="215"/>
        <v>0</v>
      </c>
      <c r="I220" s="97"/>
      <c r="J220" s="102">
        <f t="shared" si="204"/>
        <v>0</v>
      </c>
      <c r="K220" s="98">
        <f t="shared" si="205"/>
        <v>0</v>
      </c>
      <c r="L220" s="93">
        <f t="shared" si="206"/>
        <v>0</v>
      </c>
      <c r="M220" s="99">
        <f t="shared" si="207"/>
        <v>0</v>
      </c>
      <c r="N220" s="100"/>
      <c r="O220" s="102">
        <f>($E220/DP!$O$29)*F220</f>
        <v>0</v>
      </c>
      <c r="P220" s="102">
        <f>IF(O220&gt;0,(DP!$O$31),0*1)</f>
        <v>0</v>
      </c>
      <c r="Q220" s="102">
        <f t="shared" si="216"/>
        <v>0</v>
      </c>
      <c r="R220" s="102">
        <f t="shared" si="217"/>
        <v>0</v>
      </c>
      <c r="S220" s="418">
        <f t="shared" si="218"/>
        <v>0</v>
      </c>
      <c r="T220" s="475">
        <f>H220*DP!$W$44</f>
        <v>0</v>
      </c>
      <c r="U220" s="475">
        <f>IF(H220&gt;0,DP!$X$44,0*1)</f>
        <v>0</v>
      </c>
      <c r="V220" s="475">
        <f t="shared" si="219"/>
        <v>0</v>
      </c>
      <c r="W220" s="475">
        <f>H220*DP!$W$45</f>
        <v>0</v>
      </c>
      <c r="X220" s="475">
        <f>IF(H220&gt;0,DP!$X$45,0*1)</f>
        <v>0</v>
      </c>
      <c r="Y220" s="475">
        <f t="shared" si="220"/>
        <v>0</v>
      </c>
      <c r="Z220" s="100"/>
      <c r="AA220" s="93">
        <f>IF(D220=DP!$L$15,F220*(1+DP!$O$15),IF(D220=DP!$L$16,F220*(1+DP!$O$16),IF(D220=DP!$L$17,F220*(1+DP!$O$17),IF(D220=DP!$L$18,F220*(1+DP!$O$18),0*1))))</f>
        <v>0</v>
      </c>
      <c r="AB220" s="102">
        <f>IF(D220=DP!$L$22,(DP!$M$22),IF(D220=DP!$L$23,(DP!$M$23),IF(D220=DP!$L$24,(DP!$M$24),IF(D220=DP!$L$25,(DP!$M$25),((0*1))))))</f>
        <v>0</v>
      </c>
      <c r="AC220" s="93">
        <f t="shared" si="221"/>
        <v>0</v>
      </c>
      <c r="AD220" s="93">
        <f>IF(D220=DP!$L$15,F220*(1+DP!$O$15),IF(D220=DP!$L$16,F220*(1+DP!$O$16),IF(D220=DP!$L$17,F220*(1+DP!$O$17),IF(D220=DP!$L$18,F220*(1+DP!$O$18),0*1))))</f>
        <v>0</v>
      </c>
      <c r="AE220" s="102">
        <f>IF(D220=DP!$L$22,(DP!$N$22),IF(D220=DP!$L$23,(DP!$N$23),IF(D220=DP!$L$24,(DP!$N$24),IF(D220=DP!$L$25,(DP!$N$25),((0*1))))))</f>
        <v>0</v>
      </c>
      <c r="AF220" s="93">
        <f t="shared" si="222"/>
        <v>0</v>
      </c>
      <c r="AG220" s="93">
        <f>IF(D220=DP!$L$15,(F220/DP!$K$15)*(1+DP!$O$15),IF(D220=DP!$L$16,(F220/DP!$K$16)*(1+DP!$O$16),IF(D220=DP!$L$17,(F220/DP!$K$17)*(1+DP!$O$17),IF(D220=DP!$L$18,(F220/DP!$K$18)*(1+DP!$O$18),0*1))))</f>
        <v>0</v>
      </c>
      <c r="AH220" s="102">
        <f>IF(D220=DP!$L$22,(DP!$O$22),IF(D220=DP!$L$23,(DP!$O$23),IF(D220=DP!$L$24,(DP!$O$24),IF(D220=DP!$L$25,(DP!$O$25),((0*1))))))</f>
        <v>0</v>
      </c>
      <c r="AI220" s="93">
        <f t="shared" si="223"/>
        <v>0</v>
      </c>
      <c r="AJ220" s="93">
        <f>IF(D220=DP!$L$15,F220*(1+DP!$O$15),IF(D220=DP!$L$16,F220*(1+DP!$O$16),IF(D220=DP!$L$17,F220*(1+DP!$O$17),IF(D220=DP!$L$18,F220*(1+DP!$O$18),0*1))))</f>
        <v>0</v>
      </c>
      <c r="AK220" s="102">
        <f>IF(D220=DP!$L$22,(DP!$P$22),IF(D220=DP!$L$23,(DP!$P$23),IF(D220=DP!$L$24,(DP!$P$24),IF(D220=DP!$L$25,(DP!$P$25),((0*1))))))</f>
        <v>0</v>
      </c>
      <c r="AL220" s="93">
        <f t="shared" si="224"/>
        <v>0</v>
      </c>
      <c r="AM220" s="100"/>
      <c r="AN220" s="149">
        <f t="shared" si="208"/>
        <v>0</v>
      </c>
      <c r="AO220" s="149">
        <f>DP!$N$35*H220</f>
        <v>0</v>
      </c>
      <c r="AP220" s="149">
        <f>DP!$O$35*H220</f>
        <v>0</v>
      </c>
      <c r="AQ220" s="149">
        <f>DP!$P$35*H220</f>
        <v>0</v>
      </c>
      <c r="AV220" s="412">
        <f>DP!AV28</f>
        <v>0</v>
      </c>
      <c r="AW220" s="412">
        <f>DP!AW28</f>
        <v>0</v>
      </c>
      <c r="AX220" s="412">
        <f>DP!AX28</f>
        <v>0</v>
      </c>
      <c r="AY220" s="412">
        <f t="shared" si="225"/>
        <v>0</v>
      </c>
      <c r="AZ220" s="470">
        <f>DP!BE28</f>
        <v>0</v>
      </c>
      <c r="BA220" s="98">
        <f t="shared" si="226"/>
        <v>0</v>
      </c>
      <c r="BB220" s="97"/>
      <c r="BC220" s="102">
        <f t="shared" si="209"/>
        <v>0</v>
      </c>
      <c r="BD220" s="98">
        <f t="shared" si="210"/>
        <v>0</v>
      </c>
      <c r="BE220" s="93">
        <f t="shared" si="211"/>
        <v>0</v>
      </c>
      <c r="BF220" s="99">
        <f t="shared" si="212"/>
        <v>0</v>
      </c>
      <c r="BG220" s="100"/>
      <c r="BH220" s="102">
        <f>IFERROR((BA220*100%)/DP!$AQ$29,(0*1))</f>
        <v>0</v>
      </c>
      <c r="BI220" s="102">
        <f>IF(BH220&gt;0,(DP!$AQ$31),0*1)</f>
        <v>0</v>
      </c>
      <c r="BJ220" s="435">
        <f t="shared" si="227"/>
        <v>0</v>
      </c>
      <c r="BK220" s="475">
        <f>BA220*DP!$AY$44</f>
        <v>0</v>
      </c>
      <c r="BL220" s="475">
        <f>IF(BA220&gt;0,DP!$AZ$44,0*1)</f>
        <v>0</v>
      </c>
      <c r="BM220" s="475">
        <f t="shared" si="228"/>
        <v>0</v>
      </c>
      <c r="BN220" s="102">
        <f>BA220*DP!$AY$45</f>
        <v>0</v>
      </c>
      <c r="BO220" s="102">
        <f>IF(BA220&gt;0,DP!$AZ$45,0*1)</f>
        <v>0</v>
      </c>
      <c r="BP220" s="475">
        <f t="shared" si="229"/>
        <v>0</v>
      </c>
      <c r="BQ220" s="100"/>
      <c r="BR220" s="100"/>
      <c r="BS220" s="100"/>
      <c r="BT220" s="93">
        <f>IF(AW220=DP!$AN$15,AY220*(1+DP!$AQ$15),IF(AW220=DP!$AN$16,AY220*(1+DP!$AQ$16),IF(AW220=DP!$AN$17,AY220*(1+DP!$AQ$17),IF(AW220=DP!$AN$18,AY220*(1+DP!$AQ$18),0*1))))</f>
        <v>0</v>
      </c>
      <c r="BU220" s="102">
        <f>IF(AW220=DP!$AN$22,(DP!$AO$22),IF(AW220=DP!$AN$23,(DP!$AO$23),IF(AW220=DP!$AN$24,(DP!$AO$24),IF(AW220=DP!$AN$25,(DP!$AO$25),((0*1))))))</f>
        <v>0</v>
      </c>
      <c r="BV220" s="93">
        <f t="shared" si="230"/>
        <v>0</v>
      </c>
      <c r="BW220" s="93">
        <f>IF(AW220=DP!$AN$15,AY220*(1+DP!$AQ$15),IF(AW220=DP!$AN$16,AY220*(1+DP!$AQ$16),IF(AW220=DP!$AN$17,AY220*(1+DP!$AQ$17),IF(AW220=DP!$AN$18,AY220*(1+DP!$AQ$18),0*1))))</f>
        <v>0</v>
      </c>
      <c r="BX220" s="102">
        <f>IF(AW220=DP!$AN$22,(DP!$AP$22),IF(AW220=DP!$AN$23,(DP!$AP$23),IF(AW220=DP!$AN$24,(DP!$AP$24),IF(AW220=DP!$AN$25,(DP!$AP$25),((0*1))))))</f>
        <v>0</v>
      </c>
      <c r="BY220" s="93">
        <f t="shared" si="231"/>
        <v>0</v>
      </c>
      <c r="BZ220" s="93">
        <f>IF(AW220=DP!$AN$15,(AY220/DP!$AM$15)*(1+DP!$AQ$15),IF(AW220=DP!$AN$16,(AY220/DP!$AM$16)*(1+DP!$AQ$16),IF(AW220=DP!$AN$17,(AY220/DP!$AM$17)*(1+DP!$AQ$17),IF(AW220=DP!$AN$18,(AY220/DP!$AM$18)*(1+DP!$AQ$18),0*1))))</f>
        <v>0</v>
      </c>
      <c r="CA220" s="102">
        <f>IF(AW220=DP!$AN$22,(DP!$AQ$22),IF(AW220=DP!$AN$23,(DP!$AQ$23),IF(AW220=DP!$AN$24,(DP!$AQ$24),IF(AW220=DP!$AN$25,(DP!$AQ$25),((0*1))))))</f>
        <v>0</v>
      </c>
      <c r="CB220" s="93">
        <f t="shared" si="232"/>
        <v>0</v>
      </c>
      <c r="CC220" s="93">
        <f>IF(AW220=DP!$AN$15,AY220*(1+DP!$AQ$15),IF(AW220=DP!$AN$16,AY220*(1+DP!$AQ$16),IF(AW220=DP!$AN$17,AY220*(1+DP!$AQ$17),IF(AW220=DP!$AN$18,AY220*(1+DP!$AQ$18),0*1))))</f>
        <v>0</v>
      </c>
      <c r="CD220" s="102">
        <f>IF(AW220=DP!$AN$22,(DP!$AR$22),IF(AW220=DP!$AN$23,(DP!$AR$23),IF(AW220=DP!$AN$24,(DP!$AR$24),IF(AW220=DP!$AN$25,(DP!$AR$25),((0*1))))))</f>
        <v>0</v>
      </c>
      <c r="CE220" s="93">
        <f t="shared" si="233"/>
        <v>0</v>
      </c>
      <c r="CF220" s="100"/>
      <c r="CG220" s="149">
        <f t="shared" si="213"/>
        <v>0</v>
      </c>
      <c r="CH220" s="149">
        <f>DP!$N$35*BA220</f>
        <v>0</v>
      </c>
      <c r="CI220" s="149">
        <f>DP!$O$35*BA220</f>
        <v>0</v>
      </c>
      <c r="CJ220" s="149">
        <f>DP!$P$35*BA220</f>
        <v>0</v>
      </c>
    </row>
    <row r="221" spans="2:88" x14ac:dyDescent="0.35">
      <c r="B221" s="480">
        <f>DP!S29</f>
        <v>0</v>
      </c>
      <c r="C221" s="480">
        <f>DP!T29</f>
        <v>0</v>
      </c>
      <c r="D221" s="480">
        <f>DP!U29</f>
        <v>0</v>
      </c>
      <c r="E221" s="480">
        <f>DP!V29</f>
        <v>0</v>
      </c>
      <c r="F221" s="412">
        <f t="shared" si="214"/>
        <v>0</v>
      </c>
      <c r="G221" s="470">
        <f>DP!AC29</f>
        <v>0</v>
      </c>
      <c r="H221" s="98">
        <f t="shared" si="215"/>
        <v>0</v>
      </c>
      <c r="I221" s="97"/>
      <c r="J221" s="102">
        <f t="shared" si="204"/>
        <v>0</v>
      </c>
      <c r="K221" s="98">
        <f t="shared" si="205"/>
        <v>0</v>
      </c>
      <c r="L221" s="93">
        <f t="shared" si="206"/>
        <v>0</v>
      </c>
      <c r="M221" s="99">
        <f t="shared" si="207"/>
        <v>0</v>
      </c>
      <c r="N221" s="100"/>
      <c r="O221" s="102">
        <f>($E221/DP!$O$29)*F221</f>
        <v>0</v>
      </c>
      <c r="P221" s="102">
        <f>IF(O221&gt;0,(DP!$O$31),0*1)</f>
        <v>0</v>
      </c>
      <c r="Q221" s="102">
        <f t="shared" si="216"/>
        <v>0</v>
      </c>
      <c r="R221" s="102">
        <f t="shared" si="217"/>
        <v>0</v>
      </c>
      <c r="S221" s="418">
        <f t="shared" si="218"/>
        <v>0</v>
      </c>
      <c r="T221" s="475">
        <f>H221*DP!$W$44</f>
        <v>0</v>
      </c>
      <c r="U221" s="475">
        <f>IF(H221&gt;0,DP!$X$44,0*1)</f>
        <v>0</v>
      </c>
      <c r="V221" s="475">
        <f t="shared" si="219"/>
        <v>0</v>
      </c>
      <c r="W221" s="475">
        <f>H221*DP!$W$45</f>
        <v>0</v>
      </c>
      <c r="X221" s="475">
        <f>IF(H221&gt;0,DP!$X$45,0*1)</f>
        <v>0</v>
      </c>
      <c r="Y221" s="475">
        <f t="shared" si="220"/>
        <v>0</v>
      </c>
      <c r="Z221" s="100"/>
      <c r="AA221" s="93">
        <f>IF(D221=DP!$L$15,F221*(1+DP!$O$15),IF(D221=DP!$L$16,F221*(1+DP!$O$16),IF(D221=DP!$L$17,F221*(1+DP!$O$17),IF(D221=DP!$L$18,F221*(1+DP!$O$18),0*1))))</f>
        <v>0</v>
      </c>
      <c r="AB221" s="102">
        <f>IF(D221=DP!$L$22,(DP!$M$22),IF(D221=DP!$L$23,(DP!$M$23),IF(D221=DP!$L$24,(DP!$M$24),IF(D221=DP!$L$25,(DP!$M$25),((0*1))))))</f>
        <v>0</v>
      </c>
      <c r="AC221" s="93">
        <f t="shared" si="221"/>
        <v>0</v>
      </c>
      <c r="AD221" s="93">
        <f>IF(D221=DP!$L$15,F221*(1+DP!$O$15),IF(D221=DP!$L$16,F221*(1+DP!$O$16),IF(D221=DP!$L$17,F221*(1+DP!$O$17),IF(D221=DP!$L$18,F221*(1+DP!$O$18),0*1))))</f>
        <v>0</v>
      </c>
      <c r="AE221" s="102">
        <f>IF(D221=DP!$L$22,(DP!$N$22),IF(D221=DP!$L$23,(DP!$N$23),IF(D221=DP!$L$24,(DP!$N$24),IF(D221=DP!$L$25,(DP!$N$25),((0*1))))))</f>
        <v>0</v>
      </c>
      <c r="AF221" s="93">
        <f t="shared" si="222"/>
        <v>0</v>
      </c>
      <c r="AG221" s="93">
        <f>IF(D221=DP!$L$15,(F221/DP!$K$15)*(1+DP!$O$15),IF(D221=DP!$L$16,(F221/DP!$K$16)*(1+DP!$O$16),IF(D221=DP!$L$17,(F221/DP!$K$17)*(1+DP!$O$17),IF(D221=DP!$L$18,(F221/DP!$K$18)*(1+DP!$O$18),0*1))))</f>
        <v>0</v>
      </c>
      <c r="AH221" s="102">
        <f>IF(D221=DP!$L$22,(DP!$O$22),IF(D221=DP!$L$23,(DP!$O$23),IF(D221=DP!$L$24,(DP!$O$24),IF(D221=DP!$L$25,(DP!$O$25),((0*1))))))</f>
        <v>0</v>
      </c>
      <c r="AI221" s="93">
        <f t="shared" si="223"/>
        <v>0</v>
      </c>
      <c r="AJ221" s="93">
        <f>IF(D221=DP!$L$15,F221*(1+DP!$O$15),IF(D221=DP!$L$16,F221*(1+DP!$O$16),IF(D221=DP!$L$17,F221*(1+DP!$O$17),IF(D221=DP!$L$18,F221*(1+DP!$O$18),0*1))))</f>
        <v>0</v>
      </c>
      <c r="AK221" s="102">
        <f>IF(D221=DP!$L$22,(DP!$P$22),IF(D221=DP!$L$23,(DP!$P$23),IF(D221=DP!$L$24,(DP!$P$24),IF(D221=DP!$L$25,(DP!$P$25),((0*1))))))</f>
        <v>0</v>
      </c>
      <c r="AL221" s="93">
        <f t="shared" si="224"/>
        <v>0</v>
      </c>
      <c r="AM221" s="100"/>
      <c r="AN221" s="149">
        <f t="shared" si="208"/>
        <v>0</v>
      </c>
      <c r="AO221" s="149">
        <f>DP!$N$35*H221</f>
        <v>0</v>
      </c>
      <c r="AP221" s="149">
        <f>DP!$O$35*H221</f>
        <v>0</v>
      </c>
      <c r="AQ221" s="149">
        <f>DP!$P$35*H221</f>
        <v>0</v>
      </c>
      <c r="AV221" s="412">
        <f>DP!AV29</f>
        <v>0</v>
      </c>
      <c r="AW221" s="412">
        <f>DP!AW29</f>
        <v>0</v>
      </c>
      <c r="AX221" s="412">
        <f>DP!AX29</f>
        <v>0</v>
      </c>
      <c r="AY221" s="412">
        <f t="shared" si="225"/>
        <v>0</v>
      </c>
      <c r="AZ221" s="470">
        <f>DP!BE29</f>
        <v>0</v>
      </c>
      <c r="BA221" s="98">
        <f t="shared" si="226"/>
        <v>0</v>
      </c>
      <c r="BB221" s="97"/>
      <c r="BC221" s="102">
        <f t="shared" si="209"/>
        <v>0</v>
      </c>
      <c r="BD221" s="98">
        <f t="shared" si="210"/>
        <v>0</v>
      </c>
      <c r="BE221" s="93">
        <f t="shared" si="211"/>
        <v>0</v>
      </c>
      <c r="BF221" s="99">
        <f t="shared" si="212"/>
        <v>0</v>
      </c>
      <c r="BG221" s="100"/>
      <c r="BH221" s="102">
        <f>IFERROR((BA221*100%)/DP!$AQ$29,(0*1))</f>
        <v>0</v>
      </c>
      <c r="BI221" s="102">
        <f>IF(BH221&gt;0,(DP!$AQ$31),0*1)</f>
        <v>0</v>
      </c>
      <c r="BJ221" s="435">
        <f t="shared" si="227"/>
        <v>0</v>
      </c>
      <c r="BK221" s="475">
        <f>BA221*DP!$AY$44</f>
        <v>0</v>
      </c>
      <c r="BL221" s="475">
        <f>IF(BA221&gt;0,DP!$AZ$44,0*1)</f>
        <v>0</v>
      </c>
      <c r="BM221" s="475">
        <f t="shared" si="228"/>
        <v>0</v>
      </c>
      <c r="BN221" s="102">
        <f>BA221*DP!$AY$45</f>
        <v>0</v>
      </c>
      <c r="BO221" s="102">
        <f>IF(BA221&gt;0,DP!$AZ$45,0*1)</f>
        <v>0</v>
      </c>
      <c r="BP221" s="475">
        <f t="shared" si="229"/>
        <v>0</v>
      </c>
      <c r="BQ221" s="100"/>
      <c r="BR221" s="100"/>
      <c r="BS221" s="100"/>
      <c r="BT221" s="93">
        <f>IF(AW221=DP!$AN$15,AY221*(1+DP!$AQ$15),IF(AW221=DP!$AN$16,AY221*(1+DP!$AQ$16),IF(AW221=DP!$AN$17,AY221*(1+DP!$AQ$17),IF(AW221=DP!$AN$18,AY221*(1+DP!$AQ$18),0*1))))</f>
        <v>0</v>
      </c>
      <c r="BU221" s="102">
        <f>IF(AW221=DP!$AN$22,(DP!$AO$22),IF(AW221=DP!$AN$23,(DP!$AO$23),IF(AW221=DP!$AN$24,(DP!$AO$24),IF(AW221=DP!$AN$25,(DP!$AO$25),((0*1))))))</f>
        <v>0</v>
      </c>
      <c r="BV221" s="93">
        <f t="shared" si="230"/>
        <v>0</v>
      </c>
      <c r="BW221" s="93">
        <f>IF(AW221=DP!$AN$15,AY221*(1+DP!$AQ$15),IF(AW221=DP!$AN$16,AY221*(1+DP!$AQ$16),IF(AW221=DP!$AN$17,AY221*(1+DP!$AQ$17),IF(AW221=DP!$AN$18,AY221*(1+DP!$AQ$18),0*1))))</f>
        <v>0</v>
      </c>
      <c r="BX221" s="102">
        <f>IF(AW221=DP!$AN$22,(DP!$AP$22),IF(AW221=DP!$AN$23,(DP!$AP$23),IF(AW221=DP!$AN$24,(DP!$AP$24),IF(AW221=DP!$AN$25,(DP!$AP$25),((0*1))))))</f>
        <v>0</v>
      </c>
      <c r="BY221" s="93">
        <f t="shared" si="231"/>
        <v>0</v>
      </c>
      <c r="BZ221" s="93">
        <f>IF(AW221=DP!$AN$15,(AY221/DP!$AM$15)*(1+DP!$AQ$15),IF(AW221=DP!$AN$16,(AY221/DP!$AM$16)*(1+DP!$AQ$16),IF(AW221=DP!$AN$17,(AY221/DP!$AM$17)*(1+DP!$AQ$17),IF(AW221=DP!$AN$18,(AY221/DP!$AM$18)*(1+DP!$AQ$18),0*1))))</f>
        <v>0</v>
      </c>
      <c r="CA221" s="102">
        <f>IF(AW221=DP!$AN$22,(DP!$AQ$22),IF(AW221=DP!$AN$23,(DP!$AQ$23),IF(AW221=DP!$AN$24,(DP!$AQ$24),IF(AW221=DP!$AN$25,(DP!$AQ$25),((0*1))))))</f>
        <v>0</v>
      </c>
      <c r="CB221" s="93">
        <f t="shared" si="232"/>
        <v>0</v>
      </c>
      <c r="CC221" s="93">
        <f>IF(AW221=DP!$AN$15,AY221*(1+DP!$AQ$15),IF(AW221=DP!$AN$16,AY221*(1+DP!$AQ$16),IF(AW221=DP!$AN$17,AY221*(1+DP!$AQ$17),IF(AW221=DP!$AN$18,AY221*(1+DP!$AQ$18),0*1))))</f>
        <v>0</v>
      </c>
      <c r="CD221" s="102">
        <f>IF(AW221=DP!$AN$22,(DP!$AR$22),IF(AW221=DP!$AN$23,(DP!$AR$23),IF(AW221=DP!$AN$24,(DP!$AR$24),IF(AW221=DP!$AN$25,(DP!$AR$25),((0*1))))))</f>
        <v>0</v>
      </c>
      <c r="CE221" s="93">
        <f t="shared" si="233"/>
        <v>0</v>
      </c>
      <c r="CF221" s="100"/>
      <c r="CG221" s="149">
        <f t="shared" si="213"/>
        <v>0</v>
      </c>
      <c r="CH221" s="149">
        <f>DP!$N$35*BA221</f>
        <v>0</v>
      </c>
      <c r="CI221" s="149">
        <f>DP!$O$35*BA221</f>
        <v>0</v>
      </c>
      <c r="CJ221" s="149">
        <f>DP!$P$35*BA221</f>
        <v>0</v>
      </c>
    </row>
    <row r="222" spans="2:88" x14ac:dyDescent="0.35">
      <c r="B222" s="480">
        <f>DP!S30</f>
        <v>0</v>
      </c>
      <c r="C222" s="480">
        <f>DP!T30</f>
        <v>0</v>
      </c>
      <c r="D222" s="480">
        <f>DP!U30</f>
        <v>0</v>
      </c>
      <c r="E222" s="480">
        <f>DP!V30</f>
        <v>0</v>
      </c>
      <c r="F222" s="412">
        <f t="shared" si="214"/>
        <v>0</v>
      </c>
      <c r="G222" s="470">
        <f>DP!AC30</f>
        <v>0</v>
      </c>
      <c r="H222" s="98">
        <f t="shared" si="215"/>
        <v>0</v>
      </c>
      <c r="I222" s="97"/>
      <c r="J222" s="102">
        <f t="shared" si="204"/>
        <v>0</v>
      </c>
      <c r="K222" s="98">
        <f t="shared" si="205"/>
        <v>0</v>
      </c>
      <c r="L222" s="93">
        <f t="shared" si="206"/>
        <v>0</v>
      </c>
      <c r="M222" s="99">
        <f t="shared" si="207"/>
        <v>0</v>
      </c>
      <c r="N222" s="100"/>
      <c r="O222" s="102">
        <f>($E222/DP!$O$29)*F222</f>
        <v>0</v>
      </c>
      <c r="P222" s="102">
        <f>IF(O222&gt;0,(DP!$O$31),0*1)</f>
        <v>0</v>
      </c>
      <c r="Q222" s="102">
        <f t="shared" si="216"/>
        <v>0</v>
      </c>
      <c r="R222" s="102">
        <f t="shared" si="217"/>
        <v>0</v>
      </c>
      <c r="S222" s="418">
        <f t="shared" si="218"/>
        <v>0</v>
      </c>
      <c r="T222" s="475">
        <f>H222*DP!$W$44</f>
        <v>0</v>
      </c>
      <c r="U222" s="475">
        <f>IF(H222&gt;0,DP!$X$44,0*1)</f>
        <v>0</v>
      </c>
      <c r="V222" s="475">
        <f t="shared" si="219"/>
        <v>0</v>
      </c>
      <c r="W222" s="475">
        <f>H222*DP!$W$45</f>
        <v>0</v>
      </c>
      <c r="X222" s="475">
        <f>IF(H222&gt;0,DP!$X$45,0*1)</f>
        <v>0</v>
      </c>
      <c r="Y222" s="475">
        <f t="shared" si="220"/>
        <v>0</v>
      </c>
      <c r="Z222" s="100"/>
      <c r="AA222" s="93">
        <f>IF(D222=DP!$L$15,F222*(1+DP!$O$15),IF(D222=DP!$L$16,F222*(1+DP!$O$16),IF(D222=DP!$L$17,F222*(1+DP!$O$17),IF(D222=DP!$L$18,F222*(1+DP!$O$18),0*1))))</f>
        <v>0</v>
      </c>
      <c r="AB222" s="102">
        <f>IF(D222=DP!$L$22,(DP!$M$22),IF(D222=DP!$L$23,(DP!$M$23),IF(D222=DP!$L$24,(DP!$M$24),IF(D222=DP!$L$25,(DP!$M$25),((0*1))))))</f>
        <v>0</v>
      </c>
      <c r="AC222" s="93">
        <f t="shared" si="221"/>
        <v>0</v>
      </c>
      <c r="AD222" s="93">
        <f>IF(D222=DP!$L$15,F222*(1+DP!$O$15),IF(D222=DP!$L$16,F222*(1+DP!$O$16),IF(D222=DP!$L$17,F222*(1+DP!$O$17),IF(D222=DP!$L$18,F222*(1+DP!$O$18),0*1))))</f>
        <v>0</v>
      </c>
      <c r="AE222" s="102">
        <f>IF(D222=DP!$L$22,(DP!$N$22),IF(D222=DP!$L$23,(DP!$N$23),IF(D222=DP!$L$24,(DP!$N$24),IF(D222=DP!$L$25,(DP!$N$25),((0*1))))))</f>
        <v>0</v>
      </c>
      <c r="AF222" s="93">
        <f t="shared" si="222"/>
        <v>0</v>
      </c>
      <c r="AG222" s="93">
        <f>IF(D222=DP!$L$15,(F222/DP!$K$15)*(1+DP!$O$15),IF(D222=DP!$L$16,(F222/DP!$K$16)*(1+DP!$O$16),IF(D222=DP!$L$17,(F222/DP!$K$17)*(1+DP!$O$17),IF(D222=DP!$L$18,(F222/DP!$K$18)*(1+DP!$O$18),0*1))))</f>
        <v>0</v>
      </c>
      <c r="AH222" s="102">
        <f>IF(D222=DP!$L$22,(DP!$O$22),IF(D222=DP!$L$23,(DP!$O$23),IF(D222=DP!$L$24,(DP!$O$24),IF(D222=DP!$L$25,(DP!$O$25),((0*1))))))</f>
        <v>0</v>
      </c>
      <c r="AI222" s="93">
        <f t="shared" si="223"/>
        <v>0</v>
      </c>
      <c r="AJ222" s="93">
        <f>IF(D222=DP!$L$15,F222*(1+DP!$O$15),IF(D222=DP!$L$16,F222*(1+DP!$O$16),IF(D222=DP!$L$17,F222*(1+DP!$O$17),IF(D222=DP!$L$18,F222*(1+DP!$O$18),0*1))))</f>
        <v>0</v>
      </c>
      <c r="AK222" s="102">
        <f>IF(D222=DP!$L$22,(DP!$P$22),IF(D222=DP!$L$23,(DP!$P$23),IF(D222=DP!$L$24,(DP!$P$24),IF(D222=DP!$L$25,(DP!$P$25),((0*1))))))</f>
        <v>0</v>
      </c>
      <c r="AL222" s="93">
        <f t="shared" si="224"/>
        <v>0</v>
      </c>
      <c r="AM222" s="100"/>
      <c r="AN222" s="149">
        <f t="shared" si="208"/>
        <v>0</v>
      </c>
      <c r="AO222" s="149">
        <f>DP!$N$35*H222</f>
        <v>0</v>
      </c>
      <c r="AP222" s="149">
        <f>DP!$O$35*H222</f>
        <v>0</v>
      </c>
      <c r="AQ222" s="149">
        <f>DP!$P$35*H222</f>
        <v>0</v>
      </c>
      <c r="AV222" s="412">
        <f>DP!AV30</f>
        <v>0</v>
      </c>
      <c r="AW222" s="412">
        <f>DP!AW30</f>
        <v>0</v>
      </c>
      <c r="AX222" s="412">
        <f>DP!AX30</f>
        <v>0</v>
      </c>
      <c r="AY222" s="412">
        <f t="shared" si="225"/>
        <v>0</v>
      </c>
      <c r="AZ222" s="470">
        <f>DP!BE30</f>
        <v>0</v>
      </c>
      <c r="BA222" s="98">
        <f t="shared" si="226"/>
        <v>0</v>
      </c>
      <c r="BB222" s="97"/>
      <c r="BC222" s="102">
        <f t="shared" si="209"/>
        <v>0</v>
      </c>
      <c r="BD222" s="98">
        <f t="shared" si="210"/>
        <v>0</v>
      </c>
      <c r="BE222" s="93">
        <f t="shared" si="211"/>
        <v>0</v>
      </c>
      <c r="BF222" s="99">
        <f t="shared" si="212"/>
        <v>0</v>
      </c>
      <c r="BG222" s="100"/>
      <c r="BH222" s="102">
        <f>IFERROR((BA222*100%)/DP!$AQ$29,(0*1))</f>
        <v>0</v>
      </c>
      <c r="BI222" s="102">
        <f>IF(BH222&gt;0,(DP!$AQ$31),0*1)</f>
        <v>0</v>
      </c>
      <c r="BJ222" s="435">
        <f t="shared" si="227"/>
        <v>0</v>
      </c>
      <c r="BK222" s="475">
        <f>BA222*DP!$AY$44</f>
        <v>0</v>
      </c>
      <c r="BL222" s="475">
        <f>IF(BA222&gt;0,DP!$AZ$44,0*1)</f>
        <v>0</v>
      </c>
      <c r="BM222" s="475">
        <f t="shared" si="228"/>
        <v>0</v>
      </c>
      <c r="BN222" s="102">
        <f>BA222*DP!$AY$45</f>
        <v>0</v>
      </c>
      <c r="BO222" s="102">
        <f>IF(BA222&gt;0,DP!$AZ$45,0*1)</f>
        <v>0</v>
      </c>
      <c r="BP222" s="475">
        <f t="shared" si="229"/>
        <v>0</v>
      </c>
      <c r="BQ222" s="100"/>
      <c r="BR222" s="100"/>
      <c r="BS222" s="100"/>
      <c r="BT222" s="93">
        <f>IF(AW222=DP!$AN$15,AY222*(1+DP!$AQ$15),IF(AW222=DP!$AN$16,AY222*(1+DP!$AQ$16),IF(AW222=DP!$AN$17,AY222*(1+DP!$AQ$17),IF(AW222=DP!$AN$18,AY222*(1+DP!$AQ$18),0*1))))</f>
        <v>0</v>
      </c>
      <c r="BU222" s="102">
        <f>IF(AW222=DP!$AN$22,(DP!$AO$22),IF(AW222=DP!$AN$23,(DP!$AO$23),IF(AW222=DP!$AN$24,(DP!$AO$24),IF(AW222=DP!$AN$25,(DP!$AO$25),((0*1))))))</f>
        <v>0</v>
      </c>
      <c r="BV222" s="93">
        <f t="shared" si="230"/>
        <v>0</v>
      </c>
      <c r="BW222" s="93">
        <f>IF(AW222=DP!$AN$15,AY222*(1+DP!$AQ$15),IF(AW222=DP!$AN$16,AY222*(1+DP!$AQ$16),IF(AW222=DP!$AN$17,AY222*(1+DP!$AQ$17),IF(AW222=DP!$AN$18,AY222*(1+DP!$AQ$18),0*1))))</f>
        <v>0</v>
      </c>
      <c r="BX222" s="102">
        <f>IF(AW222=DP!$AN$22,(DP!$AP$22),IF(AW222=DP!$AN$23,(DP!$AP$23),IF(AW222=DP!$AN$24,(DP!$AP$24),IF(AW222=DP!$AN$25,(DP!$AP$25),((0*1))))))</f>
        <v>0</v>
      </c>
      <c r="BY222" s="93">
        <f t="shared" si="231"/>
        <v>0</v>
      </c>
      <c r="BZ222" s="93">
        <f>IF(AW222=DP!$AN$15,(AY222/DP!$AM$15)*(1+DP!$AQ$15),IF(AW222=DP!$AN$16,(AY222/DP!$AM$16)*(1+DP!$AQ$16),IF(AW222=DP!$AN$17,(AY222/DP!$AM$17)*(1+DP!$AQ$17),IF(AW222=DP!$AN$18,(AY222/DP!$AM$18)*(1+DP!$AQ$18),0*1))))</f>
        <v>0</v>
      </c>
      <c r="CA222" s="102">
        <f>IF(AW222=DP!$AN$22,(DP!$AQ$22),IF(AW222=DP!$AN$23,(DP!$AQ$23),IF(AW222=DP!$AN$24,(DP!$AQ$24),IF(AW222=DP!$AN$25,(DP!$AQ$25),((0*1))))))</f>
        <v>0</v>
      </c>
      <c r="CB222" s="93">
        <f t="shared" si="232"/>
        <v>0</v>
      </c>
      <c r="CC222" s="93">
        <f>IF(AW222=DP!$AN$15,AY222*(1+DP!$AQ$15),IF(AW222=DP!$AN$16,AY222*(1+DP!$AQ$16),IF(AW222=DP!$AN$17,AY222*(1+DP!$AQ$17),IF(AW222=DP!$AN$18,AY222*(1+DP!$AQ$18),0*1))))</f>
        <v>0</v>
      </c>
      <c r="CD222" s="102">
        <f>IF(AW222=DP!$AN$22,(DP!$AR$22),IF(AW222=DP!$AN$23,(DP!$AR$23),IF(AW222=DP!$AN$24,(DP!$AR$24),IF(AW222=DP!$AN$25,(DP!$AR$25),((0*1))))))</f>
        <v>0</v>
      </c>
      <c r="CE222" s="93">
        <f t="shared" si="233"/>
        <v>0</v>
      </c>
      <c r="CF222" s="100"/>
      <c r="CG222" s="149">
        <f t="shared" si="213"/>
        <v>0</v>
      </c>
      <c r="CH222" s="149">
        <f>DP!$N$35*BA222</f>
        <v>0</v>
      </c>
      <c r="CI222" s="149">
        <f>DP!$O$35*BA222</f>
        <v>0</v>
      </c>
      <c r="CJ222" s="149">
        <f>DP!$P$35*BA222</f>
        <v>0</v>
      </c>
    </row>
    <row r="223" spans="2:88" x14ac:dyDescent="0.35">
      <c r="B223" s="480">
        <f>DP!S31</f>
        <v>0</v>
      </c>
      <c r="C223" s="480">
        <f>DP!T31</f>
        <v>0</v>
      </c>
      <c r="D223" s="480">
        <f>DP!U31</f>
        <v>0</v>
      </c>
      <c r="E223" s="480">
        <f>DP!V31</f>
        <v>0</v>
      </c>
      <c r="F223" s="412">
        <f t="shared" si="214"/>
        <v>0</v>
      </c>
      <c r="G223" s="470">
        <f>DP!AC31</f>
        <v>0</v>
      </c>
      <c r="H223" s="98">
        <f t="shared" si="215"/>
        <v>0</v>
      </c>
      <c r="I223" s="97"/>
      <c r="J223" s="102">
        <f t="shared" si="204"/>
        <v>0</v>
      </c>
      <c r="K223" s="98">
        <f t="shared" si="205"/>
        <v>0</v>
      </c>
      <c r="L223" s="93">
        <f t="shared" si="206"/>
        <v>0</v>
      </c>
      <c r="M223" s="99">
        <f t="shared" si="207"/>
        <v>0</v>
      </c>
      <c r="N223" s="100"/>
      <c r="O223" s="102">
        <f>($E223/DP!$O$29)*F223</f>
        <v>0</v>
      </c>
      <c r="P223" s="102">
        <f>IF(O223&gt;0,(DP!$O$31),0*1)</f>
        <v>0</v>
      </c>
      <c r="Q223" s="102">
        <f t="shared" si="216"/>
        <v>0</v>
      </c>
      <c r="R223" s="102">
        <f t="shared" si="217"/>
        <v>0</v>
      </c>
      <c r="S223" s="418">
        <f t="shared" si="218"/>
        <v>0</v>
      </c>
      <c r="T223" s="475">
        <f>H223*DP!$W$44</f>
        <v>0</v>
      </c>
      <c r="U223" s="475">
        <f>IF(H223&gt;0,DP!$X$44,0*1)</f>
        <v>0</v>
      </c>
      <c r="V223" s="475">
        <f t="shared" si="219"/>
        <v>0</v>
      </c>
      <c r="W223" s="475">
        <f>H223*DP!$W$45</f>
        <v>0</v>
      </c>
      <c r="X223" s="475">
        <f>IF(H223&gt;0,DP!$X$45,0*1)</f>
        <v>0</v>
      </c>
      <c r="Y223" s="475">
        <f t="shared" si="220"/>
        <v>0</v>
      </c>
      <c r="Z223" s="100"/>
      <c r="AA223" s="93">
        <f>IF(D223=DP!$L$15,F223*(1+DP!$O$15),IF(D223=DP!$L$16,F223*(1+DP!$O$16),IF(D223=DP!$L$17,F223*(1+DP!$O$17),IF(D223=DP!$L$18,F223*(1+DP!$O$18),0*1))))</f>
        <v>0</v>
      </c>
      <c r="AB223" s="102">
        <f>IF(D223=DP!$L$22,(DP!$M$22),IF(D223=DP!$L$23,(DP!$M$23),IF(D223=DP!$L$24,(DP!$M$24),IF(D223=DP!$L$25,(DP!$M$25),((0*1))))))</f>
        <v>0</v>
      </c>
      <c r="AC223" s="93">
        <f t="shared" si="221"/>
        <v>0</v>
      </c>
      <c r="AD223" s="93">
        <f>IF(D223=DP!$L$15,F223*(1+DP!$O$15),IF(D223=DP!$L$16,F223*(1+DP!$O$16),IF(D223=DP!$L$17,F223*(1+DP!$O$17),IF(D223=DP!$L$18,F223*(1+DP!$O$18),0*1))))</f>
        <v>0</v>
      </c>
      <c r="AE223" s="102">
        <f>IF(D223=DP!$L$22,(DP!$N$22),IF(D223=DP!$L$23,(DP!$N$23),IF(D223=DP!$L$24,(DP!$N$24),IF(D223=DP!$L$25,(DP!$N$25),((0*1))))))</f>
        <v>0</v>
      </c>
      <c r="AF223" s="93">
        <f t="shared" si="222"/>
        <v>0</v>
      </c>
      <c r="AG223" s="93">
        <f>IF(D223=DP!$L$15,(F223/DP!$K$15)*(1+DP!$O$15),IF(D223=DP!$L$16,(F223/DP!$K$16)*(1+DP!$O$16),IF(D223=DP!$L$17,(F223/DP!$K$17)*(1+DP!$O$17),IF(D223=DP!$L$18,(F223/DP!$K$18)*(1+DP!$O$18),0*1))))</f>
        <v>0</v>
      </c>
      <c r="AH223" s="102">
        <f>IF(D223=DP!$L$22,(DP!$O$22),IF(D223=DP!$L$23,(DP!$O$23),IF(D223=DP!$L$24,(DP!$O$24),IF(D223=DP!$L$25,(DP!$O$25),((0*1))))))</f>
        <v>0</v>
      </c>
      <c r="AI223" s="93">
        <f t="shared" si="223"/>
        <v>0</v>
      </c>
      <c r="AJ223" s="93">
        <f>IF(D223=DP!$L$15,F223*(1+DP!$O$15),IF(D223=DP!$L$16,F223*(1+DP!$O$16),IF(D223=DP!$L$17,F223*(1+DP!$O$17),IF(D223=DP!$L$18,F223*(1+DP!$O$18),0*1))))</f>
        <v>0</v>
      </c>
      <c r="AK223" s="102">
        <f>IF(D223=DP!$L$22,(DP!$P$22),IF(D223=DP!$L$23,(DP!$P$23),IF(D223=DP!$L$24,(DP!$P$24),IF(D223=DP!$L$25,(DP!$P$25),((0*1))))))</f>
        <v>0</v>
      </c>
      <c r="AL223" s="93">
        <f t="shared" si="224"/>
        <v>0</v>
      </c>
      <c r="AM223" s="100"/>
      <c r="AN223" s="149">
        <f t="shared" si="208"/>
        <v>0</v>
      </c>
      <c r="AO223" s="149">
        <f>DP!$N$35*H223</f>
        <v>0</v>
      </c>
      <c r="AP223" s="149">
        <f>DP!$O$35*H223</f>
        <v>0</v>
      </c>
      <c r="AQ223" s="149">
        <f>DP!$P$35*H223</f>
        <v>0</v>
      </c>
      <c r="AV223" s="412">
        <f>DP!AV31</f>
        <v>0</v>
      </c>
      <c r="AW223" s="412">
        <f>DP!AW31</f>
        <v>0</v>
      </c>
      <c r="AX223" s="412">
        <f>DP!AX31</f>
        <v>0</v>
      </c>
      <c r="AY223" s="412">
        <f t="shared" si="225"/>
        <v>0</v>
      </c>
      <c r="AZ223" s="470">
        <f>DP!BE31</f>
        <v>0</v>
      </c>
      <c r="BA223" s="98">
        <f t="shared" si="226"/>
        <v>0</v>
      </c>
      <c r="BB223" s="97"/>
      <c r="BC223" s="102">
        <f t="shared" si="209"/>
        <v>0</v>
      </c>
      <c r="BD223" s="98">
        <f t="shared" si="210"/>
        <v>0</v>
      </c>
      <c r="BE223" s="93">
        <f t="shared" si="211"/>
        <v>0</v>
      </c>
      <c r="BF223" s="99">
        <f t="shared" si="212"/>
        <v>0</v>
      </c>
      <c r="BG223" s="100"/>
      <c r="BH223" s="102">
        <f>IFERROR((BA223*100%)/DP!$AQ$29,(0*1))</f>
        <v>0</v>
      </c>
      <c r="BI223" s="102">
        <f>IF(BH223&gt;0,(DP!$AQ$31),0*1)</f>
        <v>0</v>
      </c>
      <c r="BJ223" s="435">
        <f t="shared" si="227"/>
        <v>0</v>
      </c>
      <c r="BK223" s="475">
        <f>BA223*DP!$AY$44</f>
        <v>0</v>
      </c>
      <c r="BL223" s="475">
        <f>IF(BA223&gt;0,DP!$AZ$44,0*1)</f>
        <v>0</v>
      </c>
      <c r="BM223" s="475">
        <f t="shared" si="228"/>
        <v>0</v>
      </c>
      <c r="BN223" s="102">
        <f>BA223*DP!$AY$45</f>
        <v>0</v>
      </c>
      <c r="BO223" s="102">
        <f>IF(BA223&gt;0,DP!$AZ$45,0*1)</f>
        <v>0</v>
      </c>
      <c r="BP223" s="475">
        <f t="shared" si="229"/>
        <v>0</v>
      </c>
      <c r="BQ223" s="100"/>
      <c r="BR223" s="100"/>
      <c r="BS223" s="100"/>
      <c r="BT223" s="93">
        <f>IF(AW223=DP!$AN$15,AY223*(1+DP!$AQ$15),IF(AW223=DP!$AN$16,AY223*(1+DP!$AQ$16),IF(AW223=DP!$AN$17,AY223*(1+DP!$AQ$17),IF(AW223=DP!$AN$18,AY223*(1+DP!$AQ$18),0*1))))</f>
        <v>0</v>
      </c>
      <c r="BU223" s="102">
        <f>IF(AW223=DP!$AN$22,(DP!$AO$22),IF(AW223=DP!$AN$23,(DP!$AO$23),IF(AW223=DP!$AN$24,(DP!$AO$24),IF(AW223=DP!$AN$25,(DP!$AO$25),((0*1))))))</f>
        <v>0</v>
      </c>
      <c r="BV223" s="93">
        <f t="shared" si="230"/>
        <v>0</v>
      </c>
      <c r="BW223" s="93">
        <f>IF(AW223=DP!$AN$15,AY223*(1+DP!$AQ$15),IF(AW223=DP!$AN$16,AY223*(1+DP!$AQ$16),IF(AW223=DP!$AN$17,AY223*(1+DP!$AQ$17),IF(AW223=DP!$AN$18,AY223*(1+DP!$AQ$18),0*1))))</f>
        <v>0</v>
      </c>
      <c r="BX223" s="102">
        <f>IF(AW223=DP!$AN$22,(DP!$AP$22),IF(AW223=DP!$AN$23,(DP!$AP$23),IF(AW223=DP!$AN$24,(DP!$AP$24),IF(AW223=DP!$AN$25,(DP!$AP$25),((0*1))))))</f>
        <v>0</v>
      </c>
      <c r="BY223" s="93">
        <f t="shared" si="231"/>
        <v>0</v>
      </c>
      <c r="BZ223" s="93">
        <f>IF(AW223=DP!$AN$15,(AY223/DP!$AM$15)*(1+DP!$AQ$15),IF(AW223=DP!$AN$16,(AY223/DP!$AM$16)*(1+DP!$AQ$16),IF(AW223=DP!$AN$17,(AY223/DP!$AM$17)*(1+DP!$AQ$17),IF(AW223=DP!$AN$18,(AY223/DP!$AM$18)*(1+DP!$AQ$18),0*1))))</f>
        <v>0</v>
      </c>
      <c r="CA223" s="102">
        <f>IF(AW223=DP!$AN$22,(DP!$AQ$22),IF(AW223=DP!$AN$23,(DP!$AQ$23),IF(AW223=DP!$AN$24,(DP!$AQ$24),IF(AW223=DP!$AN$25,(DP!$AQ$25),((0*1))))))</f>
        <v>0</v>
      </c>
      <c r="CB223" s="93">
        <f t="shared" si="232"/>
        <v>0</v>
      </c>
      <c r="CC223" s="93">
        <f>IF(AW223=DP!$AN$15,AY223*(1+DP!$AQ$15),IF(AW223=DP!$AN$16,AY223*(1+DP!$AQ$16),IF(AW223=DP!$AN$17,AY223*(1+DP!$AQ$17),IF(AW223=DP!$AN$18,AY223*(1+DP!$AQ$18),0*1))))</f>
        <v>0</v>
      </c>
      <c r="CD223" s="102">
        <f>IF(AW223=DP!$AN$22,(DP!$AR$22),IF(AW223=DP!$AN$23,(DP!$AR$23),IF(AW223=DP!$AN$24,(DP!$AR$24),IF(AW223=DP!$AN$25,(DP!$AR$25),((0*1))))))</f>
        <v>0</v>
      </c>
      <c r="CE223" s="93">
        <f t="shared" si="233"/>
        <v>0</v>
      </c>
      <c r="CF223" s="100"/>
      <c r="CG223" s="149">
        <f t="shared" si="213"/>
        <v>0</v>
      </c>
      <c r="CH223" s="149">
        <f>DP!$N$35*BA223</f>
        <v>0</v>
      </c>
      <c r="CI223" s="149">
        <f>DP!$O$35*BA223</f>
        <v>0</v>
      </c>
      <c r="CJ223" s="149">
        <f>DP!$P$35*BA223</f>
        <v>0</v>
      </c>
    </row>
    <row r="224" spans="2:88" x14ac:dyDescent="0.35">
      <c r="B224" s="480">
        <f>DP!S32</f>
        <v>0</v>
      </c>
      <c r="C224" s="480">
        <f>DP!T32</f>
        <v>0</v>
      </c>
      <c r="D224" s="480">
        <f>DP!U32</f>
        <v>0</v>
      </c>
      <c r="E224" s="480">
        <f>DP!V32</f>
        <v>0</v>
      </c>
      <c r="F224" s="412">
        <f t="shared" si="214"/>
        <v>0</v>
      </c>
      <c r="G224" s="470">
        <f>DP!AC32</f>
        <v>0</v>
      </c>
      <c r="H224" s="98">
        <f t="shared" si="215"/>
        <v>0</v>
      </c>
      <c r="I224" s="97"/>
      <c r="J224" s="102">
        <f t="shared" si="204"/>
        <v>0</v>
      </c>
      <c r="K224" s="98">
        <f t="shared" si="205"/>
        <v>0</v>
      </c>
      <c r="L224" s="93">
        <f t="shared" si="206"/>
        <v>0</v>
      </c>
      <c r="M224" s="99">
        <f t="shared" si="207"/>
        <v>0</v>
      </c>
      <c r="N224" s="100"/>
      <c r="O224" s="102">
        <f>($E224/DP!$O$29)*F224</f>
        <v>0</v>
      </c>
      <c r="P224" s="102">
        <f>IF(O224&gt;0,(DP!$O$31),0*1)</f>
        <v>0</v>
      </c>
      <c r="Q224" s="102">
        <f t="shared" si="216"/>
        <v>0</v>
      </c>
      <c r="R224" s="102">
        <f t="shared" si="217"/>
        <v>0</v>
      </c>
      <c r="S224" s="418">
        <f t="shared" si="218"/>
        <v>0</v>
      </c>
      <c r="T224" s="475">
        <f>H224*DP!$W$44</f>
        <v>0</v>
      </c>
      <c r="U224" s="475">
        <f>IF(H224&gt;0,DP!$X$44,0*1)</f>
        <v>0</v>
      </c>
      <c r="V224" s="475">
        <f t="shared" si="219"/>
        <v>0</v>
      </c>
      <c r="W224" s="475">
        <f>H224*DP!$W$45</f>
        <v>0</v>
      </c>
      <c r="X224" s="475">
        <f>IF(H224&gt;0,DP!$X$45,0*1)</f>
        <v>0</v>
      </c>
      <c r="Y224" s="475">
        <f t="shared" si="220"/>
        <v>0</v>
      </c>
      <c r="Z224" s="100"/>
      <c r="AA224" s="93">
        <f>IF(D224=DP!$L$15,F224*(1+DP!$O$15),IF(D224=DP!$L$16,F224*(1+DP!$O$16),IF(D224=DP!$L$17,F224*(1+DP!$O$17),IF(D224=DP!$L$18,F224*(1+DP!$O$18),0*1))))</f>
        <v>0</v>
      </c>
      <c r="AB224" s="102">
        <f>IF(D224=DP!$L$22,(DP!$M$22),IF(D224=DP!$L$23,(DP!$M$23),IF(D224=DP!$L$24,(DP!$M$24),IF(D224=DP!$L$25,(DP!$M$25),((0*1))))))</f>
        <v>0</v>
      </c>
      <c r="AC224" s="93">
        <f t="shared" si="221"/>
        <v>0</v>
      </c>
      <c r="AD224" s="93">
        <f>IF(D224=DP!$L$15,F224*(1+DP!$O$15),IF(D224=DP!$L$16,F224*(1+DP!$O$16),IF(D224=DP!$L$17,F224*(1+DP!$O$17),IF(D224=DP!$L$18,F224*(1+DP!$O$18),0*1))))</f>
        <v>0</v>
      </c>
      <c r="AE224" s="102">
        <f>IF(D224=DP!$L$22,(DP!$N$22),IF(D224=DP!$L$23,(DP!$N$23),IF(D224=DP!$L$24,(DP!$N$24),IF(D224=DP!$L$25,(DP!$N$25),((0*1))))))</f>
        <v>0</v>
      </c>
      <c r="AF224" s="93">
        <f t="shared" si="222"/>
        <v>0</v>
      </c>
      <c r="AG224" s="93">
        <f>IF(D224=DP!$L$15,(F224/DP!$K$15)*(1+DP!$O$15),IF(D224=DP!$L$16,(F224/DP!$K$16)*(1+DP!$O$16),IF(D224=DP!$L$17,(F224/DP!$K$17)*(1+DP!$O$17),IF(D224=DP!$L$18,(F224/DP!$K$18)*(1+DP!$O$18),0*1))))</f>
        <v>0</v>
      </c>
      <c r="AH224" s="102">
        <f>IF(D224=DP!$L$22,(DP!$O$22),IF(D224=DP!$L$23,(DP!$O$23),IF(D224=DP!$L$24,(DP!$O$24),IF(D224=DP!$L$25,(DP!$O$25),((0*1))))))</f>
        <v>0</v>
      </c>
      <c r="AI224" s="93">
        <f t="shared" si="223"/>
        <v>0</v>
      </c>
      <c r="AJ224" s="93">
        <f>IF(D224=DP!$L$15,F224*(1+DP!$O$15),IF(D224=DP!$L$16,F224*(1+DP!$O$16),IF(D224=DP!$L$17,F224*(1+DP!$O$17),IF(D224=DP!$L$18,F224*(1+DP!$O$18),0*1))))</f>
        <v>0</v>
      </c>
      <c r="AK224" s="102">
        <f>IF(D224=DP!$L$22,(DP!$P$22),IF(D224=DP!$L$23,(DP!$P$23),IF(D224=DP!$L$24,(DP!$P$24),IF(D224=DP!$L$25,(DP!$P$25),((0*1))))))</f>
        <v>0</v>
      </c>
      <c r="AL224" s="93">
        <f t="shared" si="224"/>
        <v>0</v>
      </c>
      <c r="AM224" s="100"/>
      <c r="AN224" s="149">
        <f t="shared" si="208"/>
        <v>0</v>
      </c>
      <c r="AO224" s="149">
        <f>DP!$N$35*H224</f>
        <v>0</v>
      </c>
      <c r="AP224" s="149">
        <f>DP!$O$35*H224</f>
        <v>0</v>
      </c>
      <c r="AQ224" s="149">
        <f>DP!$P$35*H224</f>
        <v>0</v>
      </c>
      <c r="AV224" s="412">
        <f>DP!AV32</f>
        <v>0</v>
      </c>
      <c r="AW224" s="412">
        <f>DP!AW32</f>
        <v>0</v>
      </c>
      <c r="AX224" s="412">
        <f>DP!AX32</f>
        <v>0</v>
      </c>
      <c r="AY224" s="412">
        <f t="shared" si="225"/>
        <v>0</v>
      </c>
      <c r="AZ224" s="470">
        <f>DP!BE32</f>
        <v>0</v>
      </c>
      <c r="BA224" s="98">
        <f t="shared" si="226"/>
        <v>0</v>
      </c>
      <c r="BB224" s="97"/>
      <c r="BC224" s="102">
        <f t="shared" si="209"/>
        <v>0</v>
      </c>
      <c r="BD224" s="98">
        <f t="shared" si="210"/>
        <v>0</v>
      </c>
      <c r="BE224" s="93">
        <f t="shared" si="211"/>
        <v>0</v>
      </c>
      <c r="BF224" s="99">
        <f t="shared" si="212"/>
        <v>0</v>
      </c>
      <c r="BG224" s="100"/>
      <c r="BH224" s="102">
        <f>IFERROR((BA224*100%)/DP!$AQ$29,(0*1))</f>
        <v>0</v>
      </c>
      <c r="BI224" s="102">
        <f>IF(BH224&gt;0,(DP!$AQ$31),0*1)</f>
        <v>0</v>
      </c>
      <c r="BJ224" s="435">
        <f t="shared" si="227"/>
        <v>0</v>
      </c>
      <c r="BK224" s="475">
        <f>BA224*DP!$AY$44</f>
        <v>0</v>
      </c>
      <c r="BL224" s="475">
        <f>IF(BA224&gt;0,DP!$AZ$44,0*1)</f>
        <v>0</v>
      </c>
      <c r="BM224" s="475">
        <f t="shared" si="228"/>
        <v>0</v>
      </c>
      <c r="BN224" s="102">
        <f>BA224*DP!$AY$45</f>
        <v>0</v>
      </c>
      <c r="BO224" s="102">
        <f>IF(BA224&gt;0,DP!$AZ$45,0*1)</f>
        <v>0</v>
      </c>
      <c r="BP224" s="475">
        <f t="shared" si="229"/>
        <v>0</v>
      </c>
      <c r="BQ224" s="100"/>
      <c r="BR224" s="100"/>
      <c r="BS224" s="100"/>
      <c r="BT224" s="93">
        <f>IF(AW224=DP!$AN$15,AY224*(1+DP!$AQ$15),IF(AW224=DP!$AN$16,AY224*(1+DP!$AQ$16),IF(AW224=DP!$AN$17,AY224*(1+DP!$AQ$17),IF(AW224=DP!$AN$18,AY224*(1+DP!$AQ$18),0*1))))</f>
        <v>0</v>
      </c>
      <c r="BU224" s="102">
        <f>IF(AW224=DP!$AN$22,(DP!$AO$22),IF(AW224=DP!$AN$23,(DP!$AO$23),IF(AW224=DP!$AN$24,(DP!$AO$24),IF(AW224=DP!$AN$25,(DP!$AO$25),((0*1))))))</f>
        <v>0</v>
      </c>
      <c r="BV224" s="93">
        <f t="shared" si="230"/>
        <v>0</v>
      </c>
      <c r="BW224" s="93">
        <f>IF(AW224=DP!$AN$15,AY224*(1+DP!$AQ$15),IF(AW224=DP!$AN$16,AY224*(1+DP!$AQ$16),IF(AW224=DP!$AN$17,AY224*(1+DP!$AQ$17),IF(AW224=DP!$AN$18,AY224*(1+DP!$AQ$18),0*1))))</f>
        <v>0</v>
      </c>
      <c r="BX224" s="102">
        <f>IF(AW224=DP!$AN$22,(DP!$AP$22),IF(AW224=DP!$AN$23,(DP!$AP$23),IF(AW224=DP!$AN$24,(DP!$AP$24),IF(AW224=DP!$AN$25,(DP!$AP$25),((0*1))))))</f>
        <v>0</v>
      </c>
      <c r="BY224" s="93">
        <f t="shared" si="231"/>
        <v>0</v>
      </c>
      <c r="BZ224" s="93">
        <f>IF(AW224=DP!$AN$15,(AY224/DP!$AM$15)*(1+DP!$AQ$15),IF(AW224=DP!$AN$16,(AY224/DP!$AM$16)*(1+DP!$AQ$16),IF(AW224=DP!$AN$17,(AY224/DP!$AM$17)*(1+DP!$AQ$17),IF(AW224=DP!$AN$18,(AY224/DP!$AM$18)*(1+DP!$AQ$18),0*1))))</f>
        <v>0</v>
      </c>
      <c r="CA224" s="102">
        <f>IF(AW224=DP!$AN$22,(DP!$AQ$22),IF(AW224=DP!$AN$23,(DP!$AQ$23),IF(AW224=DP!$AN$24,(DP!$AQ$24),IF(AW224=DP!$AN$25,(DP!$AQ$25),((0*1))))))</f>
        <v>0</v>
      </c>
      <c r="CB224" s="93">
        <f t="shared" si="232"/>
        <v>0</v>
      </c>
      <c r="CC224" s="93">
        <f>IF(AW224=DP!$AN$15,AY224*(1+DP!$AQ$15),IF(AW224=DP!$AN$16,AY224*(1+DP!$AQ$16),IF(AW224=DP!$AN$17,AY224*(1+DP!$AQ$17),IF(AW224=DP!$AN$18,AY224*(1+DP!$AQ$18),0*1))))</f>
        <v>0</v>
      </c>
      <c r="CD224" s="102">
        <f>IF(AW224=DP!$AN$22,(DP!$AR$22),IF(AW224=DP!$AN$23,(DP!$AR$23),IF(AW224=DP!$AN$24,(DP!$AR$24),IF(AW224=DP!$AN$25,(DP!$AR$25),((0*1))))))</f>
        <v>0</v>
      </c>
      <c r="CE224" s="93">
        <f t="shared" si="233"/>
        <v>0</v>
      </c>
      <c r="CF224" s="100"/>
      <c r="CG224" s="149">
        <f t="shared" si="213"/>
        <v>0</v>
      </c>
      <c r="CH224" s="149">
        <f>DP!$N$35*BA224</f>
        <v>0</v>
      </c>
      <c r="CI224" s="149">
        <f>DP!$O$35*BA224</f>
        <v>0</v>
      </c>
      <c r="CJ224" s="149">
        <f>DP!$P$35*BA224</f>
        <v>0</v>
      </c>
    </row>
    <row r="225" spans="2:88" x14ac:dyDescent="0.35">
      <c r="B225" s="480">
        <f>DP!S33</f>
        <v>0</v>
      </c>
      <c r="C225" s="480">
        <f>DP!T33</f>
        <v>0</v>
      </c>
      <c r="D225" s="480">
        <f>DP!U33</f>
        <v>0</v>
      </c>
      <c r="E225" s="480">
        <f>DP!V33</f>
        <v>0</v>
      </c>
      <c r="F225" s="412">
        <f t="shared" si="214"/>
        <v>0</v>
      </c>
      <c r="G225" s="470">
        <f>DP!AC33</f>
        <v>0</v>
      </c>
      <c r="H225" s="98">
        <f t="shared" si="215"/>
        <v>0</v>
      </c>
      <c r="I225" s="97"/>
      <c r="J225" s="102">
        <f t="shared" si="204"/>
        <v>0</v>
      </c>
      <c r="K225" s="98">
        <f t="shared" si="205"/>
        <v>0</v>
      </c>
      <c r="L225" s="93">
        <f t="shared" si="206"/>
        <v>0</v>
      </c>
      <c r="M225" s="99">
        <f t="shared" si="207"/>
        <v>0</v>
      </c>
      <c r="N225" s="100"/>
      <c r="O225" s="102">
        <f>($E225/DP!$O$29)*F225</f>
        <v>0</v>
      </c>
      <c r="P225" s="102">
        <f>IF(O225&gt;0,(DP!$O$31),0*1)</f>
        <v>0</v>
      </c>
      <c r="Q225" s="102">
        <f t="shared" si="216"/>
        <v>0</v>
      </c>
      <c r="R225" s="102">
        <f t="shared" si="217"/>
        <v>0</v>
      </c>
      <c r="S225" s="418">
        <f t="shared" si="218"/>
        <v>0</v>
      </c>
      <c r="T225" s="475">
        <f>H225*DP!$W$44</f>
        <v>0</v>
      </c>
      <c r="U225" s="475">
        <f>IF(H225&gt;0,DP!$X$44,0*1)</f>
        <v>0</v>
      </c>
      <c r="V225" s="475">
        <f t="shared" si="219"/>
        <v>0</v>
      </c>
      <c r="W225" s="475">
        <f>H225*DP!$W$45</f>
        <v>0</v>
      </c>
      <c r="X225" s="475">
        <f>IF(H225&gt;0,DP!$X$45,0*1)</f>
        <v>0</v>
      </c>
      <c r="Y225" s="475">
        <f t="shared" si="220"/>
        <v>0</v>
      </c>
      <c r="Z225" s="100"/>
      <c r="AA225" s="93">
        <f>IF(D225=DP!$L$15,F225*(1+DP!$O$15),IF(D225=DP!$L$16,F225*(1+DP!$O$16),IF(D225=DP!$L$17,F225*(1+DP!$O$17),IF(D225=DP!$L$18,F225*(1+DP!$O$18),0*1))))</f>
        <v>0</v>
      </c>
      <c r="AB225" s="102">
        <f>IF(D225=DP!$L$22,(DP!$M$22),IF(D225=DP!$L$23,(DP!$M$23),IF(D225=DP!$L$24,(DP!$M$24),IF(D225=DP!$L$25,(DP!$M$25),((0*1))))))</f>
        <v>0</v>
      </c>
      <c r="AC225" s="93">
        <f t="shared" si="221"/>
        <v>0</v>
      </c>
      <c r="AD225" s="93">
        <f>IF(D225=DP!$L$15,F225*(1+DP!$O$15),IF(D225=DP!$L$16,F225*(1+DP!$O$16),IF(D225=DP!$L$17,F225*(1+DP!$O$17),IF(D225=DP!$L$18,F225*(1+DP!$O$18),0*1))))</f>
        <v>0</v>
      </c>
      <c r="AE225" s="102">
        <f>IF(D225=DP!$L$22,(DP!$N$22),IF(D225=DP!$L$23,(DP!$N$23),IF(D225=DP!$L$24,(DP!$N$24),IF(D225=DP!$L$25,(DP!$N$25),((0*1))))))</f>
        <v>0</v>
      </c>
      <c r="AF225" s="93">
        <f t="shared" si="222"/>
        <v>0</v>
      </c>
      <c r="AG225" s="93">
        <f>IF(D225=DP!$L$15,(F225/DP!$K$15)*(1+DP!$O$15),IF(D225=DP!$L$16,(F225/DP!$K$16)*(1+DP!$O$16),IF(D225=DP!$L$17,(F225/DP!$K$17)*(1+DP!$O$17),IF(D225=DP!$L$18,(F225/DP!$K$18)*(1+DP!$O$18),0*1))))</f>
        <v>0</v>
      </c>
      <c r="AH225" s="102">
        <f>IF(D225=DP!$L$22,(DP!$O$22),IF(D225=DP!$L$23,(DP!$O$23),IF(D225=DP!$L$24,(DP!$O$24),IF(D225=DP!$L$25,(DP!$O$25),((0*1))))))</f>
        <v>0</v>
      </c>
      <c r="AI225" s="93">
        <f t="shared" si="223"/>
        <v>0</v>
      </c>
      <c r="AJ225" s="93">
        <f>IF(D225=DP!$L$15,F225*(1+DP!$O$15),IF(D225=DP!$L$16,F225*(1+DP!$O$16),IF(D225=DP!$L$17,F225*(1+DP!$O$17),IF(D225=DP!$L$18,F225*(1+DP!$O$18),0*1))))</f>
        <v>0</v>
      </c>
      <c r="AK225" s="102">
        <f>IF(D225=DP!$L$22,(DP!$P$22),IF(D225=DP!$L$23,(DP!$P$23),IF(D225=DP!$L$24,(DP!$P$24),IF(D225=DP!$L$25,(DP!$P$25),((0*1))))))</f>
        <v>0</v>
      </c>
      <c r="AL225" s="93">
        <f t="shared" si="224"/>
        <v>0</v>
      </c>
      <c r="AM225" s="100"/>
      <c r="AN225" s="149">
        <f t="shared" si="208"/>
        <v>0</v>
      </c>
      <c r="AO225" s="149">
        <f>DP!$N$35*H225</f>
        <v>0</v>
      </c>
      <c r="AP225" s="149">
        <f>DP!$O$35*H225</f>
        <v>0</v>
      </c>
      <c r="AQ225" s="149">
        <f>DP!$P$35*H225</f>
        <v>0</v>
      </c>
      <c r="AV225" s="412">
        <f>DP!AV33</f>
        <v>0</v>
      </c>
      <c r="AW225" s="412">
        <f>DP!AW33</f>
        <v>0</v>
      </c>
      <c r="AX225" s="412">
        <f>DP!AX33</f>
        <v>0</v>
      </c>
      <c r="AY225" s="412">
        <f t="shared" si="225"/>
        <v>0</v>
      </c>
      <c r="AZ225" s="470">
        <f>DP!BE33</f>
        <v>0</v>
      </c>
      <c r="BA225" s="98">
        <f t="shared" si="226"/>
        <v>0</v>
      </c>
      <c r="BB225" s="97"/>
      <c r="BC225" s="102">
        <f t="shared" si="209"/>
        <v>0</v>
      </c>
      <c r="BD225" s="98">
        <f t="shared" si="210"/>
        <v>0</v>
      </c>
      <c r="BE225" s="93">
        <f t="shared" si="211"/>
        <v>0</v>
      </c>
      <c r="BF225" s="99">
        <f t="shared" si="212"/>
        <v>0</v>
      </c>
      <c r="BG225" s="100"/>
      <c r="BH225" s="102">
        <f>IFERROR((BA225*100%)/DP!$AQ$29,(0*1))</f>
        <v>0</v>
      </c>
      <c r="BI225" s="102">
        <f>IF(BH225&gt;0,(DP!$AQ$31),0*1)</f>
        <v>0</v>
      </c>
      <c r="BJ225" s="435">
        <f t="shared" si="227"/>
        <v>0</v>
      </c>
      <c r="BK225" s="475">
        <f>BA225*DP!$AY$44</f>
        <v>0</v>
      </c>
      <c r="BL225" s="475">
        <f>IF(BA225&gt;0,DP!$AZ$44,0*1)</f>
        <v>0</v>
      </c>
      <c r="BM225" s="475">
        <f t="shared" si="228"/>
        <v>0</v>
      </c>
      <c r="BN225" s="102">
        <f>BA225*DP!$AY$45</f>
        <v>0</v>
      </c>
      <c r="BO225" s="102">
        <f>IF(BA225&gt;0,DP!$AZ$45,0*1)</f>
        <v>0</v>
      </c>
      <c r="BP225" s="475">
        <f t="shared" si="229"/>
        <v>0</v>
      </c>
      <c r="BQ225" s="100"/>
      <c r="BR225" s="100"/>
      <c r="BS225" s="100"/>
      <c r="BT225" s="93">
        <f>IF(AW225=DP!$AN$15,AY225*(1+DP!$AQ$15),IF(AW225=DP!$AN$16,AY225*(1+DP!$AQ$16),IF(AW225=DP!$AN$17,AY225*(1+DP!$AQ$17),IF(AW225=DP!$AN$18,AY225*(1+DP!$AQ$18),0*1))))</f>
        <v>0</v>
      </c>
      <c r="BU225" s="102">
        <f>IF(AW225=DP!$AN$22,(DP!$AO$22),IF(AW225=DP!$AN$23,(DP!$AO$23),IF(AW225=DP!$AN$24,(DP!$AO$24),IF(AW225=DP!$AN$25,(DP!$AO$25),((0*1))))))</f>
        <v>0</v>
      </c>
      <c r="BV225" s="93">
        <f t="shared" si="230"/>
        <v>0</v>
      </c>
      <c r="BW225" s="93">
        <f>IF(AW225=DP!$AN$15,AY225*(1+DP!$AQ$15),IF(AW225=DP!$AN$16,AY225*(1+DP!$AQ$16),IF(AW225=DP!$AN$17,AY225*(1+DP!$AQ$17),IF(AW225=DP!$AN$18,AY225*(1+DP!$AQ$18),0*1))))</f>
        <v>0</v>
      </c>
      <c r="BX225" s="102">
        <f>IF(AW225=DP!$AN$22,(DP!$AP$22),IF(AW225=DP!$AN$23,(DP!$AP$23),IF(AW225=DP!$AN$24,(DP!$AP$24),IF(AW225=DP!$AN$25,(DP!$AP$25),((0*1))))))</f>
        <v>0</v>
      </c>
      <c r="BY225" s="93">
        <f t="shared" si="231"/>
        <v>0</v>
      </c>
      <c r="BZ225" s="93">
        <f>IF(AW225=DP!$AN$15,(AY225/DP!$AM$15)*(1+DP!$AQ$15),IF(AW225=DP!$AN$16,(AY225/DP!$AM$16)*(1+DP!$AQ$16),IF(AW225=DP!$AN$17,(AY225/DP!$AM$17)*(1+DP!$AQ$17),IF(AW225=DP!$AN$18,(AY225/DP!$AM$18)*(1+DP!$AQ$18),0*1))))</f>
        <v>0</v>
      </c>
      <c r="CA225" s="102">
        <f>IF(AW225=DP!$AN$22,(DP!$AQ$22),IF(AW225=DP!$AN$23,(DP!$AQ$23),IF(AW225=DP!$AN$24,(DP!$AQ$24),IF(AW225=DP!$AN$25,(DP!$AQ$25),((0*1))))))</f>
        <v>0</v>
      </c>
      <c r="CB225" s="93">
        <f t="shared" si="232"/>
        <v>0</v>
      </c>
      <c r="CC225" s="93">
        <f>IF(AW225=DP!$AN$15,AY225*(1+DP!$AQ$15),IF(AW225=DP!$AN$16,AY225*(1+DP!$AQ$16),IF(AW225=DP!$AN$17,AY225*(1+DP!$AQ$17),IF(AW225=DP!$AN$18,AY225*(1+DP!$AQ$18),0*1))))</f>
        <v>0</v>
      </c>
      <c r="CD225" s="102">
        <f>IF(AW225=DP!$AN$22,(DP!$AR$22),IF(AW225=DP!$AN$23,(DP!$AR$23),IF(AW225=DP!$AN$24,(DP!$AR$24),IF(AW225=DP!$AN$25,(DP!$AR$25),((0*1))))))</f>
        <v>0</v>
      </c>
      <c r="CE225" s="93">
        <f t="shared" si="233"/>
        <v>0</v>
      </c>
      <c r="CF225" s="100"/>
      <c r="CG225" s="149">
        <f t="shared" si="213"/>
        <v>0</v>
      </c>
      <c r="CH225" s="149">
        <f>DP!$N$35*BA225</f>
        <v>0</v>
      </c>
      <c r="CI225" s="149">
        <f>DP!$O$35*BA225</f>
        <v>0</v>
      </c>
      <c r="CJ225" s="149">
        <f>DP!$P$35*BA225</f>
        <v>0</v>
      </c>
    </row>
    <row r="226" spans="2:88" x14ac:dyDescent="0.35">
      <c r="B226" s="480">
        <f>DP!S34</f>
        <v>0</v>
      </c>
      <c r="C226" s="480">
        <f>DP!T34</f>
        <v>0</v>
      </c>
      <c r="D226" s="480">
        <f>DP!U34</f>
        <v>0</v>
      </c>
      <c r="E226" s="480">
        <f>DP!V34</f>
        <v>0</v>
      </c>
      <c r="F226" s="412">
        <f t="shared" si="214"/>
        <v>0</v>
      </c>
      <c r="G226" s="470">
        <f>DP!AC34</f>
        <v>0</v>
      </c>
      <c r="H226" s="98">
        <f t="shared" si="215"/>
        <v>0</v>
      </c>
      <c r="I226" s="97"/>
      <c r="J226" s="102">
        <f t="shared" si="204"/>
        <v>0</v>
      </c>
      <c r="K226" s="98">
        <f t="shared" si="205"/>
        <v>0</v>
      </c>
      <c r="L226" s="93">
        <f t="shared" si="206"/>
        <v>0</v>
      </c>
      <c r="M226" s="99">
        <f t="shared" si="207"/>
        <v>0</v>
      </c>
      <c r="N226" s="100"/>
      <c r="O226" s="102">
        <f>($E226/DP!$O$29)*F226</f>
        <v>0</v>
      </c>
      <c r="P226" s="102">
        <f>IF(O226&gt;0,(DP!$O$31),0*1)</f>
        <v>0</v>
      </c>
      <c r="Q226" s="102">
        <f t="shared" si="216"/>
        <v>0</v>
      </c>
      <c r="R226" s="102">
        <f t="shared" si="217"/>
        <v>0</v>
      </c>
      <c r="S226" s="418">
        <f t="shared" si="218"/>
        <v>0</v>
      </c>
      <c r="T226" s="475">
        <f>H226*DP!$W$44</f>
        <v>0</v>
      </c>
      <c r="U226" s="475">
        <f>IF(H226&gt;0,DP!$X$44,0*1)</f>
        <v>0</v>
      </c>
      <c r="V226" s="475">
        <f t="shared" si="219"/>
        <v>0</v>
      </c>
      <c r="W226" s="475">
        <f>H226*DP!$W$45</f>
        <v>0</v>
      </c>
      <c r="X226" s="475">
        <f>IF(H226&gt;0,DP!$X$45,0*1)</f>
        <v>0</v>
      </c>
      <c r="Y226" s="475">
        <f t="shared" si="220"/>
        <v>0</v>
      </c>
      <c r="Z226" s="100"/>
      <c r="AA226" s="93">
        <f>IF(D226=DP!$L$15,F226*(1+DP!$O$15),IF(D226=DP!$L$16,F226*(1+DP!$O$16),IF(D226=DP!$L$17,F226*(1+DP!$O$17),IF(D226=DP!$L$18,F226*(1+DP!$O$18),0*1))))</f>
        <v>0</v>
      </c>
      <c r="AB226" s="102">
        <f>IF(D226=DP!$L$22,(DP!$M$22),IF(D226=DP!$L$23,(DP!$M$23),IF(D226=DP!$L$24,(DP!$M$24),IF(D226=DP!$L$25,(DP!$M$25),((0*1))))))</f>
        <v>0</v>
      </c>
      <c r="AC226" s="93">
        <f t="shared" si="221"/>
        <v>0</v>
      </c>
      <c r="AD226" s="93">
        <f>IF(D226=DP!$L$15,F226*(1+DP!$O$15),IF(D226=DP!$L$16,F226*(1+DP!$O$16),IF(D226=DP!$L$17,F226*(1+DP!$O$17),IF(D226=DP!$L$18,F226*(1+DP!$O$18),0*1))))</f>
        <v>0</v>
      </c>
      <c r="AE226" s="102">
        <f>IF(D226=DP!$L$22,(DP!$N$22),IF(D226=DP!$L$23,(DP!$N$23),IF(D226=DP!$L$24,(DP!$N$24),IF(D226=DP!$L$25,(DP!$N$25),((0*1))))))</f>
        <v>0</v>
      </c>
      <c r="AF226" s="93">
        <f t="shared" si="222"/>
        <v>0</v>
      </c>
      <c r="AG226" s="93">
        <f>IF(D226=DP!$L$15,(F226/DP!$K$15)*(1+DP!$O$15),IF(D226=DP!$L$16,(F226/DP!$K$16)*(1+DP!$O$16),IF(D226=DP!$L$17,(F226/DP!$K$17)*(1+DP!$O$17),IF(D226=DP!$L$18,(F226/DP!$K$18)*(1+DP!$O$18),0*1))))</f>
        <v>0</v>
      </c>
      <c r="AH226" s="102">
        <f>IF(D226=DP!$L$22,(DP!$O$22),IF(D226=DP!$L$23,(DP!$O$23),IF(D226=DP!$L$24,(DP!$O$24),IF(D226=DP!$L$25,(DP!$O$25),((0*1))))))</f>
        <v>0</v>
      </c>
      <c r="AI226" s="93">
        <f t="shared" si="223"/>
        <v>0</v>
      </c>
      <c r="AJ226" s="93">
        <f>IF(D226=DP!$L$15,F226*(1+DP!$O$15),IF(D226=DP!$L$16,F226*(1+DP!$O$16),IF(D226=DP!$L$17,F226*(1+DP!$O$17),IF(D226=DP!$L$18,F226*(1+DP!$O$18),0*1))))</f>
        <v>0</v>
      </c>
      <c r="AK226" s="102">
        <f>IF(D226=DP!$L$22,(DP!$P$22),IF(D226=DP!$L$23,(DP!$P$23),IF(D226=DP!$L$24,(DP!$P$24),IF(D226=DP!$L$25,(DP!$P$25),((0*1))))))</f>
        <v>0</v>
      </c>
      <c r="AL226" s="93">
        <f t="shared" si="224"/>
        <v>0</v>
      </c>
      <c r="AM226" s="100"/>
      <c r="AN226" s="149">
        <f t="shared" si="208"/>
        <v>0</v>
      </c>
      <c r="AO226" s="149">
        <f>DP!$N$35*H226</f>
        <v>0</v>
      </c>
      <c r="AP226" s="149">
        <f>DP!$O$35*H226</f>
        <v>0</v>
      </c>
      <c r="AQ226" s="149">
        <f>DP!$P$35*H226</f>
        <v>0</v>
      </c>
      <c r="AV226" s="412">
        <f>DP!AV34</f>
        <v>0</v>
      </c>
      <c r="AW226" s="412">
        <f>DP!AW34</f>
        <v>0</v>
      </c>
      <c r="AX226" s="412">
        <f>DP!AX34</f>
        <v>0</v>
      </c>
      <c r="AY226" s="412">
        <f t="shared" si="225"/>
        <v>0</v>
      </c>
      <c r="AZ226" s="470">
        <f>DP!BE34</f>
        <v>0</v>
      </c>
      <c r="BA226" s="98">
        <f t="shared" si="226"/>
        <v>0</v>
      </c>
      <c r="BB226" s="97"/>
      <c r="BC226" s="102">
        <f t="shared" si="209"/>
        <v>0</v>
      </c>
      <c r="BD226" s="98">
        <f t="shared" si="210"/>
        <v>0</v>
      </c>
      <c r="BE226" s="93">
        <f t="shared" si="211"/>
        <v>0</v>
      </c>
      <c r="BF226" s="99">
        <f t="shared" si="212"/>
        <v>0</v>
      </c>
      <c r="BG226" s="100"/>
      <c r="BH226" s="102">
        <f>IFERROR((BA226*100%)/DP!$AQ$29,(0*1))</f>
        <v>0</v>
      </c>
      <c r="BI226" s="102">
        <f>IF(BH226&gt;0,(DP!$AQ$31),0*1)</f>
        <v>0</v>
      </c>
      <c r="BJ226" s="435">
        <f>BH226*BI226</f>
        <v>0</v>
      </c>
      <c r="BK226" s="475">
        <f>BA226*DP!$AY$44</f>
        <v>0</v>
      </c>
      <c r="BL226" s="475">
        <f>IF(BA226&gt;0,DP!$AZ$44,0*1)</f>
        <v>0</v>
      </c>
      <c r="BM226" s="475">
        <f t="shared" si="228"/>
        <v>0</v>
      </c>
      <c r="BN226" s="102">
        <f>BA226*DP!$AY$45</f>
        <v>0</v>
      </c>
      <c r="BO226" s="102">
        <f>IF(BA226&gt;0,DP!$AZ$45,0*1)</f>
        <v>0</v>
      </c>
      <c r="BP226" s="475">
        <f t="shared" si="229"/>
        <v>0</v>
      </c>
      <c r="BQ226" s="100"/>
      <c r="BR226" s="100"/>
      <c r="BS226" s="100"/>
      <c r="BT226" s="93">
        <f>IF(AW226=DP!$AN$15,AY226*(1+DP!$AQ$15),IF(AW226=DP!$AN$16,AY226*(1+DP!$AQ$16),IF(AW226=DP!$AN$17,AY226*(1+DP!$AQ$17),IF(AW226=DP!$AN$18,AY226*(1+DP!$AQ$18),0*1))))</f>
        <v>0</v>
      </c>
      <c r="BU226" s="102">
        <f>IF(AW226=DP!$AN$22,(DP!$AO$22),IF(AW226=DP!$AN$23,(DP!$AO$23),IF(AW226=DP!$AN$24,(DP!$AO$24),IF(AW226=DP!$AN$25,(DP!$AO$25),((0*1))))))</f>
        <v>0</v>
      </c>
      <c r="BV226" s="93">
        <f t="shared" si="230"/>
        <v>0</v>
      </c>
      <c r="BW226" s="93">
        <f>IF(AW226=DP!$AN$15,AY226*(1+DP!$AQ$15),IF(AW226=DP!$AN$16,AY226*(1+DP!$AQ$16),IF(AW226=DP!$AN$17,AY226*(1+DP!$AQ$17),IF(AW226=DP!$AN$18,AY226*(1+DP!$AQ$18),0*1))))</f>
        <v>0</v>
      </c>
      <c r="BX226" s="102">
        <f>IF(AW226=DP!$AN$22,(DP!$AP$22),IF(AW226=DP!$AN$23,(DP!$AP$23),IF(AW226=DP!$AN$24,(DP!$AP$24),IF(AW226=DP!$AN$25,(DP!$AP$25),((0*1))))))</f>
        <v>0</v>
      </c>
      <c r="BY226" s="93">
        <f t="shared" si="231"/>
        <v>0</v>
      </c>
      <c r="BZ226" s="93">
        <f>IF(AW226=DP!$AN$15,(AY226/DP!$AM$15)*(1+DP!$AQ$15),IF(AW226=DP!$AN$16,(AY226/DP!$AM$16)*(1+DP!$AQ$16),IF(AW226=DP!$AN$17,(AY226/DP!$AM$17)*(1+DP!$AQ$17),IF(AW226=DP!$AN$18,(AY226/DP!$AM$18)*(1+DP!$AQ$18),0*1))))</f>
        <v>0</v>
      </c>
      <c r="CA226" s="102">
        <f>IF(AW226=DP!$AN$22,(DP!$AQ$22),IF(AW226=DP!$AN$23,(DP!$AQ$23),IF(AW226=DP!$AN$24,(DP!$AQ$24),IF(AW226=DP!$AN$25,(DP!$AQ$25),((0*1))))))</f>
        <v>0</v>
      </c>
      <c r="CB226" s="93">
        <f t="shared" si="232"/>
        <v>0</v>
      </c>
      <c r="CC226" s="93">
        <f>IF(AW226=DP!$AN$15,AY226*(1+DP!$AQ$15),IF(AW226=DP!$AN$16,AY226*(1+DP!$AQ$16),IF(AW226=DP!$AN$17,AY226*(1+DP!$AQ$17),IF(AW226=DP!$AN$18,AY226*(1+DP!$AQ$18),0*1))))</f>
        <v>0</v>
      </c>
      <c r="CD226" s="102">
        <f>IF(AW226=DP!$AN$22,(DP!$AR$22),IF(AW226=DP!$AN$23,(DP!$AR$23),IF(AW226=DP!$AN$24,(DP!$AR$24),IF(AW226=DP!$AN$25,(DP!$AR$25),((0*1))))))</f>
        <v>0</v>
      </c>
      <c r="CE226" s="93">
        <f t="shared" si="233"/>
        <v>0</v>
      </c>
      <c r="CF226" s="100"/>
      <c r="CG226" s="149">
        <f t="shared" si="213"/>
        <v>0</v>
      </c>
      <c r="CH226" s="149">
        <f>DP!$N$35*BA226</f>
        <v>0</v>
      </c>
      <c r="CI226" s="149">
        <f>DP!$O$35*BA226</f>
        <v>0</v>
      </c>
      <c r="CJ226" s="149">
        <f>DP!$P$35*BA226</f>
        <v>0</v>
      </c>
    </row>
    <row r="227" spans="2:88" x14ac:dyDescent="0.35">
      <c r="B227" s="480">
        <f>DP!S35</f>
        <v>0</v>
      </c>
      <c r="C227" s="480">
        <f>DP!T35</f>
        <v>0</v>
      </c>
      <c r="D227" s="480">
        <f>DP!U35</f>
        <v>0</v>
      </c>
      <c r="E227" s="480">
        <f>DP!V35</f>
        <v>0</v>
      </c>
      <c r="F227" s="412">
        <f t="shared" si="214"/>
        <v>0</v>
      </c>
      <c r="G227" s="470">
        <f>DP!AC35</f>
        <v>0</v>
      </c>
      <c r="H227" s="98">
        <f t="shared" si="215"/>
        <v>0</v>
      </c>
      <c r="I227" s="97"/>
      <c r="J227" s="102">
        <f t="shared" si="204"/>
        <v>0</v>
      </c>
      <c r="K227" s="98">
        <f t="shared" si="205"/>
        <v>0</v>
      </c>
      <c r="L227" s="93">
        <f t="shared" si="206"/>
        <v>0</v>
      </c>
      <c r="M227" s="99">
        <f t="shared" si="207"/>
        <v>0</v>
      </c>
      <c r="N227" s="100"/>
      <c r="O227" s="102">
        <f>($E227/DP!$O$29)*F227</f>
        <v>0</v>
      </c>
      <c r="P227" s="102">
        <f>IF(O227&gt;0,(DP!$O$31),0*1)</f>
        <v>0</v>
      </c>
      <c r="Q227" s="102">
        <f t="shared" si="216"/>
        <v>0</v>
      </c>
      <c r="R227" s="102">
        <f t="shared" si="217"/>
        <v>0</v>
      </c>
      <c r="S227" s="418">
        <f t="shared" si="218"/>
        <v>0</v>
      </c>
      <c r="T227" s="475">
        <f>H227*DP!$W$44</f>
        <v>0</v>
      </c>
      <c r="U227" s="475">
        <f>IF(H227&gt;0,DP!$X$44,0*1)</f>
        <v>0</v>
      </c>
      <c r="V227" s="475">
        <f t="shared" si="219"/>
        <v>0</v>
      </c>
      <c r="W227" s="475">
        <f>H227*DP!$W$45</f>
        <v>0</v>
      </c>
      <c r="X227" s="475">
        <f>IF(H227&gt;0,DP!$X$45,0*1)</f>
        <v>0</v>
      </c>
      <c r="Y227" s="475">
        <f t="shared" si="220"/>
        <v>0</v>
      </c>
      <c r="Z227" s="100"/>
      <c r="AA227" s="93">
        <f>IF(D227=DP!$L$15,F227*(1+DP!$O$15),IF(D227=DP!$L$16,F227*(1+DP!$O$16),IF(D227=DP!$L$17,F227*(1+DP!$O$17),IF(D227=DP!$L$18,F227*(1+DP!$O$18),0*1))))</f>
        <v>0</v>
      </c>
      <c r="AB227" s="102">
        <f>IF(D227=DP!$L$22,(DP!$M$22),IF(D227=DP!$L$23,(DP!$M$23),IF(D227=DP!$L$24,(DP!$M$24),IF(D227=DP!$L$25,(DP!$M$25),((0*1))))))</f>
        <v>0</v>
      </c>
      <c r="AC227" s="93">
        <f t="shared" si="221"/>
        <v>0</v>
      </c>
      <c r="AD227" s="93">
        <f>IF(D227=DP!$L$15,F227*(1+DP!$O$15),IF(D227=DP!$L$16,F227*(1+DP!$O$16),IF(D227=DP!$L$17,F227*(1+DP!$O$17),IF(D227=DP!$L$18,F227*(1+DP!$O$18),0*1))))</f>
        <v>0</v>
      </c>
      <c r="AE227" s="102">
        <f>IF(D227=DP!$L$22,(DP!$N$22),IF(D227=DP!$L$23,(DP!$N$23),IF(D227=DP!$L$24,(DP!$N$24),IF(D227=DP!$L$25,(DP!$N$25),((0*1))))))</f>
        <v>0</v>
      </c>
      <c r="AF227" s="93">
        <f t="shared" si="222"/>
        <v>0</v>
      </c>
      <c r="AG227" s="93">
        <f>IF(D227=DP!$L$15,(F227/DP!$K$15)*(1+DP!$O$15),IF(D227=DP!$L$16,(F227/DP!$K$16)*(1+DP!$O$16),IF(D227=DP!$L$17,(F227/DP!$K$17)*(1+DP!$O$17),IF(D227=DP!$L$18,(F227/DP!$K$18)*(1+DP!$O$18),0*1))))</f>
        <v>0</v>
      </c>
      <c r="AH227" s="102">
        <f>IF(D227=DP!$L$22,(DP!$O$22),IF(D227=DP!$L$23,(DP!$O$23),IF(D227=DP!$L$24,(DP!$O$24),IF(D227=DP!$L$25,(DP!$O$25),((0*1))))))</f>
        <v>0</v>
      </c>
      <c r="AI227" s="93">
        <f t="shared" si="223"/>
        <v>0</v>
      </c>
      <c r="AJ227" s="93">
        <f>IF(D227=DP!$L$15,F227*(1+DP!$O$15),IF(D227=DP!$L$16,F227*(1+DP!$O$16),IF(D227=DP!$L$17,F227*(1+DP!$O$17),IF(D227=DP!$L$18,F227*(1+DP!$O$18),0*1))))</f>
        <v>0</v>
      </c>
      <c r="AK227" s="102">
        <f>IF(D227=DP!$L$22,(DP!$P$22),IF(D227=DP!$L$23,(DP!$P$23),IF(D227=DP!$L$24,(DP!$P$24),IF(D227=DP!$L$25,(DP!$P$25),((0*1))))))</f>
        <v>0</v>
      </c>
      <c r="AL227" s="93">
        <f t="shared" si="224"/>
        <v>0</v>
      </c>
      <c r="AM227" s="100"/>
      <c r="AN227" s="149">
        <f t="shared" si="208"/>
        <v>0</v>
      </c>
      <c r="AO227" s="149">
        <f>DP!$N$35*H227</f>
        <v>0</v>
      </c>
      <c r="AP227" s="149">
        <f>DP!$O$35*H227</f>
        <v>0</v>
      </c>
      <c r="AQ227" s="149">
        <f>DP!$P$35*H227</f>
        <v>0</v>
      </c>
      <c r="AV227" s="412">
        <f>DP!AV35</f>
        <v>0</v>
      </c>
      <c r="AW227" s="412">
        <f>DP!AW35</f>
        <v>0</v>
      </c>
      <c r="AX227" s="412">
        <f>DP!AX35</f>
        <v>0</v>
      </c>
      <c r="AY227" s="412">
        <f t="shared" si="225"/>
        <v>0</v>
      </c>
      <c r="AZ227" s="470">
        <f>DP!BE35</f>
        <v>0</v>
      </c>
      <c r="BA227" s="98">
        <f t="shared" si="226"/>
        <v>0</v>
      </c>
      <c r="BB227" s="97"/>
      <c r="BC227" s="102">
        <f t="shared" si="209"/>
        <v>0</v>
      </c>
      <c r="BD227" s="98">
        <f t="shared" si="210"/>
        <v>0</v>
      </c>
      <c r="BE227" s="93">
        <f t="shared" si="211"/>
        <v>0</v>
      </c>
      <c r="BF227" s="99">
        <f t="shared" si="212"/>
        <v>0</v>
      </c>
      <c r="BG227" s="100"/>
      <c r="BH227" s="102">
        <f>IFERROR((BA227*100%)/DP!$AQ$29,(0*1))</f>
        <v>0</v>
      </c>
      <c r="BI227" s="102">
        <f>IF(BH227&gt;0,(DP!$AQ$31),0*1)</f>
        <v>0</v>
      </c>
      <c r="BJ227" s="435">
        <f t="shared" ref="BJ227:BJ228" si="234">BH227*BI227</f>
        <v>0</v>
      </c>
      <c r="BK227" s="475">
        <f>BA227*DP!$AY$44</f>
        <v>0</v>
      </c>
      <c r="BL227" s="475">
        <f>IF(BA227&gt;0,DP!$AZ$44,0*1)</f>
        <v>0</v>
      </c>
      <c r="BM227" s="475">
        <f t="shared" si="228"/>
        <v>0</v>
      </c>
      <c r="BN227" s="102">
        <f>BA227*DP!$AY$45</f>
        <v>0</v>
      </c>
      <c r="BO227" s="102">
        <f>IF(BA227&gt;0,DP!$AZ$45,0*1)</f>
        <v>0</v>
      </c>
      <c r="BP227" s="475">
        <f t="shared" si="229"/>
        <v>0</v>
      </c>
      <c r="BQ227" s="100"/>
      <c r="BR227" s="100"/>
      <c r="BS227" s="100"/>
      <c r="BT227" s="93">
        <f>IF(AW227=DP!$AN$15,AY227*(1+DP!$AQ$15),IF(AW227=DP!$AN$16,AY227*(1+DP!$AQ$16),IF(AW227=DP!$AN$17,AY227*(1+DP!$AQ$17),IF(AW227=DP!$AN$18,AY227*(1+DP!$AQ$18),0*1))))</f>
        <v>0</v>
      </c>
      <c r="BU227" s="102">
        <f>IF(AW227=DP!$AN$22,(DP!$AO$22),IF(AW227=DP!$AN$23,(DP!$AO$23),IF(AW227=DP!$AN$24,(DP!$AO$24),IF(AW227=DP!$AN$25,(DP!$AO$25),((0*1))))))</f>
        <v>0</v>
      </c>
      <c r="BV227" s="93">
        <f t="shared" si="230"/>
        <v>0</v>
      </c>
      <c r="BW227" s="93">
        <f>IF(AW227=DP!$AN$15,AY227*(1+DP!$AQ$15),IF(AW227=DP!$AN$16,AY227*(1+DP!$AQ$16),IF(AW227=DP!$AN$17,AY227*(1+DP!$AQ$17),IF(AW227=DP!$AN$18,AY227*(1+DP!$AQ$18),0*1))))</f>
        <v>0</v>
      </c>
      <c r="BX227" s="102">
        <f>IF(AW227=DP!$AN$22,(DP!$AP$22),IF(AW227=DP!$AN$23,(DP!$AP$23),IF(AW227=DP!$AN$24,(DP!$AP$24),IF(AW227=DP!$AN$25,(DP!$AP$25),((0*1))))))</f>
        <v>0</v>
      </c>
      <c r="BY227" s="93">
        <f t="shared" si="231"/>
        <v>0</v>
      </c>
      <c r="BZ227" s="93">
        <f>IF(AW227=DP!$AN$15,(AY227/DP!$AM$15)*(1+DP!$AQ$15),IF(AW227=DP!$AN$16,(AY227/DP!$AM$16)*(1+DP!$AQ$16),IF(AW227=DP!$AN$17,(AY227/DP!$AM$17)*(1+DP!$AQ$17),IF(AW227=DP!$AN$18,(AY227/DP!$AM$18)*(1+DP!$AQ$18),0*1))))</f>
        <v>0</v>
      </c>
      <c r="CA227" s="102">
        <f>IF(AW227=DP!$AN$22,(DP!$AQ$22),IF(AW227=DP!$AN$23,(DP!$AQ$23),IF(AW227=DP!$AN$24,(DP!$AQ$24),IF(AW227=DP!$AN$25,(DP!$AQ$25),((0*1))))))</f>
        <v>0</v>
      </c>
      <c r="CB227" s="93">
        <f t="shared" si="232"/>
        <v>0</v>
      </c>
      <c r="CC227" s="93">
        <f>IF(AW227=DP!$AN$15,AY227*(1+DP!$AQ$15),IF(AW227=DP!$AN$16,AY227*(1+DP!$AQ$16),IF(AW227=DP!$AN$17,AY227*(1+DP!$AQ$17),IF(AW227=DP!$AN$18,AY227*(1+DP!$AQ$18),0*1))))</f>
        <v>0</v>
      </c>
      <c r="CD227" s="102">
        <f>IF(AW227=DP!$AN$22,(DP!$AR$22),IF(AW227=DP!$AN$23,(DP!$AR$23),IF(AW227=DP!$AN$24,(DP!$AR$24),IF(AW227=DP!$AN$25,(DP!$AR$25),((0*1))))))</f>
        <v>0</v>
      </c>
      <c r="CE227" s="93">
        <f t="shared" si="233"/>
        <v>0</v>
      </c>
      <c r="CF227" s="100"/>
      <c r="CG227" s="149">
        <f t="shared" si="213"/>
        <v>0</v>
      </c>
      <c r="CH227" s="149">
        <f>DP!$N$35*BA227</f>
        <v>0</v>
      </c>
      <c r="CI227" s="149">
        <f>DP!$O$35*BA227</f>
        <v>0</v>
      </c>
      <c r="CJ227" s="149">
        <f>DP!$P$35*BA227</f>
        <v>0</v>
      </c>
    </row>
    <row r="228" spans="2:88" ht="16" thickBot="1" x14ac:dyDescent="0.4">
      <c r="B228" s="480">
        <f>DP!S36</f>
        <v>0</v>
      </c>
      <c r="C228" s="480">
        <f>DP!T36</f>
        <v>0</v>
      </c>
      <c r="D228" s="480">
        <f>DP!U36</f>
        <v>0</v>
      </c>
      <c r="E228" s="480">
        <f>DP!V36</f>
        <v>0</v>
      </c>
      <c r="F228" s="412">
        <f t="shared" si="214"/>
        <v>0</v>
      </c>
      <c r="G228" s="470">
        <f>DP!AC36</f>
        <v>0</v>
      </c>
      <c r="H228" s="98">
        <f t="shared" si="215"/>
        <v>0</v>
      </c>
      <c r="I228" s="97"/>
      <c r="J228" s="102">
        <f t="shared" si="204"/>
        <v>0</v>
      </c>
      <c r="K228" s="98">
        <f t="shared" si="205"/>
        <v>0</v>
      </c>
      <c r="L228" s="93">
        <f t="shared" si="206"/>
        <v>0</v>
      </c>
      <c r="M228" s="99">
        <f t="shared" si="207"/>
        <v>0</v>
      </c>
      <c r="N228" s="100"/>
      <c r="O228" s="102">
        <f>($E228/DP!$O$29)*F228</f>
        <v>0</v>
      </c>
      <c r="P228" s="102">
        <f>IF(O228&gt;0,(DP!$O$31),0*1)</f>
        <v>0</v>
      </c>
      <c r="Q228" s="102">
        <f t="shared" si="216"/>
        <v>0</v>
      </c>
      <c r="R228" s="102">
        <f t="shared" si="217"/>
        <v>0</v>
      </c>
      <c r="S228" s="418">
        <f t="shared" si="218"/>
        <v>0</v>
      </c>
      <c r="T228" s="475">
        <f>H228*DP!$W$44</f>
        <v>0</v>
      </c>
      <c r="U228" s="475">
        <f>IF(H228&gt;0,DP!$X$44,0*1)</f>
        <v>0</v>
      </c>
      <c r="V228" s="475">
        <f t="shared" si="219"/>
        <v>0</v>
      </c>
      <c r="W228" s="475">
        <f>H228*DP!$W$45</f>
        <v>0</v>
      </c>
      <c r="X228" s="475">
        <f>IF(H228&gt;0,DP!$X$45,0*1)</f>
        <v>0</v>
      </c>
      <c r="Y228" s="475">
        <f t="shared" si="220"/>
        <v>0</v>
      </c>
      <c r="Z228" s="100"/>
      <c r="AA228" s="93">
        <f>IF(D228=DP!$L$15,F228*(1+DP!$O$15),IF(D228=DP!$L$16,F228*(1+DP!$O$16),IF(D228=DP!$L$17,F228*(1+DP!$O$17),IF(D228=DP!$L$18,F228*(1+DP!$O$18),0*1))))</f>
        <v>0</v>
      </c>
      <c r="AB228" s="102">
        <f>IF(D228=DP!$L$22,(DP!$M$22),IF(D228=DP!$L$23,(DP!$M$23),IF(D228=DP!$L$24,(DP!$M$24),IF(D228=DP!$L$25,(DP!$M$25),((0*1))))))</f>
        <v>0</v>
      </c>
      <c r="AC228" s="93">
        <f t="shared" si="221"/>
        <v>0</v>
      </c>
      <c r="AD228" s="93">
        <f>IF(D228=DP!$L$15,F228*(1+DP!$O$15),IF(D228=DP!$L$16,F228*(1+DP!$O$16),IF(D228=DP!$L$17,F228*(1+DP!$O$17),IF(D228=DP!$L$18,F228*(1+DP!$O$18),0*1))))</f>
        <v>0</v>
      </c>
      <c r="AE228" s="102">
        <f>IF(D228=DP!$L$22,(DP!$N$22),IF(D228=DP!$L$23,(DP!$N$23),IF(D228=DP!$L$24,(DP!$N$24),IF(D228=DP!$L$25,(DP!$N$25),((0*1))))))</f>
        <v>0</v>
      </c>
      <c r="AF228" s="93">
        <f t="shared" si="222"/>
        <v>0</v>
      </c>
      <c r="AG228" s="93">
        <f>IF(D228=DP!$L$15,(F228/DP!$K$15)*(1+DP!$O$15),IF(D228=DP!$L$16,(F228/DP!$K$16)*(1+DP!$O$16),IF(D228=DP!$L$17,(F228/DP!$K$17)*(1+DP!$O$17),IF(D228=DP!$L$18,(F228/DP!$K$18)*(1+DP!$O$18),0*1))))</f>
        <v>0</v>
      </c>
      <c r="AH228" s="102">
        <f>IF(D228=DP!$L$22,(DP!$O$22),IF(D228=DP!$L$23,(DP!$O$23),IF(D228=DP!$L$24,(DP!$O$24),IF(D228=DP!$L$25,(DP!$O$25),((0*1))))))</f>
        <v>0</v>
      </c>
      <c r="AI228" s="93">
        <f t="shared" si="223"/>
        <v>0</v>
      </c>
      <c r="AJ228" s="93">
        <f>IF(D228=DP!$L$15,F228*(1+DP!$O$15),IF(D228=DP!$L$16,F228*(1+DP!$O$16),IF(D228=DP!$L$17,F228*(1+DP!$O$17),IF(D228=DP!$L$18,F228*(1+DP!$O$18),0*1))))</f>
        <v>0</v>
      </c>
      <c r="AK228" s="102">
        <f>IF(D228=DP!$L$22,(DP!$P$22),IF(D228=DP!$L$23,(DP!$P$23),IF(D228=DP!$L$24,(DP!$P$24),IF(D228=DP!$L$25,(DP!$P$25),((0*1))))))</f>
        <v>0</v>
      </c>
      <c r="AL228" s="93">
        <f t="shared" si="224"/>
        <v>0</v>
      </c>
      <c r="AM228" s="100"/>
      <c r="AN228" s="149">
        <f t="shared" si="208"/>
        <v>0</v>
      </c>
      <c r="AO228" s="149">
        <f>DP!$N$35*H228</f>
        <v>0</v>
      </c>
      <c r="AP228" s="149">
        <f>DP!$O$35*H228</f>
        <v>0</v>
      </c>
      <c r="AQ228" s="149">
        <f>DP!$P$35*H228</f>
        <v>0</v>
      </c>
      <c r="AV228" s="412">
        <f>DP!AV36</f>
        <v>0</v>
      </c>
      <c r="AW228" s="412">
        <f>DP!AW36</f>
        <v>0</v>
      </c>
      <c r="AX228" s="412">
        <f>DP!AX36</f>
        <v>0</v>
      </c>
      <c r="AY228" s="412">
        <f t="shared" si="225"/>
        <v>0</v>
      </c>
      <c r="AZ228" s="470">
        <f>DP!BE36</f>
        <v>0</v>
      </c>
      <c r="BA228" s="98">
        <f t="shared" si="226"/>
        <v>0</v>
      </c>
      <c r="BB228" s="97"/>
      <c r="BC228" s="102">
        <f t="shared" si="209"/>
        <v>0</v>
      </c>
      <c r="BD228" s="98">
        <f t="shared" si="210"/>
        <v>0</v>
      </c>
      <c r="BE228" s="93">
        <f t="shared" si="211"/>
        <v>0</v>
      </c>
      <c r="BF228" s="99">
        <f t="shared" si="212"/>
        <v>0</v>
      </c>
      <c r="BG228" s="100"/>
      <c r="BH228" s="102">
        <f>IFERROR((BA228*100%)/DP!$AQ$29,(0*1))</f>
        <v>0</v>
      </c>
      <c r="BI228" s="102">
        <f>IF(BH228&gt;0,(DP!$AQ$31),0*1)</f>
        <v>0</v>
      </c>
      <c r="BJ228" s="435">
        <f t="shared" si="234"/>
        <v>0</v>
      </c>
      <c r="BK228" s="475">
        <f>BA228*DP!$AY$44</f>
        <v>0</v>
      </c>
      <c r="BL228" s="475">
        <f>IF(BA228&gt;0,DP!$AZ$44,0*1)</f>
        <v>0</v>
      </c>
      <c r="BM228" s="475">
        <f t="shared" si="228"/>
        <v>0</v>
      </c>
      <c r="BN228" s="102">
        <f>BA228*DP!$AY$45</f>
        <v>0</v>
      </c>
      <c r="BO228" s="102">
        <f>IF(BA228&gt;0,DP!$AZ$45,0*1)</f>
        <v>0</v>
      </c>
      <c r="BP228" s="475">
        <f t="shared" si="229"/>
        <v>0</v>
      </c>
      <c r="BQ228" s="100"/>
      <c r="BR228" s="100"/>
      <c r="BS228" s="100"/>
      <c r="BT228" s="93">
        <f>IF(AW228=DP!$AN$15,AY228*(1+DP!$AQ$15),IF(AW228=DP!$AN$16,AY228*(1+DP!$AQ$16),IF(AW228=DP!$AN$17,AY228*(1+DP!$AQ$17),IF(AW228=DP!$AN$18,AY228*(1+DP!$AQ$18),0*1))))</f>
        <v>0</v>
      </c>
      <c r="BU228" s="102">
        <f>IF(AW228=DP!$AN$22,(DP!$AO$22),IF(AW228=DP!$AN$23,(DP!$AO$23),IF(AW228=DP!$AN$24,(DP!$AO$24),IF(AW228=DP!$AN$25,(DP!$AO$25),((0*1))))))</f>
        <v>0</v>
      </c>
      <c r="BV228" s="93">
        <f t="shared" si="230"/>
        <v>0</v>
      </c>
      <c r="BW228" s="93">
        <f>IF(AW228=DP!$AN$15,AY228*(1+DP!$AQ$15),IF(AW228=DP!$AN$16,AY228*(1+DP!$AQ$16),IF(AW228=DP!$AN$17,AY228*(1+DP!$AQ$17),IF(AW228=DP!$AN$18,AY228*(1+DP!$AQ$18),0*1))))</f>
        <v>0</v>
      </c>
      <c r="BX228" s="102">
        <f>IF(AW228=DP!$AN$22,(DP!$AP$22),IF(AW228=DP!$AN$23,(DP!$AP$23),IF(AW228=DP!$AN$24,(DP!$AP$24),IF(AW228=DP!$AN$25,(DP!$AP$25),((0*1))))))</f>
        <v>0</v>
      </c>
      <c r="BY228" s="93">
        <f t="shared" si="231"/>
        <v>0</v>
      </c>
      <c r="BZ228" s="93">
        <f>IF(AW228=DP!$AN$15,(AY228/DP!$AM$15)*(1+DP!$AQ$15),IF(AW228=DP!$AN$16,(AY228/DP!$AM$16)*(1+DP!$AQ$16),IF(AW228=DP!$AN$17,(AY228/DP!$AM$17)*(1+DP!$AQ$17),IF(AW228=DP!$AN$18,(AY228/DP!$AM$18)*(1+DP!$AQ$18),0*1))))</f>
        <v>0</v>
      </c>
      <c r="CA228" s="102">
        <f>IF(AW228=DP!$AN$22,(DP!$AQ$22),IF(AW228=DP!$AN$23,(DP!$AQ$23),IF(AW228=DP!$AN$24,(DP!$AQ$24),IF(AW228=DP!$AN$25,(DP!$AQ$25),((0*1))))))</f>
        <v>0</v>
      </c>
      <c r="CB228" s="93">
        <f t="shared" si="232"/>
        <v>0</v>
      </c>
      <c r="CC228" s="93">
        <f>IF(AW228=DP!$AN$15,AY228*(1+DP!$AQ$15),IF(AW228=DP!$AN$16,AY228*(1+DP!$AQ$16),IF(AW228=DP!$AN$17,AY228*(1+DP!$AQ$17),IF(AW228=DP!$AN$18,AY228*(1+DP!$AQ$18),0*1))))</f>
        <v>0</v>
      </c>
      <c r="CD228" s="102">
        <f>IF(AW228=DP!$AN$22,(DP!$AR$22),IF(AW228=DP!$AN$23,(DP!$AR$23),IF(AW228=DP!$AN$24,(DP!$AR$24),IF(AW228=DP!$AN$25,(DP!$AR$25),((0*1))))))</f>
        <v>0</v>
      </c>
      <c r="CE228" s="93">
        <f t="shared" si="233"/>
        <v>0</v>
      </c>
      <c r="CF228" s="100"/>
      <c r="CG228" s="149">
        <f t="shared" si="213"/>
        <v>0</v>
      </c>
      <c r="CH228" s="149">
        <f>DP!$N$35*BA228</f>
        <v>0</v>
      </c>
      <c r="CI228" s="149">
        <f>DP!$O$35*BA228</f>
        <v>0</v>
      </c>
      <c r="CJ228" s="149">
        <f>DP!$P$35*BA228</f>
        <v>0</v>
      </c>
    </row>
    <row r="229" spans="2:88" ht="16" thickBot="1" x14ac:dyDescent="0.4">
      <c r="C229" s="103" t="s">
        <v>222</v>
      </c>
      <c r="D229" s="104"/>
      <c r="E229" s="104"/>
      <c r="F229" s="120">
        <f>SUM(F210:F228)</f>
        <v>0</v>
      </c>
      <c r="G229" s="411">
        <f>SUM(G210:G228)</f>
        <v>0</v>
      </c>
      <c r="H229" s="121">
        <f>SUM(H210:H228)</f>
        <v>0</v>
      </c>
      <c r="I229" s="87"/>
      <c r="J229" s="151"/>
      <c r="K229" s="106"/>
      <c r="L229" s="107">
        <f t="shared" ref="L229" si="235">SUM(L210:L228)</f>
        <v>0</v>
      </c>
      <c r="M229" s="105">
        <f>SUM(M210:M228)</f>
        <v>0</v>
      </c>
      <c r="N229" s="87"/>
      <c r="O229" s="152">
        <f>SUM(O210:O228)</f>
        <v>0</v>
      </c>
      <c r="P229" s="416"/>
      <c r="Q229" s="152">
        <f>SUM(Q210:Q228)</f>
        <v>0</v>
      </c>
      <c r="R229" s="126"/>
      <c r="S229" s="419">
        <f>SUM(S210:S228)</f>
        <v>0</v>
      </c>
      <c r="T229" s="476">
        <f>SUM(T210:T228)</f>
        <v>0</v>
      </c>
      <c r="U229" s="477"/>
      <c r="V229" s="478">
        <f>SUM(V210:V228)</f>
        <v>0</v>
      </c>
      <c r="W229" s="478">
        <f>SUM(W210:W228)</f>
        <v>0</v>
      </c>
      <c r="X229" s="477"/>
      <c r="Y229" s="479">
        <f>SUM(Y210:Y228)</f>
        <v>0</v>
      </c>
      <c r="Z229" s="87"/>
      <c r="AA229" s="152">
        <f>SUM(AA210:AA228)</f>
        <v>0</v>
      </c>
      <c r="AB229" s="77"/>
      <c r="AC229" s="153">
        <f>SUM(AC210:AC228)</f>
        <v>0</v>
      </c>
      <c r="AD229" s="153">
        <f>SUM(AD210:AD228)</f>
        <v>0</v>
      </c>
      <c r="AE229" s="77"/>
      <c r="AF229" s="153">
        <f>SUM(AF210:AF228)</f>
        <v>0</v>
      </c>
      <c r="AG229" s="153">
        <f>SUM(AG210:AG228)</f>
        <v>0</v>
      </c>
      <c r="AH229" s="77"/>
      <c r="AI229" s="153">
        <f>SUM(AI210:AI228)</f>
        <v>0</v>
      </c>
      <c r="AJ229" s="153">
        <f>SUM(AJ210:AJ228)</f>
        <v>0</v>
      </c>
      <c r="AK229" s="77"/>
      <c r="AL229" s="154">
        <f>SUM(AL210:AL228)</f>
        <v>0</v>
      </c>
      <c r="AM229" s="87"/>
      <c r="AN229" s="152">
        <f>SUM(AN210:AN228)</f>
        <v>0</v>
      </c>
      <c r="AO229" s="153">
        <f t="shared" ref="AO229:AQ229" si="236">SUM(AO210:AO228)</f>
        <v>0</v>
      </c>
      <c r="AP229" s="153">
        <f t="shared" si="236"/>
        <v>0</v>
      </c>
      <c r="AQ229" s="153">
        <f t="shared" si="236"/>
        <v>0</v>
      </c>
      <c r="AV229" s="103" t="s">
        <v>222</v>
      </c>
      <c r="AW229" s="104"/>
      <c r="AX229" s="104"/>
      <c r="AY229" s="120">
        <f>SUM(AY210:AY228)</f>
        <v>488160</v>
      </c>
      <c r="AZ229" s="411">
        <f>SUM(AZ210:AZ228)</f>
        <v>0.99999999999999989</v>
      </c>
      <c r="BA229" s="121">
        <f>SUM(BA210:BA228)</f>
        <v>183600</v>
      </c>
      <c r="BB229" s="87"/>
      <c r="BC229" s="151"/>
      <c r="BD229" s="106"/>
      <c r="BE229" s="107">
        <f>SUM(BE210:BE228)</f>
        <v>506070.51072395616</v>
      </c>
      <c r="BF229" s="105">
        <f>SUM(BF210:BF228)</f>
        <v>438138.5107239561</v>
      </c>
      <c r="BG229" s="87"/>
      <c r="BH229" s="152">
        <f>SUM(BH210:BH228)</f>
        <v>408000</v>
      </c>
      <c r="BI229" s="126"/>
      <c r="BJ229" s="419">
        <f>SUM(BJ210:BJ228)</f>
        <v>183600</v>
      </c>
      <c r="BK229" s="492">
        <f>SUM(BK210:BK228)</f>
        <v>459</v>
      </c>
      <c r="BL229" s="491"/>
      <c r="BM229" s="492">
        <f>SUM(BM210:BM228)</f>
        <v>436.04999999999995</v>
      </c>
      <c r="BN229" s="492">
        <f>SUM(BN210:BN228)</f>
        <v>30477.599999999999</v>
      </c>
      <c r="BO229" s="491"/>
      <c r="BP229" s="492">
        <f>SUM(BP210:BP228)</f>
        <v>23443.369920000001</v>
      </c>
      <c r="BQ229" s="87"/>
      <c r="BR229" s="87"/>
      <c r="BS229" s="87"/>
      <c r="BT229" s="152">
        <f>SUM(BT210:BT228)</f>
        <v>490600.8</v>
      </c>
      <c r="BU229" s="77"/>
      <c r="BV229" s="153">
        <f>SUM(BV210:BV228)</f>
        <v>113945.292</v>
      </c>
      <c r="BW229" s="153">
        <f>SUM(BW210:BW228)</f>
        <v>490600.8</v>
      </c>
      <c r="BX229" s="77"/>
      <c r="BY229" s="153">
        <f>SUM(BY210:BY228)</f>
        <v>28643.705999999998</v>
      </c>
      <c r="BZ229" s="153">
        <f>SUM(BZ210:BZ228)</f>
        <v>25054.649999999994</v>
      </c>
      <c r="CA229" s="77"/>
      <c r="CB229" s="153">
        <f>SUM(CB210:CB228)</f>
        <v>12827.98079999999</v>
      </c>
      <c r="CC229" s="153">
        <f>SUM(CC210:CC228)</f>
        <v>490600.8</v>
      </c>
      <c r="CD229" s="77"/>
      <c r="CE229" s="154">
        <f>SUM(CE210:CE228)</f>
        <v>16212.38275862069</v>
      </c>
      <c r="CF229" s="87"/>
      <c r="CG229" s="152">
        <f>SUM(CG210:CG228)</f>
        <v>59029.729245335482</v>
      </c>
      <c r="CH229" s="153">
        <f t="shared" ref="CH229:CJ229" si="237">SUM(CH210:CH228)</f>
        <v>2637.9310344827586</v>
      </c>
      <c r="CI229" s="153">
        <f t="shared" si="237"/>
        <v>10024.137931034486</v>
      </c>
      <c r="CJ229" s="153">
        <f t="shared" si="237"/>
        <v>67932</v>
      </c>
    </row>
    <row r="230" spans="2:88" x14ac:dyDescent="0.35">
      <c r="C230" s="108"/>
      <c r="D230" s="108"/>
      <c r="E230" s="108"/>
      <c r="F230" s="87"/>
      <c r="G230" s="87"/>
      <c r="H230" s="87"/>
      <c r="I230" s="109"/>
      <c r="J230" s="87"/>
      <c r="K230" s="87"/>
      <c r="L230" s="87"/>
      <c r="M230" s="87"/>
      <c r="N230" s="87"/>
      <c r="O230" s="220"/>
      <c r="P230" s="220"/>
      <c r="Q230" s="220"/>
      <c r="R230" s="87"/>
      <c r="S230" s="422">
        <f>Q229</f>
        <v>0</v>
      </c>
      <c r="T230"/>
      <c r="U230"/>
      <c r="V230"/>
      <c r="W230"/>
      <c r="X230"/>
      <c r="Y230"/>
      <c r="Z230" s="87"/>
      <c r="AA230" s="87"/>
      <c r="AB230" s="87"/>
      <c r="AC230" s="87"/>
      <c r="AD230" s="87"/>
      <c r="AM230" s="87"/>
      <c r="AN230" s="420">
        <f>IFERROR(IF(DP!$C$16=PS!$B$3,PS!$K$23*D205/(D205+AW205),IF(DP!$C$16=PS!$N$3,PS!$AC$23*D205/(D205+AW205),IF(DP!$C$16=PS!$AF$3,PS!$AP$23*D205/(D205+AW205)))),0*1)</f>
        <v>0</v>
      </c>
      <c r="AO230" s="220"/>
      <c r="AP230" s="220"/>
      <c r="AQ230" s="433"/>
      <c r="AV230" s="108"/>
      <c r="AW230" s="108"/>
      <c r="AX230" s="108"/>
      <c r="AY230" s="87"/>
      <c r="AZ230" s="87"/>
      <c r="BA230" s="87"/>
      <c r="BB230" s="109"/>
      <c r="BC230" s="87"/>
      <c r="BD230" s="87"/>
      <c r="BE230" s="87"/>
      <c r="BF230" s="87"/>
      <c r="BG230" s="87"/>
      <c r="BH230" s="87"/>
      <c r="BI230" s="87"/>
      <c r="BJ230" s="87"/>
      <c r="BK230"/>
      <c r="BL230"/>
      <c r="BM230"/>
      <c r="BN230"/>
      <c r="BO230"/>
      <c r="BP230"/>
      <c r="BQ230" s="87"/>
      <c r="BR230" s="87"/>
      <c r="BS230" s="87"/>
      <c r="BT230" s="87"/>
      <c r="BU230" s="87"/>
      <c r="BV230" s="87"/>
      <c r="BW230" s="87"/>
      <c r="CF230" s="87"/>
      <c r="CG230" s="420">
        <f>IFERROR(IF(DP!$C$16=PS!$B$3,PS!$K$23*AW205/(AW205+D205),IF(DP!$C$16=PS!$N$3,PS!$AC$23*AW205/(AW205+D205),IF(DP!$C$16=PS!$AF$3,PS!$AP$23*AW205/(AW205+D205)))),0*1)</f>
        <v>59029.729245335482</v>
      </c>
      <c r="CH230" s="220"/>
      <c r="CI230" s="220"/>
      <c r="CJ230" s="433"/>
    </row>
    <row r="231" spans="2:88" x14ac:dyDescent="0.35">
      <c r="C231" s="108"/>
      <c r="D231" s="108"/>
      <c r="E231" s="108"/>
      <c r="F231" s="87"/>
      <c r="G231" s="87"/>
      <c r="H231" s="87"/>
      <c r="I231" s="109"/>
      <c r="J231" s="87"/>
      <c r="K231" s="87"/>
      <c r="L231" s="87"/>
      <c r="M231" s="87"/>
      <c r="N231" s="87"/>
      <c r="O231" s="87"/>
      <c r="P231" s="87"/>
      <c r="Q231" s="87"/>
      <c r="T231" s="87"/>
      <c r="U231" s="87"/>
      <c r="V231" s="87"/>
      <c r="W231" s="87"/>
      <c r="X231" s="87"/>
      <c r="Y231" s="87"/>
      <c r="Z231" s="87"/>
      <c r="AM231" s="87"/>
      <c r="AV231" s="108"/>
      <c r="AW231" s="108"/>
      <c r="AX231" s="108"/>
      <c r="AY231" s="87"/>
      <c r="AZ231" s="87"/>
      <c r="BA231" s="87"/>
      <c r="BB231" s="109"/>
      <c r="BC231" s="87"/>
      <c r="BD231" s="87"/>
      <c r="BE231" s="87"/>
      <c r="BF231" s="87"/>
      <c r="BG231" s="87"/>
      <c r="BH231" s="87"/>
      <c r="BK231" s="87"/>
      <c r="BL231" s="87"/>
      <c r="BM231" s="87"/>
      <c r="BN231" s="87"/>
      <c r="BO231" s="87"/>
      <c r="BP231" s="87"/>
      <c r="BQ231" s="87"/>
      <c r="BR231" s="87"/>
      <c r="BS231" s="87"/>
      <c r="BT231"/>
      <c r="BU231"/>
      <c r="BV231"/>
      <c r="BW231"/>
      <c r="BX231"/>
      <c r="BY231"/>
      <c r="BZ231"/>
      <c r="CA231"/>
      <c r="CB231"/>
      <c r="CC231"/>
      <c r="CF231" s="87"/>
    </row>
    <row r="232" spans="2:88" x14ac:dyDescent="0.35">
      <c r="C232" s="108"/>
      <c r="D232" s="108"/>
      <c r="E232" s="108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116" t="s">
        <v>228</v>
      </c>
      <c r="S232" s="94">
        <f>IFERROR((SUMIF(B210:B228,1,H210:H228))/H229*S230,0*1)</f>
        <v>0</v>
      </c>
      <c r="T232" s="109"/>
      <c r="U232" s="87"/>
      <c r="V232" s="87"/>
      <c r="W232" s="87"/>
      <c r="X232" s="87"/>
      <c r="Y232" s="87"/>
      <c r="Z232" s="87"/>
      <c r="AM232" s="87"/>
      <c r="AV232" s="108"/>
      <c r="AW232" s="108"/>
      <c r="AX232" s="108"/>
      <c r="AY232" s="87"/>
      <c r="AZ232" s="87"/>
      <c r="BA232" s="87"/>
      <c r="BB232" s="87"/>
      <c r="BC232" s="87"/>
      <c r="BD232" s="87"/>
      <c r="BE232" s="87"/>
      <c r="BF232" s="87"/>
      <c r="BG232" s="87"/>
      <c r="BK232" s="109"/>
      <c r="BL232" s="87"/>
      <c r="BM232" s="87"/>
      <c r="BN232" s="87"/>
      <c r="BO232" s="87"/>
      <c r="BP232" s="87"/>
      <c r="BQ232" s="87"/>
      <c r="BR232" s="87"/>
      <c r="BS232" s="87"/>
      <c r="BT232"/>
      <c r="BU232"/>
      <c r="BV232"/>
      <c r="BW232"/>
      <c r="BX232"/>
      <c r="BY232"/>
      <c r="BZ232"/>
      <c r="CA232"/>
      <c r="CB232"/>
      <c r="CC232"/>
      <c r="CF232" s="87"/>
    </row>
    <row r="233" spans="2:88" x14ac:dyDescent="0.35">
      <c r="C233" s="108"/>
      <c r="D233" s="108"/>
      <c r="E233" s="108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116" t="s">
        <v>229</v>
      </c>
      <c r="S233" s="94">
        <f>S230-S232</f>
        <v>0</v>
      </c>
      <c r="T233" s="109"/>
      <c r="U233" s="87"/>
      <c r="V233" s="87"/>
      <c r="W233" s="87"/>
      <c r="X233" s="87"/>
      <c r="Y233" s="87"/>
      <c r="Z233" s="87"/>
      <c r="AM233" s="87"/>
      <c r="AV233" s="108"/>
      <c r="AW233" s="108"/>
      <c r="AX233" s="108"/>
      <c r="AY233" s="87"/>
      <c r="AZ233" s="87"/>
      <c r="BA233" s="87"/>
      <c r="BB233" s="87"/>
      <c r="BC233" s="87"/>
      <c r="BD233" s="87"/>
      <c r="BE233" s="87"/>
      <c r="BF233" s="87"/>
      <c r="BG233" s="87"/>
      <c r="BK233" s="109"/>
      <c r="BL233" s="87"/>
      <c r="BM233" s="87"/>
      <c r="BN233" s="87"/>
      <c r="BO233" s="87"/>
      <c r="BP233" s="87"/>
      <c r="BQ233" s="87"/>
      <c r="BR233" s="87"/>
      <c r="BS233" s="87"/>
      <c r="BT233"/>
      <c r="BU233"/>
      <c r="BV233"/>
      <c r="BW233"/>
      <c r="BX233"/>
      <c r="BY233"/>
      <c r="BZ233"/>
      <c r="CA233"/>
      <c r="CB233"/>
      <c r="CC233"/>
      <c r="CF233" s="87"/>
    </row>
    <row r="234" spans="2:88" x14ac:dyDescent="0.35">
      <c r="C234" s="108"/>
      <c r="D234" s="108"/>
      <c r="E234" s="108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T234" s="87"/>
      <c r="U234" s="87"/>
      <c r="V234" s="87"/>
      <c r="W234" s="87"/>
      <c r="X234" s="87"/>
      <c r="Y234" s="87"/>
      <c r="Z234" s="87"/>
      <c r="AM234" s="87"/>
      <c r="AV234" s="108"/>
      <c r="AW234" s="108"/>
      <c r="AX234" s="108"/>
      <c r="AY234" s="87"/>
      <c r="AZ234" s="87"/>
      <c r="BA234" s="87"/>
      <c r="BB234" s="87"/>
      <c r="BC234" s="87"/>
      <c r="BD234" s="87"/>
      <c r="BE234" s="87"/>
      <c r="BF234" s="87"/>
      <c r="BG234" s="87"/>
      <c r="BK234" s="87"/>
      <c r="BL234" s="87"/>
      <c r="BM234" s="87"/>
      <c r="BN234" s="87"/>
      <c r="BO234" s="87"/>
      <c r="BP234" s="87"/>
      <c r="BQ234" s="87"/>
      <c r="BR234" s="87"/>
      <c r="BS234" s="87"/>
      <c r="BT234"/>
      <c r="BU234"/>
      <c r="BV234"/>
      <c r="BW234"/>
      <c r="BX234"/>
      <c r="BY234"/>
      <c r="BZ234"/>
      <c r="CA234"/>
      <c r="CB234"/>
      <c r="CC234"/>
      <c r="CF234" s="87"/>
    </row>
    <row r="235" spans="2:88" x14ac:dyDescent="0.35">
      <c r="C235" s="108"/>
      <c r="D235" s="108"/>
      <c r="E235" s="108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T235" s="87"/>
      <c r="U235" s="87"/>
      <c r="V235" s="87"/>
      <c r="W235" s="87"/>
      <c r="X235" s="87"/>
      <c r="Y235" s="87"/>
      <c r="Z235" s="87"/>
      <c r="AM235" s="87"/>
      <c r="AV235" s="108"/>
      <c r="AW235" s="108"/>
      <c r="AX235" s="108"/>
      <c r="AY235" s="87"/>
      <c r="AZ235" s="87"/>
      <c r="BA235" s="87"/>
      <c r="BB235" s="87"/>
      <c r="BC235" s="87"/>
      <c r="BD235" s="87"/>
      <c r="BE235" s="87"/>
      <c r="BF235" s="87"/>
      <c r="BG235" s="87"/>
      <c r="BH235" s="87"/>
      <c r="BK235" s="87"/>
      <c r="BL235" s="87"/>
      <c r="BM235" s="87"/>
      <c r="BN235" s="87"/>
      <c r="BO235" s="87"/>
      <c r="BP235" s="87"/>
      <c r="BQ235" s="87"/>
      <c r="BR235" s="87"/>
      <c r="BS235" s="87"/>
      <c r="BT235"/>
      <c r="BU235"/>
      <c r="BV235"/>
      <c r="BW235"/>
      <c r="BX235"/>
      <c r="BY235"/>
      <c r="BZ235"/>
      <c r="CA235"/>
      <c r="CB235"/>
      <c r="CC235"/>
      <c r="CF235" s="87"/>
    </row>
    <row r="236" spans="2:88" x14ac:dyDescent="0.35">
      <c r="C236" s="108"/>
      <c r="D236" s="108"/>
      <c r="E236" s="108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T236" s="87"/>
      <c r="U236" s="87"/>
      <c r="V236" s="87"/>
      <c r="W236" s="87"/>
      <c r="X236" s="87"/>
      <c r="Y236" s="87"/>
      <c r="Z236" s="87"/>
      <c r="AM236" s="87"/>
      <c r="AV236" s="108"/>
      <c r="AW236" s="108"/>
      <c r="AX236" s="108"/>
      <c r="AY236" s="87"/>
      <c r="AZ236" s="87"/>
      <c r="BA236" s="87"/>
      <c r="BB236" s="87"/>
      <c r="BC236" s="87"/>
      <c r="BD236" s="87"/>
      <c r="BE236" s="87"/>
      <c r="BF236" s="87"/>
      <c r="BG236" s="87"/>
      <c r="BH236" s="87"/>
      <c r="BK236" s="87"/>
      <c r="BL236" s="87"/>
      <c r="BM236" s="87"/>
      <c r="BN236" s="87"/>
      <c r="BO236" s="87"/>
      <c r="BP236" s="87"/>
      <c r="BQ236" s="87"/>
      <c r="BR236" s="87"/>
      <c r="BS236" s="87"/>
      <c r="BT236"/>
      <c r="BU236"/>
      <c r="BV236"/>
      <c r="BW236"/>
      <c r="BX236"/>
      <c r="BY236"/>
      <c r="BZ236"/>
      <c r="CA236"/>
      <c r="CB236"/>
      <c r="CC236"/>
      <c r="CF236" s="87"/>
    </row>
    <row r="237" spans="2:88" x14ac:dyDescent="0.35">
      <c r="AV237" s="108"/>
      <c r="AW237" s="108"/>
      <c r="AX237" s="108"/>
      <c r="AY237" s="87"/>
      <c r="AZ237" s="87"/>
      <c r="BA237" s="87"/>
      <c r="BB237" s="87"/>
      <c r="BC237" s="87"/>
      <c r="BD237" s="87"/>
      <c r="BE237" s="87"/>
      <c r="BF237" s="87"/>
      <c r="BG237" s="87"/>
      <c r="BH237" s="87"/>
      <c r="BK237" s="87"/>
      <c r="BL237" s="87"/>
      <c r="BM237" s="87"/>
      <c r="BN237" s="87"/>
      <c r="BO237" s="87"/>
      <c r="BP237" s="87"/>
      <c r="BQ237" s="87"/>
      <c r="BR237" s="87"/>
      <c r="BS237" s="87"/>
      <c r="BU237" s="87"/>
      <c r="BV237" s="87"/>
      <c r="BW237" s="87"/>
      <c r="CF237" s="87"/>
    </row>
    <row r="238" spans="2:88" ht="16" thickBot="1" x14ac:dyDescent="0.4">
      <c r="C238" s="421" t="s">
        <v>343</v>
      </c>
      <c r="D238" s="482">
        <f>DP!AD14</f>
        <v>0</v>
      </c>
      <c r="E238" s="108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T238" s="87"/>
      <c r="U238" s="87"/>
      <c r="V238" s="87"/>
      <c r="W238" s="87"/>
      <c r="X238" s="87"/>
      <c r="Y238" s="87"/>
      <c r="Z238" s="87"/>
      <c r="AA238" s="87"/>
      <c r="AB238" s="87"/>
      <c r="AC238" s="87"/>
      <c r="AD238" s="87"/>
      <c r="AM238" s="87"/>
      <c r="AV238" s="421" t="s">
        <v>354</v>
      </c>
      <c r="AW238" s="482">
        <f>DP!BF14</f>
        <v>183600</v>
      </c>
      <c r="AX238" s="108"/>
      <c r="AY238" s="87"/>
      <c r="AZ238" s="87"/>
      <c r="BA238" s="87"/>
      <c r="BB238" s="87"/>
      <c r="BC238" s="87"/>
      <c r="BD238" s="87"/>
      <c r="BE238" s="87"/>
      <c r="BF238" s="87"/>
      <c r="BG238" s="87"/>
      <c r="BH238" s="87"/>
      <c r="BK238" s="87"/>
      <c r="BL238" s="87"/>
      <c r="BM238" s="87"/>
      <c r="BN238" s="87"/>
      <c r="BO238" s="87"/>
      <c r="BP238" s="87"/>
      <c r="BQ238" s="87"/>
      <c r="BR238" s="87"/>
      <c r="BS238" s="87"/>
      <c r="BT238" s="87"/>
      <c r="BU238" s="87"/>
      <c r="BV238" s="87"/>
      <c r="BW238" s="87"/>
      <c r="CF238" s="87"/>
    </row>
    <row r="239" spans="2:88" ht="15.5" customHeight="1" x14ac:dyDescent="0.35">
      <c r="C239" s="1026" t="s">
        <v>78</v>
      </c>
      <c r="D239" s="1009" t="s">
        <v>169</v>
      </c>
      <c r="E239" s="1010"/>
      <c r="F239" s="1010"/>
      <c r="G239" s="1010"/>
      <c r="H239" s="1011"/>
      <c r="I239" s="130"/>
      <c r="J239" s="1015" t="s">
        <v>170</v>
      </c>
      <c r="K239" s="1015" t="s">
        <v>215</v>
      </c>
      <c r="L239" s="1015" t="s">
        <v>216</v>
      </c>
      <c r="M239" s="1017" t="s">
        <v>217</v>
      </c>
      <c r="N239" s="130"/>
      <c r="O239" s="1019" t="s">
        <v>213</v>
      </c>
      <c r="P239" s="1007"/>
      <c r="Q239" s="1007"/>
      <c r="R239" s="1007"/>
      <c r="S239" s="1007"/>
      <c r="T239" s="1007"/>
      <c r="U239" s="1007"/>
      <c r="V239" s="1007"/>
      <c r="W239" s="1007"/>
      <c r="X239" s="1007"/>
      <c r="Y239" s="1007"/>
      <c r="Z239" s="130"/>
      <c r="AA239" s="1019" t="s">
        <v>180</v>
      </c>
      <c r="AB239" s="1007"/>
      <c r="AC239" s="1007"/>
      <c r="AD239" s="1007"/>
      <c r="AE239" s="1007"/>
      <c r="AF239" s="1007"/>
      <c r="AG239" s="1007"/>
      <c r="AH239" s="1007"/>
      <c r="AI239" s="1007"/>
      <c r="AJ239" s="1007"/>
      <c r="AK239" s="1007"/>
      <c r="AL239" s="1020"/>
      <c r="AM239" s="130"/>
      <c r="AN239" s="131" t="s">
        <v>214</v>
      </c>
      <c r="AO239" s="1006" t="s">
        <v>361</v>
      </c>
      <c r="AP239" s="1007"/>
      <c r="AQ239" s="1008"/>
      <c r="AV239" s="1026" t="s">
        <v>78</v>
      </c>
      <c r="AW239" s="1009" t="s">
        <v>169</v>
      </c>
      <c r="AX239" s="1010"/>
      <c r="AY239" s="1010"/>
      <c r="AZ239" s="1010"/>
      <c r="BA239" s="1011"/>
      <c r="BB239" s="130"/>
      <c r="BC239" s="1015" t="s">
        <v>170</v>
      </c>
      <c r="BD239" s="1015" t="s">
        <v>215</v>
      </c>
      <c r="BE239" s="1015" t="s">
        <v>216</v>
      </c>
      <c r="BF239" s="1017" t="s">
        <v>217</v>
      </c>
      <c r="BG239" s="130"/>
      <c r="BH239" s="1019" t="s">
        <v>213</v>
      </c>
      <c r="BI239" s="1007"/>
      <c r="BJ239" s="1007"/>
      <c r="BK239" s="1007"/>
      <c r="BL239" s="1007"/>
      <c r="BM239" s="1007"/>
      <c r="BN239" s="1007"/>
      <c r="BO239" s="1007"/>
      <c r="BP239" s="1007"/>
      <c r="BQ239" s="130"/>
      <c r="BR239" s="130"/>
      <c r="BS239" s="130"/>
      <c r="BT239" s="1019" t="s">
        <v>180</v>
      </c>
      <c r="BU239" s="1007"/>
      <c r="BV239" s="1007"/>
      <c r="BW239" s="1007"/>
      <c r="BX239" s="1007"/>
      <c r="BY239" s="1007"/>
      <c r="BZ239" s="1007"/>
      <c r="CA239" s="1007"/>
      <c r="CB239" s="1007"/>
      <c r="CC239" s="1007"/>
      <c r="CD239" s="1007"/>
      <c r="CE239" s="1020"/>
      <c r="CF239" s="130"/>
      <c r="CG239" s="131" t="s">
        <v>214</v>
      </c>
      <c r="CH239" s="1006" t="s">
        <v>361</v>
      </c>
      <c r="CI239" s="1007"/>
      <c r="CJ239" s="1008"/>
    </row>
    <row r="240" spans="2:88" ht="30.5" thickBot="1" x14ac:dyDescent="0.4">
      <c r="C240" s="1027"/>
      <c r="D240" s="1012"/>
      <c r="E240" s="1013"/>
      <c r="F240" s="1013"/>
      <c r="G240" s="1013"/>
      <c r="H240" s="1014"/>
      <c r="I240" s="130"/>
      <c r="J240" s="1016"/>
      <c r="K240" s="1016"/>
      <c r="L240" s="1016"/>
      <c r="M240" s="1018"/>
      <c r="N240" s="130"/>
      <c r="O240" s="134" t="s">
        <v>218</v>
      </c>
      <c r="P240" s="415"/>
      <c r="Q240" s="415"/>
      <c r="R240" s="135"/>
      <c r="S240" s="135"/>
      <c r="T240" s="69" t="s">
        <v>171</v>
      </c>
      <c r="U240" s="69"/>
      <c r="V240" s="69"/>
      <c r="W240" s="69" t="s">
        <v>172</v>
      </c>
      <c r="X240" s="69"/>
      <c r="Y240" s="69"/>
      <c r="Z240" s="130"/>
      <c r="AA240" s="1021" t="s">
        <v>173</v>
      </c>
      <c r="AB240" s="1022"/>
      <c r="AC240" s="1023"/>
      <c r="AD240" s="1024" t="s">
        <v>174</v>
      </c>
      <c r="AE240" s="1022"/>
      <c r="AF240" s="1023"/>
      <c r="AG240" s="1024" t="s">
        <v>175</v>
      </c>
      <c r="AH240" s="1022"/>
      <c r="AI240" s="1023"/>
      <c r="AJ240" s="1024" t="s">
        <v>176</v>
      </c>
      <c r="AK240" s="1022"/>
      <c r="AL240" s="1025"/>
      <c r="AM240" s="130"/>
      <c r="AN240" s="115" t="s">
        <v>177</v>
      </c>
      <c r="AO240" s="458" t="s">
        <v>362</v>
      </c>
      <c r="AP240" s="458" t="s">
        <v>363</v>
      </c>
      <c r="AQ240" s="494" t="s">
        <v>364</v>
      </c>
      <c r="AV240" s="1027"/>
      <c r="AW240" s="1012"/>
      <c r="AX240" s="1013"/>
      <c r="AY240" s="1013"/>
      <c r="AZ240" s="1013"/>
      <c r="BA240" s="1014"/>
      <c r="BB240" s="130"/>
      <c r="BC240" s="1016"/>
      <c r="BD240" s="1016"/>
      <c r="BE240" s="1016"/>
      <c r="BF240" s="1018"/>
      <c r="BG240" s="130"/>
      <c r="BH240" s="1031" t="s">
        <v>234</v>
      </c>
      <c r="BI240" s="1032"/>
      <c r="BJ240" s="1033"/>
      <c r="BK240" s="1024" t="s">
        <v>171</v>
      </c>
      <c r="BL240" s="1022"/>
      <c r="BM240" s="1023"/>
      <c r="BN240" s="1024" t="s">
        <v>231</v>
      </c>
      <c r="BO240" s="1022"/>
      <c r="BP240" s="1023"/>
      <c r="BQ240" s="130"/>
      <c r="BR240" s="130"/>
      <c r="BS240" s="130"/>
      <c r="BT240" s="1021" t="s">
        <v>173</v>
      </c>
      <c r="BU240" s="1022"/>
      <c r="BV240" s="1023"/>
      <c r="BW240" s="1024" t="s">
        <v>174</v>
      </c>
      <c r="BX240" s="1022"/>
      <c r="BY240" s="1023"/>
      <c r="BZ240" s="1024" t="s">
        <v>175</v>
      </c>
      <c r="CA240" s="1022"/>
      <c r="CB240" s="1023"/>
      <c r="CC240" s="1024" t="s">
        <v>176</v>
      </c>
      <c r="CD240" s="1022"/>
      <c r="CE240" s="1025"/>
      <c r="CF240" s="130"/>
      <c r="CG240" s="115" t="s">
        <v>177</v>
      </c>
      <c r="CH240" s="458" t="s">
        <v>362</v>
      </c>
      <c r="CI240" s="458" t="s">
        <v>363</v>
      </c>
      <c r="CJ240" s="494" t="s">
        <v>364</v>
      </c>
    </row>
    <row r="241" spans="2:88" ht="16" thickBot="1" x14ac:dyDescent="0.4">
      <c r="C241" s="1028"/>
      <c r="D241" s="111" t="s">
        <v>225</v>
      </c>
      <c r="E241" s="111"/>
      <c r="F241" s="112" t="s">
        <v>178</v>
      </c>
      <c r="G241" s="113" t="s">
        <v>226</v>
      </c>
      <c r="H241" s="114" t="s">
        <v>227</v>
      </c>
      <c r="I241" s="136"/>
      <c r="J241" s="119" t="s">
        <v>179</v>
      </c>
      <c r="K241" s="137" t="s">
        <v>224</v>
      </c>
      <c r="L241" s="137" t="s">
        <v>224</v>
      </c>
      <c r="M241" s="138" t="s">
        <v>224</v>
      </c>
      <c r="N241" s="136"/>
      <c r="O241" s="118" t="s">
        <v>223</v>
      </c>
      <c r="P241" s="119" t="s">
        <v>179</v>
      </c>
      <c r="Q241" s="137" t="s">
        <v>224</v>
      </c>
      <c r="R241" s="119" t="s">
        <v>179</v>
      </c>
      <c r="S241" s="137" t="s">
        <v>224</v>
      </c>
      <c r="T241" s="119" t="s">
        <v>219</v>
      </c>
      <c r="U241" s="119" t="s">
        <v>179</v>
      </c>
      <c r="V241" s="137" t="s">
        <v>224</v>
      </c>
      <c r="W241" s="119" t="s">
        <v>219</v>
      </c>
      <c r="X241" s="119" t="s">
        <v>179</v>
      </c>
      <c r="Y241" s="137" t="s">
        <v>224</v>
      </c>
      <c r="Z241" s="136"/>
      <c r="AA241" s="118" t="s">
        <v>220</v>
      </c>
      <c r="AB241" s="119" t="s">
        <v>179</v>
      </c>
      <c r="AC241" s="137" t="s">
        <v>224</v>
      </c>
      <c r="AD241" s="119" t="s">
        <v>220</v>
      </c>
      <c r="AE241" s="119" t="s">
        <v>179</v>
      </c>
      <c r="AF241" s="137" t="s">
        <v>224</v>
      </c>
      <c r="AG241" s="119" t="s">
        <v>220</v>
      </c>
      <c r="AH241" s="119" t="s">
        <v>179</v>
      </c>
      <c r="AI241" s="137" t="s">
        <v>224</v>
      </c>
      <c r="AJ241" s="119" t="s">
        <v>221</v>
      </c>
      <c r="AK241" s="119" t="s">
        <v>179</v>
      </c>
      <c r="AL241" s="138" t="s">
        <v>224</v>
      </c>
      <c r="AM241" s="136"/>
      <c r="AN241" s="139" t="s">
        <v>224</v>
      </c>
      <c r="AO241" s="137" t="s">
        <v>224</v>
      </c>
      <c r="AP241" s="137" t="s">
        <v>224</v>
      </c>
      <c r="AQ241" s="137" t="s">
        <v>224</v>
      </c>
      <c r="AV241" s="1028"/>
      <c r="AW241" s="111" t="s">
        <v>225</v>
      </c>
      <c r="AX241" s="111"/>
      <c r="AY241" s="112" t="s">
        <v>178</v>
      </c>
      <c r="AZ241" s="113" t="s">
        <v>226</v>
      </c>
      <c r="BA241" s="114" t="s">
        <v>227</v>
      </c>
      <c r="BB241" s="136"/>
      <c r="BC241" s="119" t="s">
        <v>179</v>
      </c>
      <c r="BD241" s="137" t="s">
        <v>224</v>
      </c>
      <c r="BE241" s="137" t="s">
        <v>224</v>
      </c>
      <c r="BF241" s="138" t="s">
        <v>224</v>
      </c>
      <c r="BG241" s="136"/>
      <c r="BH241" s="118" t="s">
        <v>219</v>
      </c>
      <c r="BI241" s="119" t="s">
        <v>179</v>
      </c>
      <c r="BJ241" s="137" t="s">
        <v>224</v>
      </c>
      <c r="BK241" s="119" t="s">
        <v>219</v>
      </c>
      <c r="BL241" s="119" t="s">
        <v>179</v>
      </c>
      <c r="BM241" s="137" t="s">
        <v>224</v>
      </c>
      <c r="BN241" s="119" t="s">
        <v>219</v>
      </c>
      <c r="BO241" s="119" t="s">
        <v>179</v>
      </c>
      <c r="BP241" s="137" t="s">
        <v>224</v>
      </c>
      <c r="BQ241" s="136"/>
      <c r="BR241" s="136"/>
      <c r="BS241" s="136"/>
      <c r="BT241" s="118" t="s">
        <v>220</v>
      </c>
      <c r="BU241" s="119" t="s">
        <v>179</v>
      </c>
      <c r="BV241" s="137" t="s">
        <v>224</v>
      </c>
      <c r="BW241" s="119" t="s">
        <v>220</v>
      </c>
      <c r="BX241" s="119" t="s">
        <v>179</v>
      </c>
      <c r="BY241" s="137" t="s">
        <v>224</v>
      </c>
      <c r="BZ241" s="119" t="s">
        <v>220</v>
      </c>
      <c r="CA241" s="119" t="s">
        <v>179</v>
      </c>
      <c r="CB241" s="137" t="s">
        <v>224</v>
      </c>
      <c r="CC241" s="119" t="s">
        <v>221</v>
      </c>
      <c r="CD241" s="119" t="s">
        <v>179</v>
      </c>
      <c r="CE241" s="138" t="s">
        <v>224</v>
      </c>
      <c r="CF241" s="136"/>
      <c r="CG241" s="139" t="s">
        <v>224</v>
      </c>
      <c r="CH241" s="137" t="s">
        <v>224</v>
      </c>
      <c r="CI241" s="137" t="s">
        <v>224</v>
      </c>
      <c r="CJ241" s="137" t="s">
        <v>224</v>
      </c>
    </row>
    <row r="242" spans="2:88" ht="16" thickBot="1" x14ac:dyDescent="0.4">
      <c r="C242" s="117" t="s">
        <v>331</v>
      </c>
      <c r="D242" s="117"/>
      <c r="E242" s="11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V242" s="117" t="s">
        <v>350</v>
      </c>
      <c r="AW242" s="117"/>
      <c r="AX242" s="117"/>
      <c r="AY242" s="87"/>
      <c r="AZ242" s="87"/>
      <c r="BA242" s="87"/>
      <c r="BB242" s="87"/>
      <c r="BC242" s="87"/>
      <c r="BD242" s="87"/>
      <c r="BE242" s="87"/>
      <c r="BF242" s="87"/>
      <c r="BG242" s="87"/>
      <c r="BH242" s="87"/>
      <c r="BI242" s="87"/>
      <c r="BJ242" s="87"/>
      <c r="BK242" s="87"/>
      <c r="BL242" s="87"/>
      <c r="BM242" s="87"/>
      <c r="BN242" s="87"/>
      <c r="BO242" s="87"/>
      <c r="BP242" s="87"/>
      <c r="BQ242" s="87"/>
      <c r="BR242" s="87"/>
      <c r="BS242" s="87"/>
      <c r="BT242" s="87"/>
      <c r="BU242" s="87"/>
      <c r="BV242" s="87"/>
      <c r="BW242" s="87"/>
      <c r="BX242" s="87"/>
      <c r="BY242" s="87"/>
      <c r="BZ242" s="87"/>
      <c r="CA242" s="87"/>
      <c r="CB242" s="87"/>
      <c r="CC242" s="87"/>
      <c r="CD242" s="87"/>
      <c r="CE242" s="87"/>
      <c r="CF242" s="87"/>
      <c r="CG242" s="87"/>
      <c r="CH242" s="87"/>
      <c r="CI242" s="87"/>
      <c r="CJ242" s="87"/>
    </row>
    <row r="243" spans="2:88" x14ac:dyDescent="0.35">
      <c r="B243" s="480">
        <f>DP!S18</f>
        <v>1</v>
      </c>
      <c r="C243" s="480" t="str">
        <f>DP!T18</f>
        <v xml:space="preserve">PALMITO ENTERO 800 </v>
      </c>
      <c r="D243" s="480">
        <f>DP!U18</f>
        <v>800</v>
      </c>
      <c r="E243" s="480">
        <f>DP!V18</f>
        <v>500</v>
      </c>
      <c r="F243" s="412">
        <f>IFERROR((H243*1000)/E243,0*1)</f>
        <v>0</v>
      </c>
      <c r="G243" s="470">
        <f>DP!AD18</f>
        <v>0</v>
      </c>
      <c r="H243" s="98">
        <f>$D$238*G243</f>
        <v>0</v>
      </c>
      <c r="I243" s="97"/>
      <c r="J243" s="101">
        <f t="shared" ref="J243:J261" si="238">IF(F243&gt;0,L243/F243,0*1)</f>
        <v>0</v>
      </c>
      <c r="K243" s="122">
        <f t="shared" ref="K243:K261" si="239">IF(F243&gt;0,M243/F243,0*1)</f>
        <v>0</v>
      </c>
      <c r="L243" s="140">
        <f t="shared" ref="L243:L261" si="240">IF(F243&gt;0,M243+AQ243,0*1)</f>
        <v>0</v>
      </c>
      <c r="M243" s="123">
        <f t="shared" ref="M243:M261" si="241">IF(F243&gt;0,(S243+V243+Y243+AC243+AF243+AI243+AL243+AN243),0*1)</f>
        <v>0</v>
      </c>
      <c r="N243" s="100"/>
      <c r="O243" s="102">
        <f>($E243/DP!$O$29)*F243</f>
        <v>0</v>
      </c>
      <c r="P243" s="102">
        <f>IF(O243&gt;0,(DP!$O$31),0*1)</f>
        <v>0</v>
      </c>
      <c r="Q243" s="102">
        <f>O243*P243</f>
        <v>0</v>
      </c>
      <c r="R243" s="102">
        <f>IF(O243&gt;0,S243/O243,0*1)</f>
        <v>0</v>
      </c>
      <c r="S243" s="418">
        <f>IFERROR(IF(B243=1,(S$265+70%*S$266)/(SUMIF($B$243:$B$261,1,$H$243:$H$261))*H243,(30%*S$266)/(SUMIF($B$243:$B$261,0,$H$243:$H$261))*H243),0*1)</f>
        <v>0</v>
      </c>
      <c r="T243" s="475">
        <f>H243*DP!$Y$44</f>
        <v>0</v>
      </c>
      <c r="U243" s="475">
        <f>IF(H243&gt;0,DP!$Z$44,0*1)</f>
        <v>0</v>
      </c>
      <c r="V243" s="475">
        <f>T243*U243</f>
        <v>0</v>
      </c>
      <c r="W243" s="475">
        <f>H243*DP!$Y$45</f>
        <v>0</v>
      </c>
      <c r="X243" s="475">
        <f>IF(H243&gt;0,DP!$Z$45,0*1)</f>
        <v>0</v>
      </c>
      <c r="Y243" s="475">
        <f>W243*X243</f>
        <v>0</v>
      </c>
      <c r="Z243" s="100"/>
      <c r="AA243" s="93">
        <f>IF(D243=DP!$L$15,F243*(1+DP!$O$15),IF(D243=DP!$L$16,F243*(1+DP!$O$16),IF(D243=DP!$L$17,F243*(1+DP!$O$17),IF(D243=DP!$L$18,F243*(1+DP!$O$18),0*1))))</f>
        <v>0</v>
      </c>
      <c r="AB243" s="102">
        <f>IF(D243=DP!$L$22,(DP!$M$22),IF(D243=DP!$L$23,(DP!$M$23),IF(D243=DP!$L$24,(DP!$M$24),IF(D243=DP!$L$25,(DP!$M$25),((0*1))))))</f>
        <v>0</v>
      </c>
      <c r="AC243" s="93">
        <f>AA243*AB243</f>
        <v>0</v>
      </c>
      <c r="AD243" s="93">
        <f>IF(D243=DP!$L$15,F243*(1+DP!$O$15),IF(D243=DP!$L$16,F243*(1+DP!$O$16),IF(D243=DP!$L$17,F243*(1+DP!$O$17),IF(D243=DP!$L$18,F243*(1+DP!$O$18),0*1))))</f>
        <v>0</v>
      </c>
      <c r="AE243" s="102">
        <f>IF(D243=DP!$L$22,(DP!$N$22),IF(D243=DP!$L$23,(DP!$N$23),IF(D243=DP!$L$24,(DP!$N$24),IF(D243=DP!$L$25,(DP!$N$25),((0*1))))))</f>
        <v>0</v>
      </c>
      <c r="AF243" s="93">
        <f>AD243*AE243</f>
        <v>0</v>
      </c>
      <c r="AG243" s="93">
        <f>IF(D243=DP!$L$15,(F243/DP!$K$15)*(1+DP!$O$15),IF(D243=DP!$L$16,(F243/DP!$K$16)*(1+DP!$O$16),IF(D243=DP!$L$17,(F243/DP!$K$17)*(1+DP!$O$17),IF(D243=DP!$L$18,(F243/DP!$K$18)*(1+DP!$O$18),0*1))))</f>
        <v>0</v>
      </c>
      <c r="AH243" s="102">
        <f>IF(D243=DP!$L$22,(DP!$O$22),IF(D243=DP!$L$23,(DP!$O$23),IF(D243=DP!$L$24,(DP!$O$24),IF(D243=DP!$L$25,(DP!$O$25),((0*1))))))</f>
        <v>0</v>
      </c>
      <c r="AI243" s="93">
        <f>AG243*AH243</f>
        <v>0</v>
      </c>
      <c r="AJ243" s="93">
        <f>IF(D243=DP!$L$15,F243*(1+DP!$O$15),IF(D243=DP!$L$16,F243*(1+DP!$O$16),IF(D243=DP!$L$17,F243*(1+DP!$O$17),IF(D243=DP!$L$18,F243*(1+DP!$O$18),0*1))))</f>
        <v>0</v>
      </c>
      <c r="AK243" s="102">
        <f>IF(D243=DP!$L$22,(DP!$P$22),IF(D243=DP!$L$23,(DP!$P$23),IF(D243=DP!$L$24,(DP!$P$24),IF(D243=DP!$L$25,(DP!$P$25),((0*1))))))</f>
        <v>0</v>
      </c>
      <c r="AL243" s="93">
        <f>AJ243*AK243</f>
        <v>0</v>
      </c>
      <c r="AM243" s="100"/>
      <c r="AN243" s="149">
        <f t="shared" ref="AN243:AN261" si="242">IF(F243&gt;0,AN$263/H$262*H243,0*1)</f>
        <v>0</v>
      </c>
      <c r="AO243" s="149">
        <f>DP!$N$35*H243</f>
        <v>0</v>
      </c>
      <c r="AP243" s="149">
        <f>DP!$O$35*H243</f>
        <v>0</v>
      </c>
      <c r="AQ243" s="149">
        <f>DP!$P$35*H243</f>
        <v>0</v>
      </c>
      <c r="AV243" s="489" t="str">
        <f>DP!AV18</f>
        <v>PIÑA RODAJA 850</v>
      </c>
      <c r="AW243" s="489">
        <f>DP!AW18</f>
        <v>850</v>
      </c>
      <c r="AX243" s="489">
        <f>DP!AX18</f>
        <v>425</v>
      </c>
      <c r="AY243" s="412">
        <f>IFERROR((BA243*1000)/AX243,0*1)</f>
        <v>0</v>
      </c>
      <c r="AZ243" s="470">
        <f>DP!BF18</f>
        <v>0</v>
      </c>
      <c r="BA243" s="98">
        <f>$AW$238*AZ243</f>
        <v>0</v>
      </c>
      <c r="BB243" s="97"/>
      <c r="BC243" s="101">
        <f t="shared" ref="BC243:BC261" si="243">IF(AY243&gt;0,BE243/AY243,0*1)</f>
        <v>0</v>
      </c>
      <c r="BD243" s="122">
        <f t="shared" ref="BD243:BD261" si="244">IF(AY243&gt;0,BF243/AY243,0*1)</f>
        <v>0</v>
      </c>
      <c r="BE243" s="140">
        <f t="shared" ref="BE243:BE261" si="245">IF(AY243&gt;0,BF243+CJ243,0*1)</f>
        <v>0</v>
      </c>
      <c r="BF243" s="123">
        <f t="shared" ref="BF243:BF261" si="246">IF(AY243&gt;0,(BJ243+BM243+BP243+BV243+BY243+CB243+CE243+CG243),0*1)</f>
        <v>0</v>
      </c>
      <c r="BG243" s="100"/>
      <c r="BH243" s="102">
        <f>IFERROR((BA243*100%)/DP!$AQ$29,(0*1))</f>
        <v>0</v>
      </c>
      <c r="BI243" s="102">
        <f>IF(BH243&gt;0,(DP!$AQ$31),0*1)</f>
        <v>0</v>
      </c>
      <c r="BJ243" s="435">
        <f>BH243*BI243</f>
        <v>0</v>
      </c>
      <c r="BK243" s="475">
        <f>BA243*DP!$BA$44</f>
        <v>0</v>
      </c>
      <c r="BL243" s="475">
        <f>IF(BA243&gt;0,DP!$BB$44,0*1)</f>
        <v>0</v>
      </c>
      <c r="BM243" s="475">
        <f>BK243*BL243</f>
        <v>0</v>
      </c>
      <c r="BN243" s="102">
        <f>BA243*DP!$BA$45</f>
        <v>0</v>
      </c>
      <c r="BO243" s="102">
        <f>IF(BA243&gt;0,DP!$BB$45,0*1)</f>
        <v>0</v>
      </c>
      <c r="BP243" s="475">
        <f>BN243*BO243</f>
        <v>0</v>
      </c>
      <c r="BQ243" s="100"/>
      <c r="BR243" s="100"/>
      <c r="BS243" s="100"/>
      <c r="BT243" s="93">
        <f>IF(AW243=DP!$AN$15,AY243*(1+DP!$AQ$15),IF(AW243=DP!$AN$16,AY243*(1+DP!$AQ$16),IF(AW243=DP!$AN$17,AY243*(1+DP!$AQ$17),IF(AW243=DP!$AN$18,AY243*(1+DP!$AQ$18),0*1))))</f>
        <v>0</v>
      </c>
      <c r="BU243" s="102">
        <f>IF(AW243=DP!$AN$22,(DP!$AO$22),IF(AW243=DP!$AN$23,(DP!$AO$23),IF(AW243=DP!$AN$24,(DP!$AO$24),IF(AW243=DP!$AN$25,(DP!$AO$25),((0*1))))))</f>
        <v>0</v>
      </c>
      <c r="BV243" s="93">
        <f>BT243*BU243</f>
        <v>0</v>
      </c>
      <c r="BW243" s="93">
        <f>IF(AW243=DP!$AN$15,AY243*(1+DP!$AQ$15),IF(AW243=DP!$AN$16,AY243*(1+DP!$AQ$16),IF(AW243=DP!$AN$17,AY243*(1+DP!$AQ$17),IF(AW243=DP!$AN$18,AY243*(1+DP!$AQ$18),0*1))))</f>
        <v>0</v>
      </c>
      <c r="BX243" s="102">
        <f>IF(AW243=DP!$AN$22,(DP!$AP$22),IF(AW243=DP!$AN$23,(DP!$AP$23),IF(AW243=DP!$AN$24,(DP!$AP$24),IF(AW243=DP!$AN$25,(DP!$AP$25),((0*1))))))</f>
        <v>0</v>
      </c>
      <c r="BY243" s="93">
        <f>BW243*BX243</f>
        <v>0</v>
      </c>
      <c r="BZ243" s="93">
        <f>IF(AW243=DP!$AN$15,(AY243/DP!$AM$15)*(1+DP!$AQ$15),IF(AW243=DP!$AN$16,(AY243/DP!$AM$16)*(1+DP!$AQ$16),IF(AW243=DP!$AN$17,(AY243/DP!$AM$17)*(1+DP!$AQ$17),IF(AW243=DP!$AN$18,(AY243/DP!$AM$18)*(1+DP!$AQ$18),0*1))))</f>
        <v>0</v>
      </c>
      <c r="CA243" s="102">
        <f>IF(AW243=DP!$AN$22,(DP!$AQ$22),IF(AW243=DP!$AN$23,(DP!$AQ$23),IF(AW243=DP!$AN$24,(DP!$AQ$24),IF(AW243=DP!$AN$25,(DP!$AQ$25),((0*1))))))</f>
        <v>0</v>
      </c>
      <c r="CB243" s="93">
        <f>BZ243*CA243</f>
        <v>0</v>
      </c>
      <c r="CC243" s="93">
        <f>IF(AW243=DP!$AN$15,AY243*(1+DP!$AQ$15),IF(AW243=DP!$AN$16,AY243*(1+DP!$AQ$16),IF(AW243=DP!$AN$17,AY243*(1+DP!$AQ$17),IF(AW243=DP!$AN$18,AY243*(1+DP!$AQ$18),0*1))))</f>
        <v>0</v>
      </c>
      <c r="CD243" s="102">
        <f>IF(AW243=DP!$AN$22,(DP!$AR$22),IF(AW243=DP!$AN$23,(DP!$AR$23),IF(AW243=DP!$AN$24,(DP!$AR$24),IF(AW243=DP!$AN$25,(DP!$AR$25),((0*1))))))</f>
        <v>0</v>
      </c>
      <c r="CE243" s="93">
        <f>CC243*CD243</f>
        <v>0</v>
      </c>
      <c r="CF243" s="100"/>
      <c r="CG243" s="149">
        <f t="shared" ref="CG243:CG261" si="247">IF(AY243&gt;0,CG$263/BA$262*BA243,0*1)</f>
        <v>0</v>
      </c>
      <c r="CH243" s="149">
        <f>DP!$N$35*BA243</f>
        <v>0</v>
      </c>
      <c r="CI243" s="149">
        <f>DP!$O$35*BA243</f>
        <v>0</v>
      </c>
      <c r="CJ243" s="149">
        <f>DP!$P$35*BA243</f>
        <v>0</v>
      </c>
    </row>
    <row r="244" spans="2:88" x14ac:dyDescent="0.35">
      <c r="B244" s="480">
        <f>DP!S19</f>
        <v>0</v>
      </c>
      <c r="C244" s="480" t="str">
        <f>DP!T19</f>
        <v>PALMITO RODAJA 800</v>
      </c>
      <c r="D244" s="480">
        <f>DP!U19</f>
        <v>800</v>
      </c>
      <c r="E244" s="480">
        <f>DP!V19</f>
        <v>500</v>
      </c>
      <c r="F244" s="412">
        <f t="shared" ref="F244:F261" si="248">IFERROR((H244*1000)/E244,0*1)</f>
        <v>0</v>
      </c>
      <c r="G244" s="470">
        <f>DP!AD19</f>
        <v>0</v>
      </c>
      <c r="H244" s="98">
        <f t="shared" ref="H244:H261" si="249">$D$238*G244</f>
        <v>0</v>
      </c>
      <c r="I244" s="97"/>
      <c r="J244" s="102">
        <f t="shared" si="238"/>
        <v>0</v>
      </c>
      <c r="K244" s="98">
        <f t="shared" si="239"/>
        <v>0</v>
      </c>
      <c r="L244" s="93">
        <f t="shared" si="240"/>
        <v>0</v>
      </c>
      <c r="M244" s="99">
        <f t="shared" si="241"/>
        <v>0</v>
      </c>
      <c r="N244" s="100"/>
      <c r="O244" s="102">
        <f>($E244/DP!$O$29)*F244</f>
        <v>0</v>
      </c>
      <c r="P244" s="102">
        <f>IF(O244&gt;0,(DP!$O$31),0*1)</f>
        <v>0</v>
      </c>
      <c r="Q244" s="102">
        <f t="shared" ref="Q244:Q261" si="250">O244*P244</f>
        <v>0</v>
      </c>
      <c r="R244" s="102">
        <f t="shared" ref="R244:R261" si="251">IF(O244&gt;0,S244/O244,0*1)</f>
        <v>0</v>
      </c>
      <c r="S244" s="418">
        <f t="shared" ref="S244:S261" si="252">IFERROR(IF(B244=1,(S$265+70%*S$266)/(SUMIF($B$243:$B$261,1,$H$243:$H$261))*H244,(30%*S$266)/(SUMIF($B$243:$B$261,0,$H$243:$H$261))*H244),0*1)</f>
        <v>0</v>
      </c>
      <c r="T244" s="475">
        <f>H244*DP!$Y$44</f>
        <v>0</v>
      </c>
      <c r="U244" s="475">
        <f>IF(H244&gt;0,DP!$Z$44,0*1)</f>
        <v>0</v>
      </c>
      <c r="V244" s="475">
        <f t="shared" ref="V244:V261" si="253">T244*U244</f>
        <v>0</v>
      </c>
      <c r="W244" s="475">
        <f>H244*DP!$Y$45</f>
        <v>0</v>
      </c>
      <c r="X244" s="475">
        <f>IF(H244&gt;0,DP!$Z$45,0*1)</f>
        <v>0</v>
      </c>
      <c r="Y244" s="475">
        <f t="shared" ref="Y244:Y261" si="254">W244*X244</f>
        <v>0</v>
      </c>
      <c r="Z244" s="100"/>
      <c r="AA244" s="93">
        <f>IF(D244=DP!$L$15,F244*(1+DP!$O$15),IF(D244=DP!$L$16,F244*(1+DP!$O$16),IF(D244=DP!$L$17,F244*(1+DP!$O$17),IF(D244=DP!$L$18,F244*(1+DP!$O$18),0*1))))</f>
        <v>0</v>
      </c>
      <c r="AB244" s="102">
        <f>IF(D244=DP!$L$22,(DP!$M$22),IF(D244=DP!$L$23,(DP!$M$23),IF(D244=DP!$L$24,(DP!$M$24),IF(D244=DP!$L$25,(DP!$M$25),((0*1))))))</f>
        <v>0</v>
      </c>
      <c r="AC244" s="93">
        <f t="shared" ref="AC244:AC261" si="255">AA244*AB244</f>
        <v>0</v>
      </c>
      <c r="AD244" s="93">
        <f>IF(D244=DP!$L$15,F244*(1+DP!$O$15),IF(D244=DP!$L$16,F244*(1+DP!$O$16),IF(D244=DP!$L$17,F244*(1+DP!$O$17),IF(D244=DP!$L$18,F244*(1+DP!$O$18),0*1))))</f>
        <v>0</v>
      </c>
      <c r="AE244" s="102">
        <f>IF(D244=DP!$L$22,(DP!$N$22),IF(D244=DP!$L$23,(DP!$N$23),IF(D244=DP!$L$24,(DP!$N$24),IF(D244=DP!$L$25,(DP!$N$25),((0*1))))))</f>
        <v>0</v>
      </c>
      <c r="AF244" s="93">
        <f t="shared" ref="AF244:AF261" si="256">AD244*AE244</f>
        <v>0</v>
      </c>
      <c r="AG244" s="93">
        <f>IF(D244=DP!$L$15,(F244/DP!$K$15)*(1+DP!$O$15),IF(D244=DP!$L$16,(F244/DP!$K$16)*(1+DP!$O$16),IF(D244=DP!$L$17,(F244/DP!$K$17)*(1+DP!$O$17),IF(D244=DP!$L$18,(F244/DP!$K$18)*(1+DP!$O$18),0*1))))</f>
        <v>0</v>
      </c>
      <c r="AH244" s="102">
        <f>IF(D244=DP!$L$22,(DP!$O$22),IF(D244=DP!$L$23,(DP!$O$23),IF(D244=DP!$L$24,(DP!$O$24),IF(D244=DP!$L$25,(DP!$O$25),((0*1))))))</f>
        <v>0</v>
      </c>
      <c r="AI244" s="93">
        <f t="shared" ref="AI244:AI261" si="257">AG244*AH244</f>
        <v>0</v>
      </c>
      <c r="AJ244" s="93">
        <f>IF(D244=DP!$L$15,F244*(1+DP!$O$15),IF(D244=DP!$L$16,F244*(1+DP!$O$16),IF(D244=DP!$L$17,F244*(1+DP!$O$17),IF(D244=DP!$L$18,F244*(1+DP!$O$18),0*1))))</f>
        <v>0</v>
      </c>
      <c r="AK244" s="102">
        <f>IF(D244=DP!$L$22,(DP!$P$22),IF(D244=DP!$L$23,(DP!$P$23),IF(D244=DP!$L$24,(DP!$P$24),IF(D244=DP!$L$25,(DP!$P$25),((0*1))))))</f>
        <v>0</v>
      </c>
      <c r="AL244" s="93">
        <f t="shared" ref="AL244:AL261" si="258">AJ244*AK244</f>
        <v>0</v>
      </c>
      <c r="AM244" s="100"/>
      <c r="AN244" s="149">
        <f t="shared" si="242"/>
        <v>0</v>
      </c>
      <c r="AO244" s="149">
        <f>DP!$N$35*H244</f>
        <v>0</v>
      </c>
      <c r="AP244" s="149">
        <f>DP!$O$35*H244</f>
        <v>0</v>
      </c>
      <c r="AQ244" s="149">
        <f>DP!$P$35*H244</f>
        <v>0</v>
      </c>
      <c r="AV244" s="489" t="str">
        <f>DP!AV19</f>
        <v>PIÑA TROZO 850</v>
      </c>
      <c r="AW244" s="489">
        <f>DP!AW19</f>
        <v>850</v>
      </c>
      <c r="AX244" s="489">
        <f>DP!AX19</f>
        <v>440</v>
      </c>
      <c r="AY244" s="412">
        <f t="shared" ref="AY244:AY261" si="259">IFERROR((BA244*1000)/AX244,0*1)</f>
        <v>0</v>
      </c>
      <c r="AZ244" s="470">
        <f>DP!BF19</f>
        <v>0</v>
      </c>
      <c r="BA244" s="98">
        <f t="shared" ref="BA244:BA261" si="260">$AW$238*AZ244</f>
        <v>0</v>
      </c>
      <c r="BB244" s="97"/>
      <c r="BC244" s="102">
        <f t="shared" si="243"/>
        <v>0</v>
      </c>
      <c r="BD244" s="98">
        <f t="shared" si="244"/>
        <v>0</v>
      </c>
      <c r="BE244" s="93">
        <f t="shared" si="245"/>
        <v>0</v>
      </c>
      <c r="BF244" s="99">
        <f t="shared" si="246"/>
        <v>0</v>
      </c>
      <c r="BG244" s="100"/>
      <c r="BH244" s="102">
        <f>IFERROR((BA244*100%)/DP!$AQ$29,(0*1))</f>
        <v>0</v>
      </c>
      <c r="BI244" s="102">
        <f>IF(BH244&gt;0,(DP!$AQ$31),0*1)</f>
        <v>0</v>
      </c>
      <c r="BJ244" s="435">
        <f t="shared" ref="BJ244:BJ258" si="261">BH244*BI244</f>
        <v>0</v>
      </c>
      <c r="BK244" s="475">
        <f>BA244*DP!$BA$44</f>
        <v>0</v>
      </c>
      <c r="BL244" s="475">
        <f>IF(BA244&gt;0,DP!$BB$44,0*1)</f>
        <v>0</v>
      </c>
      <c r="BM244" s="475">
        <f t="shared" ref="BM244:BM261" si="262">BK244*BL244</f>
        <v>0</v>
      </c>
      <c r="BN244" s="102">
        <f>BA244*DP!$BA$45</f>
        <v>0</v>
      </c>
      <c r="BO244" s="102">
        <f>IF(BA244&gt;0,DP!$BB$45,0*1)</f>
        <v>0</v>
      </c>
      <c r="BP244" s="475">
        <f t="shared" ref="BP244:BP261" si="263">BN244*BO244</f>
        <v>0</v>
      </c>
      <c r="BQ244" s="100"/>
      <c r="BR244" s="100"/>
      <c r="BS244" s="100"/>
      <c r="BT244" s="93">
        <f>IF(AW244=DP!$AN$15,AY244*(1+DP!$AQ$15),IF(AW244=DP!$AN$16,AY244*(1+DP!$AQ$16),IF(AW244=DP!$AN$17,AY244*(1+DP!$AQ$17),IF(AW244=DP!$AN$18,AY244*(1+DP!$AQ$18),0*1))))</f>
        <v>0</v>
      </c>
      <c r="BU244" s="102">
        <f>IF(AW244=DP!$AN$22,(DP!$AO$22),IF(AW244=DP!$AN$23,(DP!$AO$23),IF(AW244=DP!$AN$24,(DP!$AO$24),IF(AW244=DP!$AN$25,(DP!$AO$25),((0*1))))))</f>
        <v>0</v>
      </c>
      <c r="BV244" s="93">
        <f t="shared" ref="BV244:BV261" si="264">BT244*BU244</f>
        <v>0</v>
      </c>
      <c r="BW244" s="93">
        <f>IF(AW244=DP!$AN$15,AY244*(1+DP!$AQ$15),IF(AW244=DP!$AN$16,AY244*(1+DP!$AQ$16),IF(AW244=DP!$AN$17,AY244*(1+DP!$AQ$17),IF(AW244=DP!$AN$18,AY244*(1+DP!$AQ$18),0*1))))</f>
        <v>0</v>
      </c>
      <c r="BX244" s="102">
        <f>IF(AW244=DP!$AN$22,(DP!$AP$22),IF(AW244=DP!$AN$23,(DP!$AP$23),IF(AW244=DP!$AN$24,(DP!$AP$24),IF(AW244=DP!$AN$25,(DP!$AP$25),((0*1))))))</f>
        <v>0</v>
      </c>
      <c r="BY244" s="93">
        <f t="shared" ref="BY244:BY261" si="265">BW244*BX244</f>
        <v>0</v>
      </c>
      <c r="BZ244" s="93">
        <f>IF(AW244=DP!$AN$15,(AY244/DP!$AM$15)*(1+DP!$AQ$15),IF(AW244=DP!$AN$16,(AY244/DP!$AM$16)*(1+DP!$AQ$16),IF(AW244=DP!$AN$17,(AY244/DP!$AM$17)*(1+DP!$AQ$17),IF(AW244=DP!$AN$18,(AY244/DP!$AM$18)*(1+DP!$AQ$18),0*1))))</f>
        <v>0</v>
      </c>
      <c r="CA244" s="102">
        <f>IF(AW244=DP!$AN$22,(DP!$AQ$22),IF(AW244=DP!$AN$23,(DP!$AQ$23),IF(AW244=DP!$AN$24,(DP!$AQ$24),IF(AW244=DP!$AN$25,(DP!$AQ$25),((0*1))))))</f>
        <v>0</v>
      </c>
      <c r="CB244" s="93">
        <f t="shared" ref="CB244:CB261" si="266">BZ244*CA244</f>
        <v>0</v>
      </c>
      <c r="CC244" s="93">
        <f>IF(AW244=DP!$AN$15,AY244*(1+DP!$AQ$15),IF(AW244=DP!$AN$16,AY244*(1+DP!$AQ$16),IF(AW244=DP!$AN$17,AY244*(1+DP!$AQ$17),IF(AW244=DP!$AN$18,AY244*(1+DP!$AQ$18),0*1))))</f>
        <v>0</v>
      </c>
      <c r="CD244" s="102">
        <f>IF(AW244=DP!$AN$22,(DP!$AR$22),IF(AW244=DP!$AN$23,(DP!$AR$23),IF(AW244=DP!$AN$24,(DP!$AR$24),IF(AW244=DP!$AN$25,(DP!$AR$25),((0*1))))))</f>
        <v>0</v>
      </c>
      <c r="CE244" s="93">
        <f t="shared" ref="CE244:CE261" si="267">CC244*CD244</f>
        <v>0</v>
      </c>
      <c r="CF244" s="100"/>
      <c r="CG244" s="149">
        <f t="shared" si="247"/>
        <v>0</v>
      </c>
      <c r="CH244" s="149">
        <f>DP!$N$35*BA244</f>
        <v>0</v>
      </c>
      <c r="CI244" s="149">
        <f>DP!$O$35*BA244</f>
        <v>0</v>
      </c>
      <c r="CJ244" s="149">
        <f>DP!$P$35*BA244</f>
        <v>0</v>
      </c>
    </row>
    <row r="245" spans="2:88" x14ac:dyDescent="0.35">
      <c r="B245" s="480">
        <f>DP!S20</f>
        <v>0</v>
      </c>
      <c r="C245" s="480" t="str">
        <f>DP!T20</f>
        <v>PALMITO TROZO 800</v>
      </c>
      <c r="D245" s="480">
        <f>DP!U20</f>
        <v>800</v>
      </c>
      <c r="E245" s="480">
        <f>DP!V20</f>
        <v>500</v>
      </c>
      <c r="F245" s="412">
        <f t="shared" si="248"/>
        <v>0</v>
      </c>
      <c r="G245" s="470">
        <f>DP!AD20</f>
        <v>0</v>
      </c>
      <c r="H245" s="98">
        <f t="shared" si="249"/>
        <v>0</v>
      </c>
      <c r="I245" s="97"/>
      <c r="J245" s="102">
        <f t="shared" si="238"/>
        <v>0</v>
      </c>
      <c r="K245" s="98">
        <f t="shared" si="239"/>
        <v>0</v>
      </c>
      <c r="L245" s="93">
        <f t="shared" si="240"/>
        <v>0</v>
      </c>
      <c r="M245" s="99">
        <f t="shared" si="241"/>
        <v>0</v>
      </c>
      <c r="N245" s="100"/>
      <c r="O245" s="102">
        <f>($E245/DP!$O$29)*F245</f>
        <v>0</v>
      </c>
      <c r="P245" s="102">
        <f>IF(O245&gt;0,(DP!$O$31),0*1)</f>
        <v>0</v>
      </c>
      <c r="Q245" s="102">
        <f t="shared" si="250"/>
        <v>0</v>
      </c>
      <c r="R245" s="102">
        <f t="shared" si="251"/>
        <v>0</v>
      </c>
      <c r="S245" s="418">
        <f t="shared" si="252"/>
        <v>0</v>
      </c>
      <c r="T245" s="475">
        <f>H245*DP!$Y$44</f>
        <v>0</v>
      </c>
      <c r="U245" s="475">
        <f>IF(H245&gt;0,DP!$Z$44,0*1)</f>
        <v>0</v>
      </c>
      <c r="V245" s="475">
        <f t="shared" si="253"/>
        <v>0</v>
      </c>
      <c r="W245" s="475">
        <f>H245*DP!$Y$45</f>
        <v>0</v>
      </c>
      <c r="X245" s="475">
        <f>IF(H245&gt;0,DP!$Z$45,0*1)</f>
        <v>0</v>
      </c>
      <c r="Y245" s="475">
        <f t="shared" si="254"/>
        <v>0</v>
      </c>
      <c r="Z245" s="100"/>
      <c r="AA245" s="93">
        <f>IF(D245=DP!$L$15,F245*(1+DP!$O$15),IF(D245=DP!$L$16,F245*(1+DP!$O$16),IF(D245=DP!$L$17,F245*(1+DP!$O$17),IF(D245=DP!$L$18,F245*(1+DP!$O$18),0*1))))</f>
        <v>0</v>
      </c>
      <c r="AB245" s="102">
        <f>IF(D245=DP!$L$22,(DP!$M$22),IF(D245=DP!$L$23,(DP!$M$23),IF(D245=DP!$L$24,(DP!$M$24),IF(D245=DP!$L$25,(DP!$M$25),((0*1))))))</f>
        <v>0</v>
      </c>
      <c r="AC245" s="93">
        <f t="shared" si="255"/>
        <v>0</v>
      </c>
      <c r="AD245" s="93">
        <f>IF(D245=DP!$L$15,F245*(1+DP!$O$15),IF(D245=DP!$L$16,F245*(1+DP!$O$16),IF(D245=DP!$L$17,F245*(1+DP!$O$17),IF(D245=DP!$L$18,F245*(1+DP!$O$18),0*1))))</f>
        <v>0</v>
      </c>
      <c r="AE245" s="102">
        <f>IF(D245=DP!$L$22,(DP!$N$22),IF(D245=DP!$L$23,(DP!$N$23),IF(D245=DP!$L$24,(DP!$N$24),IF(D245=DP!$L$25,(DP!$N$25),((0*1))))))</f>
        <v>0</v>
      </c>
      <c r="AF245" s="93">
        <f t="shared" si="256"/>
        <v>0</v>
      </c>
      <c r="AG245" s="93">
        <f>IF(D245=DP!$L$15,(F245/DP!$K$15)*(1+DP!$O$15),IF(D245=DP!$L$16,(F245/DP!$K$16)*(1+DP!$O$16),IF(D245=DP!$L$17,(F245/DP!$K$17)*(1+DP!$O$17),IF(D245=DP!$L$18,(F245/DP!$K$18)*(1+DP!$O$18),0*1))))</f>
        <v>0</v>
      </c>
      <c r="AH245" s="102">
        <f>IF(D245=DP!$L$22,(DP!$O$22),IF(D245=DP!$L$23,(DP!$O$23),IF(D245=DP!$L$24,(DP!$O$24),IF(D245=DP!$L$25,(DP!$O$25),((0*1))))))</f>
        <v>0</v>
      </c>
      <c r="AI245" s="93">
        <f t="shared" si="257"/>
        <v>0</v>
      </c>
      <c r="AJ245" s="93">
        <f>IF(D245=DP!$L$15,F245*(1+DP!$O$15),IF(D245=DP!$L$16,F245*(1+DP!$O$16),IF(D245=DP!$L$17,F245*(1+DP!$O$17),IF(D245=DP!$L$18,F245*(1+DP!$O$18),0*1))))</f>
        <v>0</v>
      </c>
      <c r="AK245" s="102">
        <f>IF(D245=DP!$L$22,(DP!$P$22),IF(D245=DP!$L$23,(DP!$P$23),IF(D245=DP!$L$24,(DP!$P$24),IF(D245=DP!$L$25,(DP!$P$25),((0*1))))))</f>
        <v>0</v>
      </c>
      <c r="AL245" s="93">
        <f t="shared" si="258"/>
        <v>0</v>
      </c>
      <c r="AM245" s="100"/>
      <c r="AN245" s="149">
        <f t="shared" si="242"/>
        <v>0</v>
      </c>
      <c r="AO245" s="149">
        <f>DP!$N$35*H245</f>
        <v>0</v>
      </c>
      <c r="AP245" s="149">
        <f>DP!$O$35*H245</f>
        <v>0</v>
      </c>
      <c r="AQ245" s="149">
        <f>DP!$P$35*H245</f>
        <v>0</v>
      </c>
      <c r="AV245" s="489" t="str">
        <f>DP!AV20</f>
        <v>PIÑA TROZO A-10</v>
      </c>
      <c r="AW245" s="489">
        <f>DP!AW20</f>
        <v>2920</v>
      </c>
      <c r="AX245" s="489">
        <f>DP!AX20</f>
        <v>1825</v>
      </c>
      <c r="AY245" s="412">
        <f t="shared" si="259"/>
        <v>0</v>
      </c>
      <c r="AZ245" s="470">
        <f>DP!BF20</f>
        <v>0</v>
      </c>
      <c r="BA245" s="98">
        <f t="shared" si="260"/>
        <v>0</v>
      </c>
      <c r="BB245" s="97"/>
      <c r="BC245" s="102">
        <f t="shared" si="243"/>
        <v>0</v>
      </c>
      <c r="BD245" s="98">
        <f t="shared" si="244"/>
        <v>0</v>
      </c>
      <c r="BE245" s="93">
        <f t="shared" si="245"/>
        <v>0</v>
      </c>
      <c r="BF245" s="99">
        <f t="shared" si="246"/>
        <v>0</v>
      </c>
      <c r="BG245" s="100"/>
      <c r="BH245" s="102">
        <f>IFERROR((BA245*100%)/DP!$AQ$29,(0*1))</f>
        <v>0</v>
      </c>
      <c r="BI245" s="102">
        <f>IF(BH245&gt;0,(DP!$AQ$31),0*1)</f>
        <v>0</v>
      </c>
      <c r="BJ245" s="435">
        <f t="shared" si="261"/>
        <v>0</v>
      </c>
      <c r="BK245" s="475">
        <f>BA245*DP!$BA$44</f>
        <v>0</v>
      </c>
      <c r="BL245" s="475">
        <f>IF(BA245&gt;0,DP!$BB$44,0*1)</f>
        <v>0</v>
      </c>
      <c r="BM245" s="475">
        <f t="shared" si="262"/>
        <v>0</v>
      </c>
      <c r="BN245" s="102">
        <f>BA245*DP!$BA$45</f>
        <v>0</v>
      </c>
      <c r="BO245" s="102">
        <f>IF(BA245&gt;0,DP!$BB$45,0*1)</f>
        <v>0</v>
      </c>
      <c r="BP245" s="475">
        <f t="shared" si="263"/>
        <v>0</v>
      </c>
      <c r="BQ245" s="100"/>
      <c r="BR245" s="100"/>
      <c r="BS245" s="100"/>
      <c r="BT245" s="93">
        <f>IF(AW245=DP!$AN$15,AY245*(1+DP!$AQ$15),IF(AW245=DP!$AN$16,AY245*(1+DP!$AQ$16),IF(AW245=DP!$AN$17,AY245*(1+DP!$AQ$17),IF(AW245=DP!$AN$18,AY245*(1+DP!$AQ$18),0*1))))</f>
        <v>0</v>
      </c>
      <c r="BU245" s="102">
        <f>IF(AW245=DP!$AN$22,(DP!$AO$22),IF(AW245=DP!$AN$23,(DP!$AO$23),IF(AW245=DP!$AN$24,(DP!$AO$24),IF(AW245=DP!$AN$25,(DP!$AO$25),((0*1))))))</f>
        <v>0</v>
      </c>
      <c r="BV245" s="93">
        <f t="shared" si="264"/>
        <v>0</v>
      </c>
      <c r="BW245" s="93">
        <f>IF(AW245=DP!$AN$15,AY245*(1+DP!$AQ$15),IF(AW245=DP!$AN$16,AY245*(1+DP!$AQ$16),IF(AW245=DP!$AN$17,AY245*(1+DP!$AQ$17),IF(AW245=DP!$AN$18,AY245*(1+DP!$AQ$18),0*1))))</f>
        <v>0</v>
      </c>
      <c r="BX245" s="102">
        <f>IF(AW245=DP!$AN$22,(DP!$AP$22),IF(AW245=DP!$AN$23,(DP!$AP$23),IF(AW245=DP!$AN$24,(DP!$AP$24),IF(AW245=DP!$AN$25,(DP!$AP$25),((0*1))))))</f>
        <v>0</v>
      </c>
      <c r="BY245" s="93">
        <f t="shared" si="265"/>
        <v>0</v>
      </c>
      <c r="BZ245" s="93">
        <f>IF(AW245=DP!$AN$15,(AY245/DP!$AM$15)*(1+DP!$AQ$15),IF(AW245=DP!$AN$16,(AY245/DP!$AM$16)*(1+DP!$AQ$16),IF(AW245=DP!$AN$17,(AY245/DP!$AM$17)*(1+DP!$AQ$17),IF(AW245=DP!$AN$18,(AY245/DP!$AM$18)*(1+DP!$AQ$18),0*1))))</f>
        <v>0</v>
      </c>
      <c r="CA245" s="102">
        <f>IF(AW245=DP!$AN$22,(DP!$AQ$22),IF(AW245=DP!$AN$23,(DP!$AQ$23),IF(AW245=DP!$AN$24,(DP!$AQ$24),IF(AW245=DP!$AN$25,(DP!$AQ$25),((0*1))))))</f>
        <v>0</v>
      </c>
      <c r="CB245" s="93">
        <f t="shared" si="266"/>
        <v>0</v>
      </c>
      <c r="CC245" s="93">
        <f>IF(AW245=DP!$AN$15,AY245*(1+DP!$AQ$15),IF(AW245=DP!$AN$16,AY245*(1+DP!$AQ$16),IF(AW245=DP!$AN$17,AY245*(1+DP!$AQ$17),IF(AW245=DP!$AN$18,AY245*(1+DP!$AQ$18),0*1))))</f>
        <v>0</v>
      </c>
      <c r="CD245" s="102">
        <f>IF(AW245=DP!$AN$22,(DP!$AR$22),IF(AW245=DP!$AN$23,(DP!$AR$23),IF(AW245=DP!$AN$24,(DP!$AR$24),IF(AW245=DP!$AN$25,(DP!$AR$25),((0*1))))))</f>
        <v>0</v>
      </c>
      <c r="CE245" s="93">
        <f t="shared" si="267"/>
        <v>0</v>
      </c>
      <c r="CF245" s="100"/>
      <c r="CG245" s="149">
        <f t="shared" si="247"/>
        <v>0</v>
      </c>
      <c r="CH245" s="149">
        <f>DP!$N$35*BA245</f>
        <v>0</v>
      </c>
      <c r="CI245" s="149">
        <f>DP!$O$35*BA245</f>
        <v>0</v>
      </c>
      <c r="CJ245" s="149">
        <f>DP!$P$35*BA245</f>
        <v>0</v>
      </c>
    </row>
    <row r="246" spans="2:88" x14ac:dyDescent="0.35">
      <c r="B246" s="480">
        <f>DP!S21</f>
        <v>1</v>
      </c>
      <c r="C246" s="480" t="str">
        <f>DP!T21</f>
        <v>PALMITO ENTERO 400</v>
      </c>
      <c r="D246" s="480">
        <f>DP!U21</f>
        <v>400</v>
      </c>
      <c r="E246" s="480">
        <f>DP!V21</f>
        <v>220</v>
      </c>
      <c r="F246" s="412">
        <f t="shared" si="248"/>
        <v>0</v>
      </c>
      <c r="G246" s="470">
        <f>DP!AD21</f>
        <v>0</v>
      </c>
      <c r="H246" s="98">
        <f t="shared" si="249"/>
        <v>0</v>
      </c>
      <c r="I246" s="97"/>
      <c r="J246" s="102">
        <f t="shared" si="238"/>
        <v>0</v>
      </c>
      <c r="K246" s="98">
        <f t="shared" si="239"/>
        <v>0</v>
      </c>
      <c r="L246" s="93">
        <f t="shared" si="240"/>
        <v>0</v>
      </c>
      <c r="M246" s="99">
        <f t="shared" si="241"/>
        <v>0</v>
      </c>
      <c r="N246" s="100"/>
      <c r="O246" s="102">
        <f>($E246/DP!$O$29)*F246</f>
        <v>0</v>
      </c>
      <c r="P246" s="102">
        <f>IF(O246&gt;0,(DP!$O$31),0*1)</f>
        <v>0</v>
      </c>
      <c r="Q246" s="102">
        <f t="shared" si="250"/>
        <v>0</v>
      </c>
      <c r="R246" s="102">
        <f t="shared" si="251"/>
        <v>0</v>
      </c>
      <c r="S246" s="418">
        <f t="shared" si="252"/>
        <v>0</v>
      </c>
      <c r="T246" s="475">
        <f>H246*DP!$Y$44</f>
        <v>0</v>
      </c>
      <c r="U246" s="475">
        <f>IF(H246&gt;0,DP!$Z$44,0*1)</f>
        <v>0</v>
      </c>
      <c r="V246" s="475">
        <f t="shared" si="253"/>
        <v>0</v>
      </c>
      <c r="W246" s="475">
        <f>H246*DP!$Y$45</f>
        <v>0</v>
      </c>
      <c r="X246" s="475">
        <f>IF(H246&gt;0,DP!$Z$45,0*1)</f>
        <v>0</v>
      </c>
      <c r="Y246" s="475">
        <f t="shared" si="254"/>
        <v>0</v>
      </c>
      <c r="Z246" s="100"/>
      <c r="AA246" s="93">
        <f>IF(D246=DP!$L$15,F246*(1+DP!$O$15),IF(D246=DP!$L$16,F246*(1+DP!$O$16),IF(D246=DP!$L$17,F246*(1+DP!$O$17),IF(D246=DP!$L$18,F246*(1+DP!$O$18),0*1))))</f>
        <v>0</v>
      </c>
      <c r="AB246" s="102">
        <f>IF(D246=DP!$L$22,(DP!$M$22),IF(D246=DP!$L$23,(DP!$M$23),IF(D246=DP!$L$24,(DP!$M$24),IF(D246=DP!$L$25,(DP!$M$25),((0*1))))))</f>
        <v>0</v>
      </c>
      <c r="AC246" s="93">
        <f t="shared" si="255"/>
        <v>0</v>
      </c>
      <c r="AD246" s="93">
        <f>IF(D246=DP!$L$15,F246*(1+DP!$O$15),IF(D246=DP!$L$16,F246*(1+DP!$O$16),IF(D246=DP!$L$17,F246*(1+DP!$O$17),IF(D246=DP!$L$18,F246*(1+DP!$O$18),0*1))))</f>
        <v>0</v>
      </c>
      <c r="AE246" s="102">
        <f>IF(D246=DP!$L$22,(DP!$N$22),IF(D246=DP!$L$23,(DP!$N$23),IF(D246=DP!$L$24,(DP!$N$24),IF(D246=DP!$L$25,(DP!$N$25),((0*1))))))</f>
        <v>0</v>
      </c>
      <c r="AF246" s="93">
        <f t="shared" si="256"/>
        <v>0</v>
      </c>
      <c r="AG246" s="93">
        <f>IF(D246=DP!$L$15,(F246/DP!$K$15)*(1+DP!$O$15),IF(D246=DP!$L$16,(F246/DP!$K$16)*(1+DP!$O$16),IF(D246=DP!$L$17,(F246/DP!$K$17)*(1+DP!$O$17),IF(D246=DP!$L$18,(F246/DP!$K$18)*(1+DP!$O$18),0*1))))</f>
        <v>0</v>
      </c>
      <c r="AH246" s="102">
        <f>IF(D246=DP!$L$22,(DP!$O$22),IF(D246=DP!$L$23,(DP!$O$23),IF(D246=DP!$L$24,(DP!$O$24),IF(D246=DP!$L$25,(DP!$O$25),((0*1))))))</f>
        <v>0</v>
      </c>
      <c r="AI246" s="93">
        <f t="shared" si="257"/>
        <v>0</v>
      </c>
      <c r="AJ246" s="93">
        <f>IF(D246=DP!$L$15,F246*(1+DP!$O$15),IF(D246=DP!$L$16,F246*(1+DP!$O$16),IF(D246=DP!$L$17,F246*(1+DP!$O$17),IF(D246=DP!$L$18,F246*(1+DP!$O$18),0*1))))</f>
        <v>0</v>
      </c>
      <c r="AK246" s="102">
        <f>IF(D246=DP!$L$22,(DP!$P$22),IF(D246=DP!$L$23,(DP!$P$23),IF(D246=DP!$L$24,(DP!$P$24),IF(D246=DP!$L$25,(DP!$P$25),((0*1))))))</f>
        <v>0</v>
      </c>
      <c r="AL246" s="93">
        <f t="shared" si="258"/>
        <v>0</v>
      </c>
      <c r="AM246" s="100"/>
      <c r="AN246" s="149">
        <f t="shared" si="242"/>
        <v>0</v>
      </c>
      <c r="AO246" s="149">
        <f>DP!$N$35*H246</f>
        <v>0</v>
      </c>
      <c r="AP246" s="149">
        <f>DP!$O$35*H246</f>
        <v>0</v>
      </c>
      <c r="AQ246" s="149">
        <f>DP!$P$35*H246</f>
        <v>0</v>
      </c>
      <c r="AV246" s="489" t="str">
        <f>DP!AV21</f>
        <v>PIÑA RODAJA A-10</v>
      </c>
      <c r="AW246" s="489">
        <f>DP!AW21</f>
        <v>2920</v>
      </c>
      <c r="AX246" s="489">
        <f>DP!AX21</f>
        <v>1825</v>
      </c>
      <c r="AY246" s="412">
        <f t="shared" si="259"/>
        <v>0</v>
      </c>
      <c r="AZ246" s="470">
        <f>DP!BF21</f>
        <v>0</v>
      </c>
      <c r="BA246" s="98">
        <f t="shared" si="260"/>
        <v>0</v>
      </c>
      <c r="BB246" s="97"/>
      <c r="BC246" s="102">
        <f t="shared" si="243"/>
        <v>0</v>
      </c>
      <c r="BD246" s="98">
        <f t="shared" si="244"/>
        <v>0</v>
      </c>
      <c r="BE246" s="93">
        <f t="shared" si="245"/>
        <v>0</v>
      </c>
      <c r="BF246" s="99">
        <f t="shared" si="246"/>
        <v>0</v>
      </c>
      <c r="BG246" s="100"/>
      <c r="BH246" s="102">
        <f>IFERROR((BA246*100%)/DP!$AQ$29,(0*1))</f>
        <v>0</v>
      </c>
      <c r="BI246" s="102">
        <f>IF(BH246&gt;0,(DP!$AQ$31),0*1)</f>
        <v>0</v>
      </c>
      <c r="BJ246" s="435">
        <f t="shared" si="261"/>
        <v>0</v>
      </c>
      <c r="BK246" s="475">
        <f>BA246*DP!$BA$44</f>
        <v>0</v>
      </c>
      <c r="BL246" s="475">
        <f>IF(BA246&gt;0,DP!$BB$44,0*1)</f>
        <v>0</v>
      </c>
      <c r="BM246" s="475">
        <f t="shared" si="262"/>
        <v>0</v>
      </c>
      <c r="BN246" s="102">
        <f>BA246*DP!$BA$45</f>
        <v>0</v>
      </c>
      <c r="BO246" s="102">
        <f>IF(BA246&gt;0,DP!$BB$45,0*1)</f>
        <v>0</v>
      </c>
      <c r="BP246" s="475">
        <f t="shared" si="263"/>
        <v>0</v>
      </c>
      <c r="BQ246" s="100"/>
      <c r="BR246" s="100"/>
      <c r="BS246" s="100"/>
      <c r="BT246" s="93">
        <f>IF(AW246=DP!$AN$15,AY246*(1+DP!$AQ$15),IF(AW246=DP!$AN$16,AY246*(1+DP!$AQ$16),IF(AW246=DP!$AN$17,AY246*(1+DP!$AQ$17),IF(AW246=DP!$AN$18,AY246*(1+DP!$AQ$18),0*1))))</f>
        <v>0</v>
      </c>
      <c r="BU246" s="102">
        <f>IF(AW246=DP!$AN$22,(DP!$AO$22),IF(AW246=DP!$AN$23,(DP!$AO$23),IF(AW246=DP!$AN$24,(DP!$AO$24),IF(AW246=DP!$AN$25,(DP!$AO$25),((0*1))))))</f>
        <v>0</v>
      </c>
      <c r="BV246" s="93">
        <f t="shared" si="264"/>
        <v>0</v>
      </c>
      <c r="BW246" s="93">
        <f>IF(AW246=DP!$AN$15,AY246*(1+DP!$AQ$15),IF(AW246=DP!$AN$16,AY246*(1+DP!$AQ$16),IF(AW246=DP!$AN$17,AY246*(1+DP!$AQ$17),IF(AW246=DP!$AN$18,AY246*(1+DP!$AQ$18),0*1))))</f>
        <v>0</v>
      </c>
      <c r="BX246" s="102">
        <f>IF(AW246=DP!$AN$22,(DP!$AP$22),IF(AW246=DP!$AN$23,(DP!$AP$23),IF(AW246=DP!$AN$24,(DP!$AP$24),IF(AW246=DP!$AN$25,(DP!$AP$25),((0*1))))))</f>
        <v>0</v>
      </c>
      <c r="BY246" s="93">
        <f t="shared" si="265"/>
        <v>0</v>
      </c>
      <c r="BZ246" s="93">
        <f>IF(AW246=DP!$AN$15,(AY246/DP!$AM$15)*(1+DP!$AQ$15),IF(AW246=DP!$AN$16,(AY246/DP!$AM$16)*(1+DP!$AQ$16),IF(AW246=DP!$AN$17,(AY246/DP!$AM$17)*(1+DP!$AQ$17),IF(AW246=DP!$AN$18,(AY246/DP!$AM$18)*(1+DP!$AQ$18),0*1))))</f>
        <v>0</v>
      </c>
      <c r="CA246" s="102">
        <f>IF(AW246=DP!$AN$22,(DP!$AQ$22),IF(AW246=DP!$AN$23,(DP!$AQ$23),IF(AW246=DP!$AN$24,(DP!$AQ$24),IF(AW246=DP!$AN$25,(DP!$AQ$25),((0*1))))))</f>
        <v>0</v>
      </c>
      <c r="CB246" s="93">
        <f t="shared" si="266"/>
        <v>0</v>
      </c>
      <c r="CC246" s="93">
        <f>IF(AW246=DP!$AN$15,AY246*(1+DP!$AQ$15),IF(AW246=DP!$AN$16,AY246*(1+DP!$AQ$16),IF(AW246=DP!$AN$17,AY246*(1+DP!$AQ$17),IF(AW246=DP!$AN$18,AY246*(1+DP!$AQ$18),0*1))))</f>
        <v>0</v>
      </c>
      <c r="CD246" s="102">
        <f>IF(AW246=DP!$AN$22,(DP!$AR$22),IF(AW246=DP!$AN$23,(DP!$AR$23),IF(AW246=DP!$AN$24,(DP!$AR$24),IF(AW246=DP!$AN$25,(DP!$AR$25),((0*1))))))</f>
        <v>0</v>
      </c>
      <c r="CE246" s="93">
        <f t="shared" si="267"/>
        <v>0</v>
      </c>
      <c r="CF246" s="100"/>
      <c r="CG246" s="149">
        <f t="shared" si="247"/>
        <v>0</v>
      </c>
      <c r="CH246" s="149">
        <f>DP!$N$35*BA246</f>
        <v>0</v>
      </c>
      <c r="CI246" s="149">
        <f>DP!$O$35*BA246</f>
        <v>0</v>
      </c>
      <c r="CJ246" s="149">
        <f>DP!$P$35*BA246</f>
        <v>0</v>
      </c>
    </row>
    <row r="247" spans="2:88" x14ac:dyDescent="0.35">
      <c r="B247" s="480">
        <f>DP!S22</f>
        <v>0</v>
      </c>
      <c r="C247" s="480" t="str">
        <f>DP!T22</f>
        <v>PALMITO RODAJA 400</v>
      </c>
      <c r="D247" s="480">
        <f>DP!U22</f>
        <v>400</v>
      </c>
      <c r="E247" s="480">
        <f>DP!V22</f>
        <v>220</v>
      </c>
      <c r="F247" s="412">
        <f t="shared" si="248"/>
        <v>0</v>
      </c>
      <c r="G247" s="470">
        <f>DP!AD22</f>
        <v>0</v>
      </c>
      <c r="H247" s="98">
        <f t="shared" si="249"/>
        <v>0</v>
      </c>
      <c r="I247" s="97"/>
      <c r="J247" s="102">
        <f t="shared" si="238"/>
        <v>0</v>
      </c>
      <c r="K247" s="98">
        <f t="shared" si="239"/>
        <v>0</v>
      </c>
      <c r="L247" s="93">
        <f t="shared" si="240"/>
        <v>0</v>
      </c>
      <c r="M247" s="99">
        <f t="shared" si="241"/>
        <v>0</v>
      </c>
      <c r="N247" s="100"/>
      <c r="O247" s="102">
        <f>($E247/DP!$O$29)*F247</f>
        <v>0</v>
      </c>
      <c r="P247" s="102">
        <f>IF(O247&gt;0,(DP!$O$31),0*1)</f>
        <v>0</v>
      </c>
      <c r="Q247" s="102">
        <f t="shared" si="250"/>
        <v>0</v>
      </c>
      <c r="R247" s="102">
        <f t="shared" si="251"/>
        <v>0</v>
      </c>
      <c r="S247" s="418">
        <f t="shared" si="252"/>
        <v>0</v>
      </c>
      <c r="T247" s="475">
        <f>H247*DP!$Y$44</f>
        <v>0</v>
      </c>
      <c r="U247" s="475">
        <f>IF(H247&gt;0,DP!$Z$44,0*1)</f>
        <v>0</v>
      </c>
      <c r="V247" s="475">
        <f t="shared" si="253"/>
        <v>0</v>
      </c>
      <c r="W247" s="475">
        <f>H247*DP!$Y$45</f>
        <v>0</v>
      </c>
      <c r="X247" s="475">
        <f>IF(H247&gt;0,DP!$Z$45,0*1)</f>
        <v>0</v>
      </c>
      <c r="Y247" s="475">
        <f t="shared" si="254"/>
        <v>0</v>
      </c>
      <c r="Z247" s="100"/>
      <c r="AA247" s="93">
        <f>IF(D247=DP!$L$15,F247*(1+DP!$O$15),IF(D247=DP!$L$16,F247*(1+DP!$O$16),IF(D247=DP!$L$17,F247*(1+DP!$O$17),IF(D247=DP!$L$18,F247*(1+DP!$O$18),0*1))))</f>
        <v>0</v>
      </c>
      <c r="AB247" s="102">
        <f>IF(D247=DP!$L$22,(DP!$M$22),IF(D247=DP!$L$23,(DP!$M$23),IF(D247=DP!$L$24,(DP!$M$24),IF(D247=DP!$L$25,(DP!$M$25),((0*1))))))</f>
        <v>0</v>
      </c>
      <c r="AC247" s="93">
        <f t="shared" si="255"/>
        <v>0</v>
      </c>
      <c r="AD247" s="93">
        <f>IF(D247=DP!$L$15,F247*(1+DP!$O$15),IF(D247=DP!$L$16,F247*(1+DP!$O$16),IF(D247=DP!$L$17,F247*(1+DP!$O$17),IF(D247=DP!$L$18,F247*(1+DP!$O$18),0*1))))</f>
        <v>0</v>
      </c>
      <c r="AE247" s="102">
        <f>IF(D247=DP!$L$22,(DP!$N$22),IF(D247=DP!$L$23,(DP!$N$23),IF(D247=DP!$L$24,(DP!$N$24),IF(D247=DP!$L$25,(DP!$N$25),((0*1))))))</f>
        <v>0</v>
      </c>
      <c r="AF247" s="93">
        <f t="shared" si="256"/>
        <v>0</v>
      </c>
      <c r="AG247" s="93">
        <f>IF(D247=DP!$L$15,(F247/DP!$K$15)*(1+DP!$O$15),IF(D247=DP!$L$16,(F247/DP!$K$16)*(1+DP!$O$16),IF(D247=DP!$L$17,(F247/DP!$K$17)*(1+DP!$O$17),IF(D247=DP!$L$18,(F247/DP!$K$18)*(1+DP!$O$18),0*1))))</f>
        <v>0</v>
      </c>
      <c r="AH247" s="102">
        <f>IF(D247=DP!$L$22,(DP!$O$22),IF(D247=DP!$L$23,(DP!$O$23),IF(D247=DP!$L$24,(DP!$O$24),IF(D247=DP!$L$25,(DP!$O$25),((0*1))))))</f>
        <v>0</v>
      </c>
      <c r="AI247" s="93">
        <f t="shared" si="257"/>
        <v>0</v>
      </c>
      <c r="AJ247" s="93">
        <f>IF(D247=DP!$L$15,F247*(1+DP!$O$15),IF(D247=DP!$L$16,F247*(1+DP!$O$16),IF(D247=DP!$L$17,F247*(1+DP!$O$17),IF(D247=DP!$L$18,F247*(1+DP!$O$18),0*1))))</f>
        <v>0</v>
      </c>
      <c r="AK247" s="102">
        <f>IF(D247=DP!$L$22,(DP!$P$22),IF(D247=DP!$L$23,(DP!$P$23),IF(D247=DP!$L$24,(DP!$P$24),IF(D247=DP!$L$25,(DP!$P$25),((0*1))))))</f>
        <v>0</v>
      </c>
      <c r="AL247" s="93">
        <f t="shared" si="258"/>
        <v>0</v>
      </c>
      <c r="AM247" s="100"/>
      <c r="AN247" s="149">
        <f t="shared" si="242"/>
        <v>0</v>
      </c>
      <c r="AO247" s="149">
        <f>DP!$N$35*H247</f>
        <v>0</v>
      </c>
      <c r="AP247" s="149">
        <f>DP!$O$35*H247</f>
        <v>0</v>
      </c>
      <c r="AQ247" s="149">
        <f>DP!$P$35*H247</f>
        <v>0</v>
      </c>
      <c r="AV247" s="489" t="str">
        <f>DP!AV22</f>
        <v>PIÑA RODAJA 567</v>
      </c>
      <c r="AW247" s="489">
        <f>DP!AW22</f>
        <v>567</v>
      </c>
      <c r="AX247" s="489">
        <f>DP!AX22</f>
        <v>340</v>
      </c>
      <c r="AY247" s="412">
        <f t="shared" si="259"/>
        <v>270000</v>
      </c>
      <c r="AZ247" s="470">
        <f>DP!BF22</f>
        <v>0.5</v>
      </c>
      <c r="BA247" s="98">
        <f t="shared" si="260"/>
        <v>91800</v>
      </c>
      <c r="BB247" s="97"/>
      <c r="BC247" s="102">
        <f t="shared" si="243"/>
        <v>0.96041166831383962</v>
      </c>
      <c r="BD247" s="98">
        <f t="shared" si="244"/>
        <v>0.83461166831383959</v>
      </c>
      <c r="BE247" s="93">
        <f t="shared" si="245"/>
        <v>259311.1504447367</v>
      </c>
      <c r="BF247" s="99">
        <f t="shared" si="246"/>
        <v>225345.1504447367</v>
      </c>
      <c r="BG247" s="100"/>
      <c r="BH247" s="102">
        <f>IFERROR((BA247*100%)/DP!$AQ$29,(0*1))</f>
        <v>204000</v>
      </c>
      <c r="BI247" s="102">
        <f>IF(BH247&gt;0,(DP!$AQ$31),0*1)</f>
        <v>0.45</v>
      </c>
      <c r="BJ247" s="435">
        <f t="shared" si="261"/>
        <v>91800</v>
      </c>
      <c r="BK247" s="475">
        <f>BA247*DP!$BA$44</f>
        <v>229.5</v>
      </c>
      <c r="BL247" s="475">
        <f>IF(BA247&gt;0,DP!$BB$44,0*1)</f>
        <v>0.95</v>
      </c>
      <c r="BM247" s="475">
        <f t="shared" si="262"/>
        <v>218.02499999999998</v>
      </c>
      <c r="BN247" s="102">
        <f>BA247*DP!$BA$45</f>
        <v>15238.800000000001</v>
      </c>
      <c r="BO247" s="102">
        <f>IF(BA247&gt;0,DP!$BB$45,0*1)</f>
        <v>0.76919999999999999</v>
      </c>
      <c r="BP247" s="475">
        <f t="shared" si="263"/>
        <v>11721.684960000001</v>
      </c>
      <c r="BQ247" s="100"/>
      <c r="BR247" s="100"/>
      <c r="BS247" s="100"/>
      <c r="BT247" s="93">
        <f>IF(AW247=DP!$AN$15,AY247*(1+DP!$AQ$15),IF(AW247=DP!$AN$16,AY247*(1+DP!$AQ$16),IF(AW247=DP!$AN$17,AY247*(1+DP!$AQ$17),IF(AW247=DP!$AN$18,AY247*(1+DP!$AQ$18),0*1))))</f>
        <v>271350</v>
      </c>
      <c r="BU247" s="102">
        <f>IF(AW247=DP!$AN$22,(DP!$AO$22),IF(AW247=DP!$AN$23,(DP!$AO$23),IF(AW247=DP!$AN$24,(DP!$AO$24),IF(AW247=DP!$AN$25,(DP!$AO$25),((0*1))))))</f>
        <v>0.23</v>
      </c>
      <c r="BV247" s="93">
        <f t="shared" si="264"/>
        <v>62410.5</v>
      </c>
      <c r="BW247" s="93">
        <f>IF(AW247=DP!$AN$15,AY247*(1+DP!$AQ$15),IF(AW247=DP!$AN$16,AY247*(1+DP!$AQ$16),IF(AW247=DP!$AN$17,AY247*(1+DP!$AQ$17),IF(AW247=DP!$AN$18,AY247*(1+DP!$AQ$18),0*1))))</f>
        <v>271350</v>
      </c>
      <c r="BX247" s="102">
        <f>IF(AW247=DP!$AN$22,(DP!$AP$22),IF(AW247=DP!$AN$23,(DP!$AP$23),IF(AW247=DP!$AN$24,(DP!$AP$24),IF(AW247=DP!$AN$25,(DP!$AP$25),((0*1))))))</f>
        <v>5.5E-2</v>
      </c>
      <c r="BY247" s="93">
        <f t="shared" si="265"/>
        <v>14924.25</v>
      </c>
      <c r="BZ247" s="93">
        <f>IF(AW247=DP!$AN$15,(AY247/DP!$AM$15)*(1+DP!$AQ$15),IF(AW247=DP!$AN$16,(AY247/DP!$AM$16)*(1+DP!$AQ$16),IF(AW247=DP!$AN$17,(AY247/DP!$AM$17)*(1+DP!$AQ$17),IF(AW247=DP!$AN$18,(AY247/DP!$AM$18)*(1+DP!$AQ$18),0*1))))</f>
        <v>11306.249999999998</v>
      </c>
      <c r="CA247" s="102">
        <f>IF(AW247=DP!$AN$22,(DP!$AQ$22),IF(AW247=DP!$AN$23,(DP!$AQ$23),IF(AW247=DP!$AN$24,(DP!$AQ$24),IF(AW247=DP!$AN$25,(DP!$AQ$25),((0*1))))))</f>
        <v>0.51199999999999923</v>
      </c>
      <c r="CB247" s="93">
        <f t="shared" si="266"/>
        <v>5788.7999999999902</v>
      </c>
      <c r="CC247" s="93">
        <f>IF(AW247=DP!$AN$15,AY247*(1+DP!$AQ$15),IF(AW247=DP!$AN$16,AY247*(1+DP!$AQ$16),IF(AW247=DP!$AN$17,AY247*(1+DP!$AQ$17),IF(AW247=DP!$AN$18,AY247*(1+DP!$AQ$18),0*1))))</f>
        <v>271350</v>
      </c>
      <c r="CD247" s="102">
        <f>IF(AW247=DP!$AN$22,(DP!$AR$22),IF(AW247=DP!$AN$23,(DP!$AR$23),IF(AW247=DP!$AN$24,(DP!$AR$24),IF(AW247=DP!$AN$25,(DP!$AR$25),((0*1))))))</f>
        <v>3.3045977011494254E-2</v>
      </c>
      <c r="CE247" s="93">
        <f t="shared" si="267"/>
        <v>8967.0258620689656</v>
      </c>
      <c r="CF247" s="100"/>
      <c r="CG247" s="149">
        <f t="shared" si="247"/>
        <v>29514.864622667745</v>
      </c>
      <c r="CH247" s="149">
        <f>DP!$N$35*BA247</f>
        <v>1318.9655172413795</v>
      </c>
      <c r="CI247" s="149">
        <f>DP!$O$35*BA247</f>
        <v>5012.0689655172418</v>
      </c>
      <c r="CJ247" s="149">
        <f>DP!$P$35*BA247</f>
        <v>33966</v>
      </c>
    </row>
    <row r="248" spans="2:88" x14ac:dyDescent="0.35">
      <c r="B248" s="480">
        <f>DP!S23</f>
        <v>0</v>
      </c>
      <c r="C248" s="480" t="str">
        <f>DP!T23</f>
        <v>PALMITO TROZO 400</v>
      </c>
      <c r="D248" s="480">
        <f>DP!U23</f>
        <v>400</v>
      </c>
      <c r="E248" s="480">
        <f>DP!V23</f>
        <v>236</v>
      </c>
      <c r="F248" s="412">
        <f t="shared" si="248"/>
        <v>0</v>
      </c>
      <c r="G248" s="470">
        <f>DP!AD23</f>
        <v>0</v>
      </c>
      <c r="H248" s="98">
        <f t="shared" si="249"/>
        <v>0</v>
      </c>
      <c r="I248" s="97"/>
      <c r="J248" s="102">
        <f t="shared" si="238"/>
        <v>0</v>
      </c>
      <c r="K248" s="98">
        <f t="shared" si="239"/>
        <v>0</v>
      </c>
      <c r="L248" s="93">
        <f t="shared" si="240"/>
        <v>0</v>
      </c>
      <c r="M248" s="99">
        <f t="shared" si="241"/>
        <v>0</v>
      </c>
      <c r="N248" s="100"/>
      <c r="O248" s="102">
        <f>($E248/DP!$O$29)*F248</f>
        <v>0</v>
      </c>
      <c r="P248" s="102">
        <f>IF(O248&gt;0,(DP!$O$31),0*1)</f>
        <v>0</v>
      </c>
      <c r="Q248" s="102">
        <f t="shared" si="250"/>
        <v>0</v>
      </c>
      <c r="R248" s="102">
        <f t="shared" si="251"/>
        <v>0</v>
      </c>
      <c r="S248" s="418">
        <f t="shared" si="252"/>
        <v>0</v>
      </c>
      <c r="T248" s="475">
        <f>H248*DP!$Y$44</f>
        <v>0</v>
      </c>
      <c r="U248" s="475">
        <f>IF(H248&gt;0,DP!$Z$44,0*1)</f>
        <v>0</v>
      </c>
      <c r="V248" s="475">
        <f t="shared" si="253"/>
        <v>0</v>
      </c>
      <c r="W248" s="475">
        <f>H248*DP!$Y$45</f>
        <v>0</v>
      </c>
      <c r="X248" s="475">
        <f>IF(H248&gt;0,DP!$Z$45,0*1)</f>
        <v>0</v>
      </c>
      <c r="Y248" s="475">
        <f t="shared" si="254"/>
        <v>0</v>
      </c>
      <c r="Z248" s="100"/>
      <c r="AA248" s="93">
        <f>IF(D248=DP!$L$15,F248*(1+DP!$O$15),IF(D248=DP!$L$16,F248*(1+DP!$O$16),IF(D248=DP!$L$17,F248*(1+DP!$O$17),IF(D248=DP!$L$18,F248*(1+DP!$O$18),0*1))))</f>
        <v>0</v>
      </c>
      <c r="AB248" s="102">
        <f>IF(D248=DP!$L$22,(DP!$M$22),IF(D248=DP!$L$23,(DP!$M$23),IF(D248=DP!$L$24,(DP!$M$24),IF(D248=DP!$L$25,(DP!$M$25),((0*1))))))</f>
        <v>0</v>
      </c>
      <c r="AC248" s="93">
        <f t="shared" si="255"/>
        <v>0</v>
      </c>
      <c r="AD248" s="93">
        <f>IF(D248=DP!$L$15,F248*(1+DP!$O$15),IF(D248=DP!$L$16,F248*(1+DP!$O$16),IF(D248=DP!$L$17,F248*(1+DP!$O$17),IF(D248=DP!$L$18,F248*(1+DP!$O$18),0*1))))</f>
        <v>0</v>
      </c>
      <c r="AE248" s="102">
        <f>IF(D248=DP!$L$22,(DP!$N$22),IF(D248=DP!$L$23,(DP!$N$23),IF(D248=DP!$L$24,(DP!$N$24),IF(D248=DP!$L$25,(DP!$N$25),((0*1))))))</f>
        <v>0</v>
      </c>
      <c r="AF248" s="93">
        <f t="shared" si="256"/>
        <v>0</v>
      </c>
      <c r="AG248" s="93">
        <f>IF(D248=DP!$L$15,(F248/DP!$K$15)*(1+DP!$O$15),IF(D248=DP!$L$16,(F248/DP!$K$16)*(1+DP!$O$16),IF(D248=DP!$L$17,(F248/DP!$K$17)*(1+DP!$O$17),IF(D248=DP!$L$18,(F248/DP!$K$18)*(1+DP!$O$18),0*1))))</f>
        <v>0</v>
      </c>
      <c r="AH248" s="102">
        <f>IF(D248=DP!$L$22,(DP!$O$22),IF(D248=DP!$L$23,(DP!$O$23),IF(D248=DP!$L$24,(DP!$O$24),IF(D248=DP!$L$25,(DP!$O$25),((0*1))))))</f>
        <v>0</v>
      </c>
      <c r="AI248" s="93">
        <f t="shared" si="257"/>
        <v>0</v>
      </c>
      <c r="AJ248" s="93">
        <f>IF(D248=DP!$L$15,F248*(1+DP!$O$15),IF(D248=DP!$L$16,F248*(1+DP!$O$16),IF(D248=DP!$L$17,F248*(1+DP!$O$17),IF(D248=DP!$L$18,F248*(1+DP!$O$18),0*1))))</f>
        <v>0</v>
      </c>
      <c r="AK248" s="102">
        <f>IF(D248=DP!$L$22,(DP!$P$22),IF(D248=DP!$L$23,(DP!$P$23),IF(D248=DP!$L$24,(DP!$P$24),IF(D248=DP!$L$25,(DP!$P$25),((0*1))))))</f>
        <v>0</v>
      </c>
      <c r="AL248" s="93">
        <f t="shared" si="258"/>
        <v>0</v>
      </c>
      <c r="AM248" s="100"/>
      <c r="AN248" s="149">
        <f t="shared" si="242"/>
        <v>0</v>
      </c>
      <c r="AO248" s="149">
        <f>DP!$N$35*H248</f>
        <v>0</v>
      </c>
      <c r="AP248" s="149">
        <f>DP!$O$35*H248</f>
        <v>0</v>
      </c>
      <c r="AQ248" s="149">
        <f>DP!$P$35*H248</f>
        <v>0</v>
      </c>
      <c r="AV248" s="489" t="str">
        <f>DP!AV23</f>
        <v>PIÑA TROZO 567</v>
      </c>
      <c r="AW248" s="489">
        <f>DP!AW23</f>
        <v>567</v>
      </c>
      <c r="AX248" s="489">
        <f>DP!AX23</f>
        <v>340</v>
      </c>
      <c r="AY248" s="412">
        <f t="shared" si="259"/>
        <v>108000</v>
      </c>
      <c r="AZ248" s="470">
        <f>DP!BF23</f>
        <v>0.2</v>
      </c>
      <c r="BA248" s="98">
        <f t="shared" si="260"/>
        <v>36720</v>
      </c>
      <c r="BB248" s="97"/>
      <c r="BC248" s="102">
        <f t="shared" si="243"/>
        <v>0.9604116683138394</v>
      </c>
      <c r="BD248" s="98">
        <f t="shared" si="244"/>
        <v>0.83461166831383948</v>
      </c>
      <c r="BE248" s="93">
        <f t="shared" si="245"/>
        <v>103724.46017789465</v>
      </c>
      <c r="BF248" s="99">
        <f t="shared" si="246"/>
        <v>90138.060177894658</v>
      </c>
      <c r="BG248" s="100"/>
      <c r="BH248" s="102">
        <f>IFERROR((BA248*100%)/DP!$AQ$29,(0*1))</f>
        <v>81600</v>
      </c>
      <c r="BI248" s="102">
        <f>IF(BH248&gt;0,(DP!$AQ$31),0*1)</f>
        <v>0.45</v>
      </c>
      <c r="BJ248" s="435">
        <f t="shared" si="261"/>
        <v>36720</v>
      </c>
      <c r="BK248" s="475">
        <f>BA248*DP!$BA$44</f>
        <v>91.8</v>
      </c>
      <c r="BL248" s="475">
        <f>IF(BA248&gt;0,DP!$BB$44,0*1)</f>
        <v>0.95</v>
      </c>
      <c r="BM248" s="475">
        <f t="shared" si="262"/>
        <v>87.21</v>
      </c>
      <c r="BN248" s="102">
        <f>BA248*DP!$BA$45</f>
        <v>6095.52</v>
      </c>
      <c r="BO248" s="102">
        <f>IF(BA248&gt;0,DP!$BB$45,0*1)</f>
        <v>0.76919999999999999</v>
      </c>
      <c r="BP248" s="475">
        <f t="shared" si="263"/>
        <v>4688.673984</v>
      </c>
      <c r="BQ248" s="100"/>
      <c r="BR248" s="100"/>
      <c r="BS248" s="100"/>
      <c r="BT248" s="93">
        <f>IF(AW248=DP!$AN$15,AY248*(1+DP!$AQ$15),IF(AW248=DP!$AN$16,AY248*(1+DP!$AQ$16),IF(AW248=DP!$AN$17,AY248*(1+DP!$AQ$17),IF(AW248=DP!$AN$18,AY248*(1+DP!$AQ$18),0*1))))</f>
        <v>108539.99999999999</v>
      </c>
      <c r="BU248" s="102">
        <f>IF(AW248=DP!$AN$22,(DP!$AO$22),IF(AW248=DP!$AN$23,(DP!$AO$23),IF(AW248=DP!$AN$24,(DP!$AO$24),IF(AW248=DP!$AN$25,(DP!$AO$25),((0*1))))))</f>
        <v>0.23</v>
      </c>
      <c r="BV248" s="93">
        <f t="shared" si="264"/>
        <v>24964.199999999997</v>
      </c>
      <c r="BW248" s="93">
        <f>IF(AW248=DP!$AN$15,AY248*(1+DP!$AQ$15),IF(AW248=DP!$AN$16,AY248*(1+DP!$AQ$16),IF(AW248=DP!$AN$17,AY248*(1+DP!$AQ$17),IF(AW248=DP!$AN$18,AY248*(1+DP!$AQ$18),0*1))))</f>
        <v>108539.99999999999</v>
      </c>
      <c r="BX248" s="102">
        <f>IF(AW248=DP!$AN$22,(DP!$AP$22),IF(AW248=DP!$AN$23,(DP!$AP$23),IF(AW248=DP!$AN$24,(DP!$AP$24),IF(AW248=DP!$AN$25,(DP!$AP$25),((0*1))))))</f>
        <v>5.5E-2</v>
      </c>
      <c r="BY248" s="93">
        <f t="shared" si="265"/>
        <v>5969.6999999999989</v>
      </c>
      <c r="BZ248" s="93">
        <f>IF(AW248=DP!$AN$15,(AY248/DP!$AM$15)*(1+DP!$AQ$15),IF(AW248=DP!$AN$16,(AY248/DP!$AM$16)*(1+DP!$AQ$16),IF(AW248=DP!$AN$17,(AY248/DP!$AM$17)*(1+DP!$AQ$17),IF(AW248=DP!$AN$18,(AY248/DP!$AM$18)*(1+DP!$AQ$18),0*1))))</f>
        <v>4522.4999999999991</v>
      </c>
      <c r="CA248" s="102">
        <f>IF(AW248=DP!$AN$22,(DP!$AQ$22),IF(AW248=DP!$AN$23,(DP!$AQ$23),IF(AW248=DP!$AN$24,(DP!$AQ$24),IF(AW248=DP!$AN$25,(DP!$AQ$25),((0*1))))))</f>
        <v>0.51199999999999923</v>
      </c>
      <c r="CB248" s="93">
        <f t="shared" si="266"/>
        <v>2315.5199999999959</v>
      </c>
      <c r="CC248" s="93">
        <f>IF(AW248=DP!$AN$15,AY248*(1+DP!$AQ$15),IF(AW248=DP!$AN$16,AY248*(1+DP!$AQ$16),IF(AW248=DP!$AN$17,AY248*(1+DP!$AQ$17),IF(AW248=DP!$AN$18,AY248*(1+DP!$AQ$18),0*1))))</f>
        <v>108539.99999999999</v>
      </c>
      <c r="CD248" s="102">
        <f>IF(AW248=DP!$AN$22,(DP!$AR$22),IF(AW248=DP!$AN$23,(DP!$AR$23),IF(AW248=DP!$AN$24,(DP!$AR$24),IF(AW248=DP!$AN$25,(DP!$AR$25),((0*1))))))</f>
        <v>3.3045977011494254E-2</v>
      </c>
      <c r="CE248" s="93">
        <f t="shared" si="267"/>
        <v>3586.8103448275861</v>
      </c>
      <c r="CF248" s="100"/>
      <c r="CG248" s="149">
        <f t="shared" si="247"/>
        <v>11805.945849067097</v>
      </c>
      <c r="CH248" s="149">
        <f>DP!$N$35*BA248</f>
        <v>527.58620689655174</v>
      </c>
      <c r="CI248" s="149">
        <f>DP!$O$35*BA248</f>
        <v>2004.8275862068967</v>
      </c>
      <c r="CJ248" s="149">
        <f>DP!$P$35*BA248</f>
        <v>13586.4</v>
      </c>
    </row>
    <row r="249" spans="2:88" x14ac:dyDescent="0.35">
      <c r="B249" s="480">
        <f>DP!S24</f>
        <v>0</v>
      </c>
      <c r="C249" s="480" t="str">
        <f>DP!T24</f>
        <v>PALMITO TROZO  A-10</v>
      </c>
      <c r="D249" s="480">
        <f>DP!U24</f>
        <v>2920</v>
      </c>
      <c r="E249" s="480">
        <f>DP!V24</f>
        <v>1825</v>
      </c>
      <c r="F249" s="412">
        <f t="shared" si="248"/>
        <v>0</v>
      </c>
      <c r="G249" s="470">
        <f>DP!AD24</f>
        <v>0</v>
      </c>
      <c r="H249" s="98">
        <f t="shared" si="249"/>
        <v>0</v>
      </c>
      <c r="I249" s="97"/>
      <c r="J249" s="102">
        <f t="shared" si="238"/>
        <v>0</v>
      </c>
      <c r="K249" s="98">
        <f t="shared" si="239"/>
        <v>0</v>
      </c>
      <c r="L249" s="93">
        <f t="shared" si="240"/>
        <v>0</v>
      </c>
      <c r="M249" s="99">
        <f t="shared" si="241"/>
        <v>0</v>
      </c>
      <c r="N249" s="100"/>
      <c r="O249" s="102">
        <f>($E249/DP!$O$29)*F249</f>
        <v>0</v>
      </c>
      <c r="P249" s="102">
        <f>IF(O249&gt;0,(DP!$O$31),0*1)</f>
        <v>0</v>
      </c>
      <c r="Q249" s="102">
        <f t="shared" si="250"/>
        <v>0</v>
      </c>
      <c r="R249" s="102">
        <f t="shared" si="251"/>
        <v>0</v>
      </c>
      <c r="S249" s="418">
        <f t="shared" si="252"/>
        <v>0</v>
      </c>
      <c r="T249" s="475">
        <f>H249*DP!$Y$44</f>
        <v>0</v>
      </c>
      <c r="U249" s="475">
        <f>IF(H249&gt;0,DP!$Z$44,0*1)</f>
        <v>0</v>
      </c>
      <c r="V249" s="475">
        <f t="shared" si="253"/>
        <v>0</v>
      </c>
      <c r="W249" s="475">
        <f>H249*DP!$Y$45</f>
        <v>0</v>
      </c>
      <c r="X249" s="475">
        <f>IF(H249&gt;0,DP!$Z$45,0*1)</f>
        <v>0</v>
      </c>
      <c r="Y249" s="475">
        <f t="shared" si="254"/>
        <v>0</v>
      </c>
      <c r="Z249" s="100"/>
      <c r="AA249" s="93">
        <f>IF(D249=DP!$L$15,F249*(1+DP!$O$15),IF(D249=DP!$L$16,F249*(1+DP!$O$16),IF(D249=DP!$L$17,F249*(1+DP!$O$17),IF(D249=DP!$L$18,F249*(1+DP!$O$18),0*1))))</f>
        <v>0</v>
      </c>
      <c r="AB249" s="102">
        <f>IF(D249=DP!$L$22,(DP!$M$22),IF(D249=DP!$L$23,(DP!$M$23),IF(D249=DP!$L$24,(DP!$M$24),IF(D249=DP!$L$25,(DP!$M$25),((0*1))))))</f>
        <v>0</v>
      </c>
      <c r="AC249" s="93">
        <f t="shared" si="255"/>
        <v>0</v>
      </c>
      <c r="AD249" s="93">
        <f>IF(D249=DP!$L$15,F249*(1+DP!$O$15),IF(D249=DP!$L$16,F249*(1+DP!$O$16),IF(D249=DP!$L$17,F249*(1+DP!$O$17),IF(D249=DP!$L$18,F249*(1+DP!$O$18),0*1))))</f>
        <v>0</v>
      </c>
      <c r="AE249" s="102">
        <f>IF(D249=DP!$L$22,(DP!$N$22),IF(D249=DP!$L$23,(DP!$N$23),IF(D249=DP!$L$24,(DP!$N$24),IF(D249=DP!$L$25,(DP!$N$25),((0*1))))))</f>
        <v>0</v>
      </c>
      <c r="AF249" s="93">
        <f t="shared" si="256"/>
        <v>0</v>
      </c>
      <c r="AG249" s="93">
        <f>IF(D249=DP!$L$15,(F249/DP!$K$15)*(1+DP!$O$15),IF(D249=DP!$L$16,(F249/DP!$K$16)*(1+DP!$O$16),IF(D249=DP!$L$17,(F249/DP!$K$17)*(1+DP!$O$17),IF(D249=DP!$L$18,(F249/DP!$K$18)*(1+DP!$O$18),0*1))))</f>
        <v>0</v>
      </c>
      <c r="AH249" s="102">
        <f>IF(D249=DP!$L$22,(DP!$O$22),IF(D249=DP!$L$23,(DP!$O$23),IF(D249=DP!$L$24,(DP!$O$24),IF(D249=DP!$L$25,(DP!$O$25),((0*1))))))</f>
        <v>0</v>
      </c>
      <c r="AI249" s="93">
        <f t="shared" si="257"/>
        <v>0</v>
      </c>
      <c r="AJ249" s="93">
        <f>IF(D249=DP!$L$15,F249*(1+DP!$O$15),IF(D249=DP!$L$16,F249*(1+DP!$O$16),IF(D249=DP!$L$17,F249*(1+DP!$O$17),IF(D249=DP!$L$18,F249*(1+DP!$O$18),0*1))))</f>
        <v>0</v>
      </c>
      <c r="AK249" s="102">
        <f>IF(D249=DP!$L$22,(DP!$P$22),IF(D249=DP!$L$23,(DP!$P$23),IF(D249=DP!$L$24,(DP!$P$24),IF(D249=DP!$L$25,(DP!$P$25),((0*1))))))</f>
        <v>0</v>
      </c>
      <c r="AL249" s="93">
        <f t="shared" si="258"/>
        <v>0</v>
      </c>
      <c r="AM249" s="100"/>
      <c r="AN249" s="149">
        <f t="shared" si="242"/>
        <v>0</v>
      </c>
      <c r="AO249" s="149">
        <f>DP!$N$35*H249</f>
        <v>0</v>
      </c>
      <c r="AP249" s="149">
        <f>DP!$O$35*H249</f>
        <v>0</v>
      </c>
      <c r="AQ249" s="149">
        <f>DP!$P$35*H249</f>
        <v>0</v>
      </c>
      <c r="AV249" s="489" t="str">
        <f>DP!AV24</f>
        <v>PIÑA RODAJA 822</v>
      </c>
      <c r="AW249" s="489">
        <f>DP!AW24</f>
        <v>822</v>
      </c>
      <c r="AX249" s="489">
        <f>DP!AX24</f>
        <v>500</v>
      </c>
      <c r="AY249" s="412">
        <f t="shared" si="259"/>
        <v>73440</v>
      </c>
      <c r="AZ249" s="470">
        <f>DP!BF24</f>
        <v>0.2</v>
      </c>
      <c r="BA249" s="98">
        <f t="shared" si="260"/>
        <v>36720</v>
      </c>
      <c r="BB249" s="97"/>
      <c r="BC249" s="102">
        <f t="shared" si="243"/>
        <v>1.2984286501572693</v>
      </c>
      <c r="BD249" s="98">
        <f t="shared" si="244"/>
        <v>1.1134286501572692</v>
      </c>
      <c r="BE249" s="93">
        <f t="shared" si="245"/>
        <v>95356.600067549851</v>
      </c>
      <c r="BF249" s="99">
        <f t="shared" si="246"/>
        <v>81770.200067549857</v>
      </c>
      <c r="BG249" s="100"/>
      <c r="BH249" s="102">
        <f>IFERROR((BA249*100%)/DP!$AQ$29,(0*1))</f>
        <v>81600</v>
      </c>
      <c r="BI249" s="102">
        <f>IF(BH249&gt;0,(DP!$AQ$31),0*1)</f>
        <v>0.45</v>
      </c>
      <c r="BJ249" s="435">
        <f t="shared" si="261"/>
        <v>36720</v>
      </c>
      <c r="BK249" s="475">
        <f>BA249*DP!$BA$44</f>
        <v>91.8</v>
      </c>
      <c r="BL249" s="475">
        <f>IF(BA249&gt;0,DP!$BB$44,0*1)</f>
        <v>0.95</v>
      </c>
      <c r="BM249" s="475">
        <f t="shared" si="262"/>
        <v>87.21</v>
      </c>
      <c r="BN249" s="102">
        <f>BA249*DP!$BA$45</f>
        <v>6095.52</v>
      </c>
      <c r="BO249" s="102">
        <f>IF(BA249&gt;0,DP!$BB$45,0*1)</f>
        <v>0.76919999999999999</v>
      </c>
      <c r="BP249" s="475">
        <f t="shared" si="263"/>
        <v>4688.673984</v>
      </c>
      <c r="BQ249" s="100"/>
      <c r="BR249" s="100"/>
      <c r="BS249" s="100"/>
      <c r="BT249" s="93">
        <f>IF(AW249=DP!$AN$15,AY249*(1+DP!$AQ$15),IF(AW249=DP!$AN$16,AY249*(1+DP!$AQ$16),IF(AW249=DP!$AN$17,AY249*(1+DP!$AQ$17),IF(AW249=DP!$AN$18,AY249*(1+DP!$AQ$18),0*1))))</f>
        <v>73807.199999999997</v>
      </c>
      <c r="BU249" s="102">
        <f>IF(AW249=DP!$AN$22,(DP!$AO$22),IF(AW249=DP!$AN$23,(DP!$AO$23),IF(AW249=DP!$AN$24,(DP!$AO$24),IF(AW249=DP!$AN$25,(DP!$AO$25),((0*1))))))</f>
        <v>0.24</v>
      </c>
      <c r="BV249" s="93">
        <f t="shared" si="264"/>
        <v>17713.727999999999</v>
      </c>
      <c r="BW249" s="93">
        <f>IF(AW249=DP!$AN$15,AY249*(1+DP!$AQ$15),IF(AW249=DP!$AN$16,AY249*(1+DP!$AQ$16),IF(AW249=DP!$AN$17,AY249*(1+DP!$AQ$17),IF(AW249=DP!$AN$18,AY249*(1+DP!$AQ$18),0*1))))</f>
        <v>73807.199999999997</v>
      </c>
      <c r="BX249" s="102">
        <f>IF(AW249=DP!$AN$22,(DP!$AP$22),IF(AW249=DP!$AN$23,(DP!$AP$23),IF(AW249=DP!$AN$24,(DP!$AP$24),IF(AW249=DP!$AN$25,(DP!$AP$25),((0*1))))))</f>
        <v>7.0000000000000007E-2</v>
      </c>
      <c r="BY249" s="93">
        <f t="shared" si="265"/>
        <v>5166.5039999999999</v>
      </c>
      <c r="BZ249" s="93">
        <f>IF(AW249=DP!$AN$15,(AY249/DP!$AM$15)*(1+DP!$AQ$15),IF(AW249=DP!$AN$16,(AY249/DP!$AM$16)*(1+DP!$AQ$16),IF(AW249=DP!$AN$17,(AY249/DP!$AM$17)*(1+DP!$AQ$17),IF(AW249=DP!$AN$18,(AY249/DP!$AM$18)*(1+DP!$AQ$18),0*1))))</f>
        <v>6150.5999999999995</v>
      </c>
      <c r="CA249" s="102">
        <f>IF(AW249=DP!$AN$22,(DP!$AQ$22),IF(AW249=DP!$AN$23,(DP!$AQ$23),IF(AW249=DP!$AN$24,(DP!$AQ$24),IF(AW249=DP!$AN$25,(DP!$AQ$25),((0*1))))))</f>
        <v>0.51200000000000045</v>
      </c>
      <c r="CB249" s="93">
        <f t="shared" si="266"/>
        <v>3149.1072000000026</v>
      </c>
      <c r="CC249" s="93">
        <f>IF(AW249=DP!$AN$15,AY249*(1+DP!$AQ$15),IF(AW249=DP!$AN$16,AY249*(1+DP!$AQ$16),IF(AW249=DP!$AN$17,AY249*(1+DP!$AQ$17),IF(AW249=DP!$AN$18,AY249*(1+DP!$AQ$18),0*1))))</f>
        <v>73807.199999999997</v>
      </c>
      <c r="CD249" s="102">
        <f>IF(AW249=DP!$AN$22,(DP!$AR$22),IF(AW249=DP!$AN$23,(DP!$AR$23),IF(AW249=DP!$AN$24,(DP!$AR$24),IF(AW249=DP!$AN$25,(DP!$AR$25),((0*1))))))</f>
        <v>3.3045977011494254E-2</v>
      </c>
      <c r="CE249" s="93">
        <f t="shared" si="267"/>
        <v>2439.0310344827585</v>
      </c>
      <c r="CF249" s="100"/>
      <c r="CG249" s="149">
        <f t="shared" si="247"/>
        <v>11805.945849067097</v>
      </c>
      <c r="CH249" s="149">
        <f>DP!$N$35*BA249</f>
        <v>527.58620689655174</v>
      </c>
      <c r="CI249" s="149">
        <f>DP!$O$35*BA249</f>
        <v>2004.8275862068967</v>
      </c>
      <c r="CJ249" s="149">
        <f>DP!$P$35*BA249</f>
        <v>13586.4</v>
      </c>
    </row>
    <row r="250" spans="2:88" x14ac:dyDescent="0.35">
      <c r="B250" s="480">
        <f>DP!S25</f>
        <v>0</v>
      </c>
      <c r="C250" s="480" t="str">
        <f>DP!T25</f>
        <v>PALMITO RODAJA  A-10</v>
      </c>
      <c r="D250" s="480">
        <f>DP!U25</f>
        <v>2920</v>
      </c>
      <c r="E250" s="480">
        <f>DP!V25</f>
        <v>1825</v>
      </c>
      <c r="F250" s="412">
        <f t="shared" si="248"/>
        <v>0</v>
      </c>
      <c r="G250" s="470">
        <f>DP!AD25</f>
        <v>0</v>
      </c>
      <c r="H250" s="98">
        <f t="shared" si="249"/>
        <v>0</v>
      </c>
      <c r="I250" s="97"/>
      <c r="J250" s="102">
        <f t="shared" si="238"/>
        <v>0</v>
      </c>
      <c r="K250" s="98">
        <f t="shared" si="239"/>
        <v>0</v>
      </c>
      <c r="L250" s="93">
        <f t="shared" si="240"/>
        <v>0</v>
      </c>
      <c r="M250" s="99">
        <f t="shared" si="241"/>
        <v>0</v>
      </c>
      <c r="N250" s="100"/>
      <c r="O250" s="102">
        <f>($E250/DP!$O$29)*F250</f>
        <v>0</v>
      </c>
      <c r="P250" s="102">
        <f>IF(O250&gt;0,(DP!$O$31),0*1)</f>
        <v>0</v>
      </c>
      <c r="Q250" s="102">
        <f t="shared" si="250"/>
        <v>0</v>
      </c>
      <c r="R250" s="102">
        <f t="shared" si="251"/>
        <v>0</v>
      </c>
      <c r="S250" s="418">
        <f t="shared" si="252"/>
        <v>0</v>
      </c>
      <c r="T250" s="475">
        <f>H250*DP!$Y$44</f>
        <v>0</v>
      </c>
      <c r="U250" s="475">
        <f>IF(H250&gt;0,DP!$Z$44,0*1)</f>
        <v>0</v>
      </c>
      <c r="V250" s="475">
        <f t="shared" si="253"/>
        <v>0</v>
      </c>
      <c r="W250" s="475">
        <f>H250*DP!$Y$45</f>
        <v>0</v>
      </c>
      <c r="X250" s="475">
        <f>IF(H250&gt;0,DP!$Z$45,0*1)</f>
        <v>0</v>
      </c>
      <c r="Y250" s="475">
        <f t="shared" si="254"/>
        <v>0</v>
      </c>
      <c r="Z250" s="100"/>
      <c r="AA250" s="93">
        <f>IF(D250=DP!$L$15,F250*(1+DP!$O$15),IF(D250=DP!$L$16,F250*(1+DP!$O$16),IF(D250=DP!$L$17,F250*(1+DP!$O$17),IF(D250=DP!$L$18,F250*(1+DP!$O$18),0*1))))</f>
        <v>0</v>
      </c>
      <c r="AB250" s="102">
        <f>IF(D250=DP!$L$22,(DP!$M$22),IF(D250=DP!$L$23,(DP!$M$23),IF(D250=DP!$L$24,(DP!$M$24),IF(D250=DP!$L$25,(DP!$M$25),((0*1))))))</f>
        <v>0</v>
      </c>
      <c r="AC250" s="93">
        <f t="shared" si="255"/>
        <v>0</v>
      </c>
      <c r="AD250" s="93">
        <f>IF(D250=DP!$L$15,F250*(1+DP!$O$15),IF(D250=DP!$L$16,F250*(1+DP!$O$16),IF(D250=DP!$L$17,F250*(1+DP!$O$17),IF(D250=DP!$L$18,F250*(1+DP!$O$18),0*1))))</f>
        <v>0</v>
      </c>
      <c r="AE250" s="102">
        <f>IF(D250=DP!$L$22,(DP!$N$22),IF(D250=DP!$L$23,(DP!$N$23),IF(D250=DP!$L$24,(DP!$N$24),IF(D250=DP!$L$25,(DP!$N$25),((0*1))))))</f>
        <v>0</v>
      </c>
      <c r="AF250" s="93">
        <f t="shared" si="256"/>
        <v>0</v>
      </c>
      <c r="AG250" s="93">
        <f>IF(D250=DP!$L$15,(F250/DP!$K$15)*(1+DP!$O$15),IF(D250=DP!$L$16,(F250/DP!$K$16)*(1+DP!$O$16),IF(D250=DP!$L$17,(F250/DP!$K$17)*(1+DP!$O$17),IF(D250=DP!$L$18,(F250/DP!$K$18)*(1+DP!$O$18),0*1))))</f>
        <v>0</v>
      </c>
      <c r="AH250" s="102">
        <f>IF(D250=DP!$L$22,(DP!$O$22),IF(D250=DP!$L$23,(DP!$O$23),IF(D250=DP!$L$24,(DP!$O$24),IF(D250=DP!$L$25,(DP!$O$25),((0*1))))))</f>
        <v>0</v>
      </c>
      <c r="AI250" s="93">
        <f t="shared" si="257"/>
        <v>0</v>
      </c>
      <c r="AJ250" s="93">
        <f>IF(D250=DP!$L$15,F250*(1+DP!$O$15),IF(D250=DP!$L$16,F250*(1+DP!$O$16),IF(D250=DP!$L$17,F250*(1+DP!$O$17),IF(D250=DP!$L$18,F250*(1+DP!$O$18),0*1))))</f>
        <v>0</v>
      </c>
      <c r="AK250" s="102">
        <f>IF(D250=DP!$L$22,(DP!$P$22),IF(D250=DP!$L$23,(DP!$P$23),IF(D250=DP!$L$24,(DP!$P$24),IF(D250=DP!$L$25,(DP!$P$25),((0*1))))))</f>
        <v>0</v>
      </c>
      <c r="AL250" s="93">
        <f t="shared" si="258"/>
        <v>0</v>
      </c>
      <c r="AM250" s="100"/>
      <c r="AN250" s="149">
        <f t="shared" si="242"/>
        <v>0</v>
      </c>
      <c r="AO250" s="149">
        <f>DP!$N$35*H250</f>
        <v>0</v>
      </c>
      <c r="AP250" s="149">
        <f>DP!$O$35*H250</f>
        <v>0</v>
      </c>
      <c r="AQ250" s="149">
        <f>DP!$P$35*H250</f>
        <v>0</v>
      </c>
      <c r="AV250" s="489" t="str">
        <f>DP!AV25</f>
        <v>PIÑA TROZO 822</v>
      </c>
      <c r="AW250" s="489">
        <f>DP!AW25</f>
        <v>822</v>
      </c>
      <c r="AX250" s="489">
        <f>DP!AX25</f>
        <v>500</v>
      </c>
      <c r="AY250" s="412">
        <f t="shared" si="259"/>
        <v>36720</v>
      </c>
      <c r="AZ250" s="470">
        <f>DP!BF25</f>
        <v>0.1</v>
      </c>
      <c r="BA250" s="98">
        <f t="shared" si="260"/>
        <v>18360</v>
      </c>
      <c r="BB250" s="97"/>
      <c r="BC250" s="102">
        <f t="shared" si="243"/>
        <v>1.2984286501572693</v>
      </c>
      <c r="BD250" s="98">
        <f t="shared" si="244"/>
        <v>1.1134286501572692</v>
      </c>
      <c r="BE250" s="93">
        <f t="shared" si="245"/>
        <v>47678.300033774925</v>
      </c>
      <c r="BF250" s="99">
        <f t="shared" si="246"/>
        <v>40885.100033774928</v>
      </c>
      <c r="BG250" s="100"/>
      <c r="BH250" s="102">
        <f>IFERROR((BA250*100%)/DP!$AQ$29,(0*1))</f>
        <v>40800</v>
      </c>
      <c r="BI250" s="102">
        <f>IF(BH250&gt;0,(DP!$AQ$31),0*1)</f>
        <v>0.45</v>
      </c>
      <c r="BJ250" s="435">
        <f t="shared" si="261"/>
        <v>18360</v>
      </c>
      <c r="BK250" s="475">
        <f>BA250*DP!$BA$44</f>
        <v>45.9</v>
      </c>
      <c r="BL250" s="475">
        <f>IF(BA250&gt;0,DP!$BB$44,0*1)</f>
        <v>0.95</v>
      </c>
      <c r="BM250" s="475">
        <f t="shared" si="262"/>
        <v>43.604999999999997</v>
      </c>
      <c r="BN250" s="102">
        <f>BA250*DP!$BA$45</f>
        <v>3047.76</v>
      </c>
      <c r="BO250" s="102">
        <f>IF(BA250&gt;0,DP!$BB$45,0*1)</f>
        <v>0.76919999999999999</v>
      </c>
      <c r="BP250" s="475">
        <f t="shared" si="263"/>
        <v>2344.336992</v>
      </c>
      <c r="BQ250" s="100"/>
      <c r="BR250" s="100"/>
      <c r="BS250" s="100"/>
      <c r="BT250" s="93">
        <f>IF(AW250=DP!$AN$15,AY250*(1+DP!$AQ$15),IF(AW250=DP!$AN$16,AY250*(1+DP!$AQ$16),IF(AW250=DP!$AN$17,AY250*(1+DP!$AQ$17),IF(AW250=DP!$AN$18,AY250*(1+DP!$AQ$18),0*1))))</f>
        <v>36903.599999999999</v>
      </c>
      <c r="BU250" s="102">
        <f>IF(AW250=DP!$AN$22,(DP!$AO$22),IF(AW250=DP!$AN$23,(DP!$AO$23),IF(AW250=DP!$AN$24,(DP!$AO$24),IF(AW250=DP!$AN$25,(DP!$AO$25),((0*1))))))</f>
        <v>0.24</v>
      </c>
      <c r="BV250" s="93">
        <f t="shared" si="264"/>
        <v>8856.8639999999996</v>
      </c>
      <c r="BW250" s="93">
        <f>IF(AW250=DP!$AN$15,AY250*(1+DP!$AQ$15),IF(AW250=DP!$AN$16,AY250*(1+DP!$AQ$16),IF(AW250=DP!$AN$17,AY250*(1+DP!$AQ$17),IF(AW250=DP!$AN$18,AY250*(1+DP!$AQ$18),0*1))))</f>
        <v>36903.599999999999</v>
      </c>
      <c r="BX250" s="102">
        <f>IF(AW250=DP!$AN$22,(DP!$AP$22),IF(AW250=DP!$AN$23,(DP!$AP$23),IF(AW250=DP!$AN$24,(DP!$AP$24),IF(AW250=DP!$AN$25,(DP!$AP$25),((0*1))))))</f>
        <v>7.0000000000000007E-2</v>
      </c>
      <c r="BY250" s="93">
        <f t="shared" si="265"/>
        <v>2583.252</v>
      </c>
      <c r="BZ250" s="93">
        <f>IF(AW250=DP!$AN$15,(AY250/DP!$AM$15)*(1+DP!$AQ$15),IF(AW250=DP!$AN$16,(AY250/DP!$AM$16)*(1+DP!$AQ$16),IF(AW250=DP!$AN$17,(AY250/DP!$AM$17)*(1+DP!$AQ$17),IF(AW250=DP!$AN$18,(AY250/DP!$AM$18)*(1+DP!$AQ$18),0*1))))</f>
        <v>3075.2999999999997</v>
      </c>
      <c r="CA250" s="102">
        <f>IF(AW250=DP!$AN$22,(DP!$AQ$22),IF(AW250=DP!$AN$23,(DP!$AQ$23),IF(AW250=DP!$AN$24,(DP!$AQ$24),IF(AW250=DP!$AN$25,(DP!$AQ$25),((0*1))))))</f>
        <v>0.51200000000000045</v>
      </c>
      <c r="CB250" s="93">
        <f t="shared" si="266"/>
        <v>1574.5536000000013</v>
      </c>
      <c r="CC250" s="93">
        <f>IF(AW250=DP!$AN$15,AY250*(1+DP!$AQ$15),IF(AW250=DP!$AN$16,AY250*(1+DP!$AQ$16),IF(AW250=DP!$AN$17,AY250*(1+DP!$AQ$17),IF(AW250=DP!$AN$18,AY250*(1+DP!$AQ$18),0*1))))</f>
        <v>36903.599999999999</v>
      </c>
      <c r="CD250" s="102">
        <f>IF(AW250=DP!$AN$22,(DP!$AR$22),IF(AW250=DP!$AN$23,(DP!$AR$23),IF(AW250=DP!$AN$24,(DP!$AR$24),IF(AW250=DP!$AN$25,(DP!$AR$25),((0*1))))))</f>
        <v>3.3045977011494254E-2</v>
      </c>
      <c r="CE250" s="93">
        <f t="shared" si="267"/>
        <v>1219.5155172413793</v>
      </c>
      <c r="CF250" s="100"/>
      <c r="CG250" s="149">
        <f t="shared" si="247"/>
        <v>5902.9729245335484</v>
      </c>
      <c r="CH250" s="149">
        <f>DP!$N$35*BA250</f>
        <v>263.79310344827587</v>
      </c>
      <c r="CI250" s="149">
        <f>DP!$O$35*BA250</f>
        <v>1002.4137931034484</v>
      </c>
      <c r="CJ250" s="149">
        <f>DP!$P$35*BA250</f>
        <v>6793.2</v>
      </c>
    </row>
    <row r="251" spans="2:88" x14ac:dyDescent="0.35">
      <c r="B251" s="480">
        <f>DP!S26</f>
        <v>0</v>
      </c>
      <c r="C251" s="480">
        <f>DP!T26</f>
        <v>0</v>
      </c>
      <c r="D251" s="480">
        <f>DP!U26</f>
        <v>0</v>
      </c>
      <c r="E251" s="480">
        <f>DP!V26</f>
        <v>0</v>
      </c>
      <c r="F251" s="412">
        <f t="shared" si="248"/>
        <v>0</v>
      </c>
      <c r="G251" s="470">
        <f>DP!AD26</f>
        <v>0</v>
      </c>
      <c r="H251" s="98">
        <f t="shared" si="249"/>
        <v>0</v>
      </c>
      <c r="I251" s="97"/>
      <c r="J251" s="102">
        <f t="shared" si="238"/>
        <v>0</v>
      </c>
      <c r="K251" s="98">
        <f t="shared" si="239"/>
        <v>0</v>
      </c>
      <c r="L251" s="93">
        <f t="shared" si="240"/>
        <v>0</v>
      </c>
      <c r="M251" s="99">
        <f t="shared" si="241"/>
        <v>0</v>
      </c>
      <c r="N251" s="100"/>
      <c r="O251" s="102">
        <f>($E251/DP!$O$29)*F251</f>
        <v>0</v>
      </c>
      <c r="P251" s="102">
        <f>IF(O251&gt;0,(DP!$O$31),0*1)</f>
        <v>0</v>
      </c>
      <c r="Q251" s="102">
        <f t="shared" si="250"/>
        <v>0</v>
      </c>
      <c r="R251" s="102">
        <f t="shared" si="251"/>
        <v>0</v>
      </c>
      <c r="S251" s="418">
        <f t="shared" si="252"/>
        <v>0</v>
      </c>
      <c r="T251" s="475">
        <f>H251*DP!$Y$44</f>
        <v>0</v>
      </c>
      <c r="U251" s="475">
        <f>IF(H251&gt;0,DP!$Z$44,0*1)</f>
        <v>0</v>
      </c>
      <c r="V251" s="475">
        <f t="shared" si="253"/>
        <v>0</v>
      </c>
      <c r="W251" s="475">
        <f>H251*DP!$Y$45</f>
        <v>0</v>
      </c>
      <c r="X251" s="475">
        <f>IF(H251&gt;0,DP!$Z$45,0*1)</f>
        <v>0</v>
      </c>
      <c r="Y251" s="475">
        <f t="shared" si="254"/>
        <v>0</v>
      </c>
      <c r="Z251" s="100"/>
      <c r="AA251" s="93">
        <f>IF(D251=DP!$L$15,F251*(1+DP!$O$15),IF(D251=DP!$L$16,F251*(1+DP!$O$16),IF(D251=DP!$L$17,F251*(1+DP!$O$17),IF(D251=DP!$L$18,F251*(1+DP!$O$18),0*1))))</f>
        <v>0</v>
      </c>
      <c r="AB251" s="102">
        <f>IF(D251=DP!$L$22,(DP!$M$22),IF(D251=DP!$L$23,(DP!$M$23),IF(D251=DP!$L$24,(DP!$M$24),IF(D251=DP!$L$25,(DP!$M$25),((0*1))))))</f>
        <v>0</v>
      </c>
      <c r="AC251" s="93">
        <f t="shared" si="255"/>
        <v>0</v>
      </c>
      <c r="AD251" s="93">
        <f>IF(D251=DP!$L$15,F251*(1+DP!$O$15),IF(D251=DP!$L$16,F251*(1+DP!$O$16),IF(D251=DP!$L$17,F251*(1+DP!$O$17),IF(D251=DP!$L$18,F251*(1+DP!$O$18),0*1))))</f>
        <v>0</v>
      </c>
      <c r="AE251" s="102">
        <f>IF(D251=DP!$L$22,(DP!$N$22),IF(D251=DP!$L$23,(DP!$N$23),IF(D251=DP!$L$24,(DP!$N$24),IF(D251=DP!$L$25,(DP!$N$25),((0*1))))))</f>
        <v>0</v>
      </c>
      <c r="AF251" s="93">
        <f t="shared" si="256"/>
        <v>0</v>
      </c>
      <c r="AG251" s="93">
        <f>IF(D251=DP!$L$15,(F251/DP!$K$15)*(1+DP!$O$15),IF(D251=DP!$L$16,(F251/DP!$K$16)*(1+DP!$O$16),IF(D251=DP!$L$17,(F251/DP!$K$17)*(1+DP!$O$17),IF(D251=DP!$L$18,(F251/DP!$K$18)*(1+DP!$O$18),0*1))))</f>
        <v>0</v>
      </c>
      <c r="AH251" s="102">
        <f>IF(D251=DP!$L$22,(DP!$O$22),IF(D251=DP!$L$23,(DP!$O$23),IF(D251=DP!$L$24,(DP!$O$24),IF(D251=DP!$L$25,(DP!$O$25),((0*1))))))</f>
        <v>0</v>
      </c>
      <c r="AI251" s="93">
        <f t="shared" si="257"/>
        <v>0</v>
      </c>
      <c r="AJ251" s="93">
        <f>IF(D251=DP!$L$15,F251*(1+DP!$O$15),IF(D251=DP!$L$16,F251*(1+DP!$O$16),IF(D251=DP!$L$17,F251*(1+DP!$O$17),IF(D251=DP!$L$18,F251*(1+DP!$O$18),0*1))))</f>
        <v>0</v>
      </c>
      <c r="AK251" s="102">
        <f>IF(D251=DP!$L$22,(DP!$P$22),IF(D251=DP!$L$23,(DP!$P$23),IF(D251=DP!$L$24,(DP!$P$24),IF(D251=DP!$L$25,(DP!$P$25),((0*1))))))</f>
        <v>0</v>
      </c>
      <c r="AL251" s="93">
        <f t="shared" si="258"/>
        <v>0</v>
      </c>
      <c r="AM251" s="100"/>
      <c r="AN251" s="149">
        <f t="shared" si="242"/>
        <v>0</v>
      </c>
      <c r="AO251" s="149">
        <f>DP!$N$35*H251</f>
        <v>0</v>
      </c>
      <c r="AP251" s="149">
        <f>DP!$O$35*H251</f>
        <v>0</v>
      </c>
      <c r="AQ251" s="149">
        <f>DP!$P$35*H251</f>
        <v>0</v>
      </c>
      <c r="AV251" s="489">
        <f>DP!AV26</f>
        <v>0</v>
      </c>
      <c r="AW251" s="489">
        <f>DP!AW26</f>
        <v>0</v>
      </c>
      <c r="AX251" s="489">
        <f>DP!AX26</f>
        <v>0</v>
      </c>
      <c r="AY251" s="412">
        <f t="shared" si="259"/>
        <v>0</v>
      </c>
      <c r="AZ251" s="470">
        <f>DP!BF26</f>
        <v>0</v>
      </c>
      <c r="BA251" s="98">
        <f t="shared" si="260"/>
        <v>0</v>
      </c>
      <c r="BB251" s="97"/>
      <c r="BC251" s="102">
        <f t="shared" si="243"/>
        <v>0</v>
      </c>
      <c r="BD251" s="98">
        <f t="shared" si="244"/>
        <v>0</v>
      </c>
      <c r="BE251" s="93">
        <f t="shared" si="245"/>
        <v>0</v>
      </c>
      <c r="BF251" s="99">
        <f t="shared" si="246"/>
        <v>0</v>
      </c>
      <c r="BG251" s="100"/>
      <c r="BH251" s="102">
        <f>IFERROR((BA251*100%)/DP!$AQ$29,(0*1))</f>
        <v>0</v>
      </c>
      <c r="BI251" s="102">
        <f>IF(BH251&gt;0,(DP!$AQ$31),0*1)</f>
        <v>0</v>
      </c>
      <c r="BJ251" s="435">
        <f t="shared" si="261"/>
        <v>0</v>
      </c>
      <c r="BK251" s="475">
        <f>BA251*DP!$BA$44</f>
        <v>0</v>
      </c>
      <c r="BL251" s="475">
        <f>IF(BA251&gt;0,DP!$BB$44,0*1)</f>
        <v>0</v>
      </c>
      <c r="BM251" s="475">
        <f t="shared" si="262"/>
        <v>0</v>
      </c>
      <c r="BN251" s="102">
        <f>BA251*DP!$BA$45</f>
        <v>0</v>
      </c>
      <c r="BO251" s="102">
        <f>IF(BA251&gt;0,DP!$BB$45,0*1)</f>
        <v>0</v>
      </c>
      <c r="BP251" s="475">
        <f t="shared" si="263"/>
        <v>0</v>
      </c>
      <c r="BQ251" s="100"/>
      <c r="BR251" s="100"/>
      <c r="BS251" s="100"/>
      <c r="BT251" s="93">
        <f>IF(AW251=DP!$AN$15,AY251*(1+DP!$AQ$15),IF(AW251=DP!$AN$16,AY251*(1+DP!$AQ$16),IF(AW251=DP!$AN$17,AY251*(1+DP!$AQ$17),IF(AW251=DP!$AN$18,AY251*(1+DP!$AQ$18),0*1))))</f>
        <v>0</v>
      </c>
      <c r="BU251" s="102">
        <f>IF(AW251=DP!$AN$22,(DP!$AO$22),IF(AW251=DP!$AN$23,(DP!$AO$23),IF(AW251=DP!$AN$24,(DP!$AO$24),IF(AW251=DP!$AN$25,(DP!$AO$25),((0*1))))))</f>
        <v>0</v>
      </c>
      <c r="BV251" s="93">
        <f t="shared" si="264"/>
        <v>0</v>
      </c>
      <c r="BW251" s="93">
        <f>IF(AW251=DP!$AN$15,AY251*(1+DP!$AQ$15),IF(AW251=DP!$AN$16,AY251*(1+DP!$AQ$16),IF(AW251=DP!$AN$17,AY251*(1+DP!$AQ$17),IF(AW251=DP!$AN$18,AY251*(1+DP!$AQ$18),0*1))))</f>
        <v>0</v>
      </c>
      <c r="BX251" s="102">
        <f>IF(AW251=DP!$AN$22,(DP!$AP$22),IF(AW251=DP!$AN$23,(DP!$AP$23),IF(AW251=DP!$AN$24,(DP!$AP$24),IF(AW251=DP!$AN$25,(DP!$AP$25),((0*1))))))</f>
        <v>0</v>
      </c>
      <c r="BY251" s="93">
        <f t="shared" si="265"/>
        <v>0</v>
      </c>
      <c r="BZ251" s="93">
        <f>IF(AW251=DP!$AN$15,(AY251/DP!$AM$15)*(1+DP!$AQ$15),IF(AW251=DP!$AN$16,(AY251/DP!$AM$16)*(1+DP!$AQ$16),IF(AW251=DP!$AN$17,(AY251/DP!$AM$17)*(1+DP!$AQ$17),IF(AW251=DP!$AN$18,(AY251/DP!$AM$18)*(1+DP!$AQ$18),0*1))))</f>
        <v>0</v>
      </c>
      <c r="CA251" s="102">
        <f>IF(AW251=DP!$AN$22,(DP!$AQ$22),IF(AW251=DP!$AN$23,(DP!$AQ$23),IF(AW251=DP!$AN$24,(DP!$AQ$24),IF(AW251=DP!$AN$25,(DP!$AQ$25),((0*1))))))</f>
        <v>0</v>
      </c>
      <c r="CB251" s="93">
        <f t="shared" si="266"/>
        <v>0</v>
      </c>
      <c r="CC251" s="93">
        <f>IF(AW251=DP!$AN$15,AY251*(1+DP!$AQ$15),IF(AW251=DP!$AN$16,AY251*(1+DP!$AQ$16),IF(AW251=DP!$AN$17,AY251*(1+DP!$AQ$17),IF(AW251=DP!$AN$18,AY251*(1+DP!$AQ$18),0*1))))</f>
        <v>0</v>
      </c>
      <c r="CD251" s="102">
        <f>IF(AW251=DP!$AN$22,(DP!$AR$22),IF(AW251=DP!$AN$23,(DP!$AR$23),IF(AW251=DP!$AN$24,(DP!$AR$24),IF(AW251=DP!$AN$25,(DP!$AR$25),((0*1))))))</f>
        <v>0</v>
      </c>
      <c r="CE251" s="93">
        <f t="shared" si="267"/>
        <v>0</v>
      </c>
      <c r="CF251" s="100"/>
      <c r="CG251" s="149">
        <f t="shared" si="247"/>
        <v>0</v>
      </c>
      <c r="CH251" s="149">
        <f>DP!$N$35*BA251</f>
        <v>0</v>
      </c>
      <c r="CI251" s="149">
        <f>DP!$O$35*BA251</f>
        <v>0</v>
      </c>
      <c r="CJ251" s="149">
        <f>DP!$P$35*BA251</f>
        <v>0</v>
      </c>
    </row>
    <row r="252" spans="2:88" x14ac:dyDescent="0.35">
      <c r="B252" s="480">
        <f>DP!S27</f>
        <v>0</v>
      </c>
      <c r="C252" s="480">
        <f>DP!T27</f>
        <v>0</v>
      </c>
      <c r="D252" s="480">
        <f>DP!U27</f>
        <v>0</v>
      </c>
      <c r="E252" s="480">
        <f>DP!V27</f>
        <v>0</v>
      </c>
      <c r="F252" s="412">
        <f t="shared" si="248"/>
        <v>0</v>
      </c>
      <c r="G252" s="470">
        <f>DP!AD27</f>
        <v>0</v>
      </c>
      <c r="H252" s="98">
        <f t="shared" si="249"/>
        <v>0</v>
      </c>
      <c r="I252" s="97"/>
      <c r="J252" s="102">
        <f t="shared" si="238"/>
        <v>0</v>
      </c>
      <c r="K252" s="98">
        <f t="shared" si="239"/>
        <v>0</v>
      </c>
      <c r="L252" s="93">
        <f t="shared" si="240"/>
        <v>0</v>
      </c>
      <c r="M252" s="99">
        <f t="shared" si="241"/>
        <v>0</v>
      </c>
      <c r="N252" s="100"/>
      <c r="O252" s="102">
        <f>($E252/DP!$O$29)*F252</f>
        <v>0</v>
      </c>
      <c r="P252" s="102">
        <f>IF(O252&gt;0,(DP!$O$31),0*1)</f>
        <v>0</v>
      </c>
      <c r="Q252" s="102">
        <f t="shared" si="250"/>
        <v>0</v>
      </c>
      <c r="R252" s="102">
        <f t="shared" si="251"/>
        <v>0</v>
      </c>
      <c r="S252" s="418">
        <f t="shared" si="252"/>
        <v>0</v>
      </c>
      <c r="T252" s="475">
        <f>H252*DP!$Y$44</f>
        <v>0</v>
      </c>
      <c r="U252" s="475">
        <f>IF(H252&gt;0,DP!$Z$44,0*1)</f>
        <v>0</v>
      </c>
      <c r="V252" s="475">
        <f t="shared" si="253"/>
        <v>0</v>
      </c>
      <c r="W252" s="475">
        <f>H252*DP!$Y$45</f>
        <v>0</v>
      </c>
      <c r="X252" s="475">
        <f>IF(H252&gt;0,DP!$Z$45,0*1)</f>
        <v>0</v>
      </c>
      <c r="Y252" s="475">
        <f t="shared" si="254"/>
        <v>0</v>
      </c>
      <c r="Z252" s="100"/>
      <c r="AA252" s="93">
        <f>IF(D252=DP!$L$15,F252*(1+DP!$O$15),IF(D252=DP!$L$16,F252*(1+DP!$O$16),IF(D252=DP!$L$17,F252*(1+DP!$O$17),IF(D252=DP!$L$18,F252*(1+DP!$O$18),0*1))))</f>
        <v>0</v>
      </c>
      <c r="AB252" s="102">
        <f>IF(D252=DP!$L$22,(DP!$M$22),IF(D252=DP!$L$23,(DP!$M$23),IF(D252=DP!$L$24,(DP!$M$24),IF(D252=DP!$L$25,(DP!$M$25),((0*1))))))</f>
        <v>0</v>
      </c>
      <c r="AC252" s="93">
        <f t="shared" si="255"/>
        <v>0</v>
      </c>
      <c r="AD252" s="93">
        <f>IF(D252=DP!$L$15,F252*(1+DP!$O$15),IF(D252=DP!$L$16,F252*(1+DP!$O$16),IF(D252=DP!$L$17,F252*(1+DP!$O$17),IF(D252=DP!$L$18,F252*(1+DP!$O$18),0*1))))</f>
        <v>0</v>
      </c>
      <c r="AE252" s="102">
        <f>IF(D252=DP!$L$22,(DP!$N$22),IF(D252=DP!$L$23,(DP!$N$23),IF(D252=DP!$L$24,(DP!$N$24),IF(D252=DP!$L$25,(DP!$N$25),((0*1))))))</f>
        <v>0</v>
      </c>
      <c r="AF252" s="93">
        <f t="shared" si="256"/>
        <v>0</v>
      </c>
      <c r="AG252" s="93">
        <f>IF(D252=DP!$L$15,(F252/DP!$K$15)*(1+DP!$O$15),IF(D252=DP!$L$16,(F252/DP!$K$16)*(1+DP!$O$16),IF(D252=DP!$L$17,(F252/DP!$K$17)*(1+DP!$O$17),IF(D252=DP!$L$18,(F252/DP!$K$18)*(1+DP!$O$18),0*1))))</f>
        <v>0</v>
      </c>
      <c r="AH252" s="102">
        <f>IF(D252=DP!$L$22,(DP!$O$22),IF(D252=DP!$L$23,(DP!$O$23),IF(D252=DP!$L$24,(DP!$O$24),IF(D252=DP!$L$25,(DP!$O$25),((0*1))))))</f>
        <v>0</v>
      </c>
      <c r="AI252" s="93">
        <f t="shared" si="257"/>
        <v>0</v>
      </c>
      <c r="AJ252" s="93">
        <f>IF(D252=DP!$L$15,F252*(1+DP!$O$15),IF(D252=DP!$L$16,F252*(1+DP!$O$16),IF(D252=DP!$L$17,F252*(1+DP!$O$17),IF(D252=DP!$L$18,F252*(1+DP!$O$18),0*1))))</f>
        <v>0</v>
      </c>
      <c r="AK252" s="102">
        <f>IF(D252=DP!$L$22,(DP!$P$22),IF(D252=DP!$L$23,(DP!$P$23),IF(D252=DP!$L$24,(DP!$P$24),IF(D252=DP!$L$25,(DP!$P$25),((0*1))))))</f>
        <v>0</v>
      </c>
      <c r="AL252" s="93">
        <f t="shared" si="258"/>
        <v>0</v>
      </c>
      <c r="AM252" s="100"/>
      <c r="AN252" s="149">
        <f t="shared" si="242"/>
        <v>0</v>
      </c>
      <c r="AO252" s="149">
        <f>DP!$N$35*H252</f>
        <v>0</v>
      </c>
      <c r="AP252" s="149">
        <f>DP!$O$35*H252</f>
        <v>0</v>
      </c>
      <c r="AQ252" s="149">
        <f>DP!$P$35*H252</f>
        <v>0</v>
      </c>
      <c r="AV252" s="489">
        <f>DP!AV27</f>
        <v>0</v>
      </c>
      <c r="AW252" s="489">
        <f>DP!AW27</f>
        <v>0</v>
      </c>
      <c r="AX252" s="489">
        <f>DP!AX27</f>
        <v>0</v>
      </c>
      <c r="AY252" s="412">
        <f t="shared" si="259"/>
        <v>0</v>
      </c>
      <c r="AZ252" s="470">
        <f>DP!BF27</f>
        <v>0</v>
      </c>
      <c r="BA252" s="98">
        <f t="shared" si="260"/>
        <v>0</v>
      </c>
      <c r="BB252" s="97"/>
      <c r="BC252" s="102">
        <f t="shared" si="243"/>
        <v>0</v>
      </c>
      <c r="BD252" s="98">
        <f t="shared" si="244"/>
        <v>0</v>
      </c>
      <c r="BE252" s="93">
        <f t="shared" si="245"/>
        <v>0</v>
      </c>
      <c r="BF252" s="99">
        <f t="shared" si="246"/>
        <v>0</v>
      </c>
      <c r="BG252" s="100"/>
      <c r="BH252" s="102">
        <f>IFERROR((BA252*100%)/DP!$AQ$29,(0*1))</f>
        <v>0</v>
      </c>
      <c r="BI252" s="102">
        <f>IF(BH252&gt;0,(DP!$AQ$31),0*1)</f>
        <v>0</v>
      </c>
      <c r="BJ252" s="435">
        <f t="shared" si="261"/>
        <v>0</v>
      </c>
      <c r="BK252" s="475">
        <f>BA252*DP!$BA$44</f>
        <v>0</v>
      </c>
      <c r="BL252" s="475">
        <f>IF(BA252&gt;0,DP!$BB$44,0*1)</f>
        <v>0</v>
      </c>
      <c r="BM252" s="475">
        <f t="shared" si="262"/>
        <v>0</v>
      </c>
      <c r="BN252" s="102">
        <f>BA252*DP!$BA$45</f>
        <v>0</v>
      </c>
      <c r="BO252" s="102">
        <f>IF(BA252&gt;0,DP!$BB$45,0*1)</f>
        <v>0</v>
      </c>
      <c r="BP252" s="475">
        <f t="shared" si="263"/>
        <v>0</v>
      </c>
      <c r="BQ252" s="100"/>
      <c r="BR252" s="100"/>
      <c r="BS252" s="100"/>
      <c r="BT252" s="93">
        <f>IF(AW252=DP!$AN$15,AY252*(1+DP!$AQ$15),IF(AW252=DP!$AN$16,AY252*(1+DP!$AQ$16),IF(AW252=DP!$AN$17,AY252*(1+DP!$AQ$17),IF(AW252=DP!$AN$18,AY252*(1+DP!$AQ$18),0*1))))</f>
        <v>0</v>
      </c>
      <c r="BU252" s="102">
        <f>IF(AW252=DP!$AN$22,(DP!$AO$22),IF(AW252=DP!$AN$23,(DP!$AO$23),IF(AW252=DP!$AN$24,(DP!$AO$24),IF(AW252=DP!$AN$25,(DP!$AO$25),((0*1))))))</f>
        <v>0</v>
      </c>
      <c r="BV252" s="93">
        <f t="shared" si="264"/>
        <v>0</v>
      </c>
      <c r="BW252" s="93">
        <f>IF(AW252=DP!$AN$15,AY252*(1+DP!$AQ$15),IF(AW252=DP!$AN$16,AY252*(1+DP!$AQ$16),IF(AW252=DP!$AN$17,AY252*(1+DP!$AQ$17),IF(AW252=DP!$AN$18,AY252*(1+DP!$AQ$18),0*1))))</f>
        <v>0</v>
      </c>
      <c r="BX252" s="102">
        <f>IF(AW252=DP!$AN$22,(DP!$AP$22),IF(AW252=DP!$AN$23,(DP!$AP$23),IF(AW252=DP!$AN$24,(DP!$AP$24),IF(AW252=DP!$AN$25,(DP!$AP$25),((0*1))))))</f>
        <v>0</v>
      </c>
      <c r="BY252" s="93">
        <f t="shared" si="265"/>
        <v>0</v>
      </c>
      <c r="BZ252" s="93">
        <f>IF(AW252=DP!$AN$15,(AY252/DP!$AM$15)*(1+DP!$AQ$15),IF(AW252=DP!$AN$16,(AY252/DP!$AM$16)*(1+DP!$AQ$16),IF(AW252=DP!$AN$17,(AY252/DP!$AM$17)*(1+DP!$AQ$17),IF(AW252=DP!$AN$18,(AY252/DP!$AM$18)*(1+DP!$AQ$18),0*1))))</f>
        <v>0</v>
      </c>
      <c r="CA252" s="102">
        <f>IF(AW252=DP!$AN$22,(DP!$AQ$22),IF(AW252=DP!$AN$23,(DP!$AQ$23),IF(AW252=DP!$AN$24,(DP!$AQ$24),IF(AW252=DP!$AN$25,(DP!$AQ$25),((0*1))))))</f>
        <v>0</v>
      </c>
      <c r="CB252" s="93">
        <f t="shared" si="266"/>
        <v>0</v>
      </c>
      <c r="CC252" s="93">
        <f>IF(AW252=DP!$AN$15,AY252*(1+DP!$AQ$15),IF(AW252=DP!$AN$16,AY252*(1+DP!$AQ$16),IF(AW252=DP!$AN$17,AY252*(1+DP!$AQ$17),IF(AW252=DP!$AN$18,AY252*(1+DP!$AQ$18),0*1))))</f>
        <v>0</v>
      </c>
      <c r="CD252" s="102">
        <f>IF(AW252=DP!$AN$22,(DP!$AR$22),IF(AW252=DP!$AN$23,(DP!$AR$23),IF(AW252=DP!$AN$24,(DP!$AR$24),IF(AW252=DP!$AN$25,(DP!$AR$25),((0*1))))))</f>
        <v>0</v>
      </c>
      <c r="CE252" s="93">
        <f t="shared" si="267"/>
        <v>0</v>
      </c>
      <c r="CF252" s="100"/>
      <c r="CG252" s="149">
        <f t="shared" si="247"/>
        <v>0</v>
      </c>
      <c r="CH252" s="149">
        <f>DP!$N$35*BA252</f>
        <v>0</v>
      </c>
      <c r="CI252" s="149">
        <f>DP!$O$35*BA252</f>
        <v>0</v>
      </c>
      <c r="CJ252" s="149">
        <f>DP!$P$35*BA252</f>
        <v>0</v>
      </c>
    </row>
    <row r="253" spans="2:88" x14ac:dyDescent="0.35">
      <c r="B253" s="480">
        <f>DP!S28</f>
        <v>0</v>
      </c>
      <c r="C253" s="480">
        <f>DP!T28</f>
        <v>0</v>
      </c>
      <c r="D253" s="480">
        <f>DP!U28</f>
        <v>0</v>
      </c>
      <c r="E253" s="480">
        <f>DP!V28</f>
        <v>0</v>
      </c>
      <c r="F253" s="412">
        <f t="shared" si="248"/>
        <v>0</v>
      </c>
      <c r="G253" s="470">
        <f>DP!AD28</f>
        <v>0</v>
      </c>
      <c r="H253" s="98">
        <f t="shared" si="249"/>
        <v>0</v>
      </c>
      <c r="I253" s="97"/>
      <c r="J253" s="102">
        <f t="shared" si="238"/>
        <v>0</v>
      </c>
      <c r="K253" s="98">
        <f t="shared" si="239"/>
        <v>0</v>
      </c>
      <c r="L253" s="93">
        <f t="shared" si="240"/>
        <v>0</v>
      </c>
      <c r="M253" s="99">
        <f t="shared" si="241"/>
        <v>0</v>
      </c>
      <c r="N253" s="100"/>
      <c r="O253" s="102">
        <f>($E253/DP!$O$29)*F253</f>
        <v>0</v>
      </c>
      <c r="P253" s="102">
        <f>IF(O253&gt;0,(DP!$O$31),0*1)</f>
        <v>0</v>
      </c>
      <c r="Q253" s="102">
        <f t="shared" si="250"/>
        <v>0</v>
      </c>
      <c r="R253" s="102">
        <f t="shared" si="251"/>
        <v>0</v>
      </c>
      <c r="S253" s="418">
        <f t="shared" si="252"/>
        <v>0</v>
      </c>
      <c r="T253" s="475">
        <f>H253*DP!$Y$44</f>
        <v>0</v>
      </c>
      <c r="U253" s="475">
        <f>IF(H253&gt;0,DP!$Z$44,0*1)</f>
        <v>0</v>
      </c>
      <c r="V253" s="475">
        <f t="shared" si="253"/>
        <v>0</v>
      </c>
      <c r="W253" s="475">
        <f>H253*DP!$Y$45</f>
        <v>0</v>
      </c>
      <c r="X253" s="475">
        <f>IF(H253&gt;0,DP!$Z$45,0*1)</f>
        <v>0</v>
      </c>
      <c r="Y253" s="475">
        <f t="shared" si="254"/>
        <v>0</v>
      </c>
      <c r="Z253" s="100"/>
      <c r="AA253" s="93">
        <f>IF(D253=DP!$L$15,F253*(1+DP!$O$15),IF(D253=DP!$L$16,F253*(1+DP!$O$16),IF(D253=DP!$L$17,F253*(1+DP!$O$17),IF(D253=DP!$L$18,F253*(1+DP!$O$18),0*1))))</f>
        <v>0</v>
      </c>
      <c r="AB253" s="102">
        <f>IF(D253=DP!$L$22,(DP!$M$22),IF(D253=DP!$L$23,(DP!$M$23),IF(D253=DP!$L$24,(DP!$M$24),IF(D253=DP!$L$25,(DP!$M$25),((0*1))))))</f>
        <v>0</v>
      </c>
      <c r="AC253" s="93">
        <f t="shared" si="255"/>
        <v>0</v>
      </c>
      <c r="AD253" s="93">
        <f>IF(D253=DP!$L$15,F253*(1+DP!$O$15),IF(D253=DP!$L$16,F253*(1+DP!$O$16),IF(D253=DP!$L$17,F253*(1+DP!$O$17),IF(D253=DP!$L$18,F253*(1+DP!$O$18),0*1))))</f>
        <v>0</v>
      </c>
      <c r="AE253" s="102">
        <f>IF(D253=DP!$L$22,(DP!$N$22),IF(D253=DP!$L$23,(DP!$N$23),IF(D253=DP!$L$24,(DP!$N$24),IF(D253=DP!$L$25,(DP!$N$25),((0*1))))))</f>
        <v>0</v>
      </c>
      <c r="AF253" s="93">
        <f t="shared" si="256"/>
        <v>0</v>
      </c>
      <c r="AG253" s="93">
        <f>IF(D253=DP!$L$15,(F253/DP!$K$15)*(1+DP!$O$15),IF(D253=DP!$L$16,(F253/DP!$K$16)*(1+DP!$O$16),IF(D253=DP!$L$17,(F253/DP!$K$17)*(1+DP!$O$17),IF(D253=DP!$L$18,(F253/DP!$K$18)*(1+DP!$O$18),0*1))))</f>
        <v>0</v>
      </c>
      <c r="AH253" s="102">
        <f>IF(D253=DP!$L$22,(DP!$O$22),IF(D253=DP!$L$23,(DP!$O$23),IF(D253=DP!$L$24,(DP!$O$24),IF(D253=DP!$L$25,(DP!$O$25),((0*1))))))</f>
        <v>0</v>
      </c>
      <c r="AI253" s="93">
        <f t="shared" si="257"/>
        <v>0</v>
      </c>
      <c r="AJ253" s="93">
        <f>IF(D253=DP!$L$15,F253*(1+DP!$O$15),IF(D253=DP!$L$16,F253*(1+DP!$O$16),IF(D253=DP!$L$17,F253*(1+DP!$O$17),IF(D253=DP!$L$18,F253*(1+DP!$O$18),0*1))))</f>
        <v>0</v>
      </c>
      <c r="AK253" s="102">
        <f>IF(D253=DP!$L$22,(DP!$P$22),IF(D253=DP!$L$23,(DP!$P$23),IF(D253=DP!$L$24,(DP!$P$24),IF(D253=DP!$L$25,(DP!$P$25),((0*1))))))</f>
        <v>0</v>
      </c>
      <c r="AL253" s="93">
        <f t="shared" si="258"/>
        <v>0</v>
      </c>
      <c r="AM253" s="100"/>
      <c r="AN253" s="149">
        <f t="shared" si="242"/>
        <v>0</v>
      </c>
      <c r="AO253" s="149">
        <f>DP!$N$35*H253</f>
        <v>0</v>
      </c>
      <c r="AP253" s="149">
        <f>DP!$O$35*H253</f>
        <v>0</v>
      </c>
      <c r="AQ253" s="149">
        <f>DP!$P$35*H253</f>
        <v>0</v>
      </c>
      <c r="AV253" s="489">
        <f>DP!AV28</f>
        <v>0</v>
      </c>
      <c r="AW253" s="489">
        <f>DP!AW28</f>
        <v>0</v>
      </c>
      <c r="AX253" s="489">
        <f>DP!AX28</f>
        <v>0</v>
      </c>
      <c r="AY253" s="412">
        <f t="shared" si="259"/>
        <v>0</v>
      </c>
      <c r="AZ253" s="470">
        <f>DP!BF28</f>
        <v>0</v>
      </c>
      <c r="BA253" s="98">
        <f t="shared" si="260"/>
        <v>0</v>
      </c>
      <c r="BB253" s="97"/>
      <c r="BC253" s="102">
        <f t="shared" si="243"/>
        <v>0</v>
      </c>
      <c r="BD253" s="98">
        <f t="shared" si="244"/>
        <v>0</v>
      </c>
      <c r="BE253" s="93">
        <f t="shared" si="245"/>
        <v>0</v>
      </c>
      <c r="BF253" s="99">
        <f t="shared" si="246"/>
        <v>0</v>
      </c>
      <c r="BG253" s="100"/>
      <c r="BH253" s="102">
        <f>IFERROR((BA253*100%)/DP!$AQ$29,(0*1))</f>
        <v>0</v>
      </c>
      <c r="BI253" s="102">
        <f>IF(BH253&gt;0,(DP!$AQ$31),0*1)</f>
        <v>0</v>
      </c>
      <c r="BJ253" s="435">
        <f t="shared" si="261"/>
        <v>0</v>
      </c>
      <c r="BK253" s="475">
        <f>BA253*DP!$BA$44</f>
        <v>0</v>
      </c>
      <c r="BL253" s="475">
        <f>IF(BA253&gt;0,DP!$BB$44,0*1)</f>
        <v>0</v>
      </c>
      <c r="BM253" s="475">
        <f t="shared" si="262"/>
        <v>0</v>
      </c>
      <c r="BN253" s="102">
        <f>BA253*DP!$BA$45</f>
        <v>0</v>
      </c>
      <c r="BO253" s="102">
        <f>IF(BA253&gt;0,DP!$BB$45,0*1)</f>
        <v>0</v>
      </c>
      <c r="BP253" s="475">
        <f t="shared" si="263"/>
        <v>0</v>
      </c>
      <c r="BQ253" s="100"/>
      <c r="BR253" s="100"/>
      <c r="BS253" s="100"/>
      <c r="BT253" s="93">
        <f>IF(AW253=DP!$AN$15,AY253*(1+DP!$AQ$15),IF(AW253=DP!$AN$16,AY253*(1+DP!$AQ$16),IF(AW253=DP!$AN$17,AY253*(1+DP!$AQ$17),IF(AW253=DP!$AN$18,AY253*(1+DP!$AQ$18),0*1))))</f>
        <v>0</v>
      </c>
      <c r="BU253" s="102">
        <f>IF(AW253=DP!$AN$22,(DP!$AO$22),IF(AW253=DP!$AN$23,(DP!$AO$23),IF(AW253=DP!$AN$24,(DP!$AO$24),IF(AW253=DP!$AN$25,(DP!$AO$25),((0*1))))))</f>
        <v>0</v>
      </c>
      <c r="BV253" s="93">
        <f t="shared" si="264"/>
        <v>0</v>
      </c>
      <c r="BW253" s="93">
        <f>IF(AW253=DP!$AN$15,AY253*(1+DP!$AQ$15),IF(AW253=DP!$AN$16,AY253*(1+DP!$AQ$16),IF(AW253=DP!$AN$17,AY253*(1+DP!$AQ$17),IF(AW253=DP!$AN$18,AY253*(1+DP!$AQ$18),0*1))))</f>
        <v>0</v>
      </c>
      <c r="BX253" s="102">
        <f>IF(AW253=DP!$AN$22,(DP!$AP$22),IF(AW253=DP!$AN$23,(DP!$AP$23),IF(AW253=DP!$AN$24,(DP!$AP$24),IF(AW253=DP!$AN$25,(DP!$AP$25),((0*1))))))</f>
        <v>0</v>
      </c>
      <c r="BY253" s="93">
        <f t="shared" si="265"/>
        <v>0</v>
      </c>
      <c r="BZ253" s="93">
        <f>IF(AW253=DP!$AN$15,(AY253/DP!$AM$15)*(1+DP!$AQ$15),IF(AW253=DP!$AN$16,(AY253/DP!$AM$16)*(1+DP!$AQ$16),IF(AW253=DP!$AN$17,(AY253/DP!$AM$17)*(1+DP!$AQ$17),IF(AW253=DP!$AN$18,(AY253/DP!$AM$18)*(1+DP!$AQ$18),0*1))))</f>
        <v>0</v>
      </c>
      <c r="CA253" s="102">
        <f>IF(AW253=DP!$AN$22,(DP!$AQ$22),IF(AW253=DP!$AN$23,(DP!$AQ$23),IF(AW253=DP!$AN$24,(DP!$AQ$24),IF(AW253=DP!$AN$25,(DP!$AQ$25),((0*1))))))</f>
        <v>0</v>
      </c>
      <c r="CB253" s="93">
        <f t="shared" si="266"/>
        <v>0</v>
      </c>
      <c r="CC253" s="93">
        <f>IF(AW253=DP!$AN$15,AY253*(1+DP!$AQ$15),IF(AW253=DP!$AN$16,AY253*(1+DP!$AQ$16),IF(AW253=DP!$AN$17,AY253*(1+DP!$AQ$17),IF(AW253=DP!$AN$18,AY253*(1+DP!$AQ$18),0*1))))</f>
        <v>0</v>
      </c>
      <c r="CD253" s="102">
        <f>IF(AW253=DP!$AN$22,(DP!$AR$22),IF(AW253=DP!$AN$23,(DP!$AR$23),IF(AW253=DP!$AN$24,(DP!$AR$24),IF(AW253=DP!$AN$25,(DP!$AR$25),((0*1))))))</f>
        <v>0</v>
      </c>
      <c r="CE253" s="93">
        <f t="shared" si="267"/>
        <v>0</v>
      </c>
      <c r="CF253" s="100"/>
      <c r="CG253" s="149">
        <f t="shared" si="247"/>
        <v>0</v>
      </c>
      <c r="CH253" s="149">
        <f>DP!$N$35*BA253</f>
        <v>0</v>
      </c>
      <c r="CI253" s="149">
        <f>DP!$O$35*BA253</f>
        <v>0</v>
      </c>
      <c r="CJ253" s="149">
        <f>DP!$P$35*BA253</f>
        <v>0</v>
      </c>
    </row>
    <row r="254" spans="2:88" x14ac:dyDescent="0.35">
      <c r="B254" s="480">
        <f>DP!S29</f>
        <v>0</v>
      </c>
      <c r="C254" s="480">
        <f>DP!T29</f>
        <v>0</v>
      </c>
      <c r="D254" s="480">
        <f>DP!U29</f>
        <v>0</v>
      </c>
      <c r="E254" s="480">
        <f>DP!V29</f>
        <v>0</v>
      </c>
      <c r="F254" s="412">
        <f t="shared" si="248"/>
        <v>0</v>
      </c>
      <c r="G254" s="470">
        <f>DP!AD29</f>
        <v>0</v>
      </c>
      <c r="H254" s="98">
        <f t="shared" si="249"/>
        <v>0</v>
      </c>
      <c r="I254" s="97"/>
      <c r="J254" s="102">
        <f t="shared" si="238"/>
        <v>0</v>
      </c>
      <c r="K254" s="98">
        <f t="shared" si="239"/>
        <v>0</v>
      </c>
      <c r="L254" s="93">
        <f t="shared" si="240"/>
        <v>0</v>
      </c>
      <c r="M254" s="99">
        <f t="shared" si="241"/>
        <v>0</v>
      </c>
      <c r="N254" s="100"/>
      <c r="O254" s="102">
        <f>($E254/DP!$O$29)*F254</f>
        <v>0</v>
      </c>
      <c r="P254" s="102">
        <f>IF(O254&gt;0,(DP!$O$31),0*1)</f>
        <v>0</v>
      </c>
      <c r="Q254" s="102">
        <f t="shared" si="250"/>
        <v>0</v>
      </c>
      <c r="R254" s="102">
        <f t="shared" si="251"/>
        <v>0</v>
      </c>
      <c r="S254" s="418">
        <f t="shared" si="252"/>
        <v>0</v>
      </c>
      <c r="T254" s="475">
        <f>H254*DP!$Y$44</f>
        <v>0</v>
      </c>
      <c r="U254" s="475">
        <f>IF(H254&gt;0,DP!$Z$44,0*1)</f>
        <v>0</v>
      </c>
      <c r="V254" s="475">
        <f t="shared" si="253"/>
        <v>0</v>
      </c>
      <c r="W254" s="475">
        <f>H254*DP!$Y$45</f>
        <v>0</v>
      </c>
      <c r="X254" s="475">
        <f>IF(H254&gt;0,DP!$Z$45,0*1)</f>
        <v>0</v>
      </c>
      <c r="Y254" s="475">
        <f t="shared" si="254"/>
        <v>0</v>
      </c>
      <c r="Z254" s="100"/>
      <c r="AA254" s="93">
        <f>IF(D254=DP!$L$15,F254*(1+DP!$O$15),IF(D254=DP!$L$16,F254*(1+DP!$O$16),IF(D254=DP!$L$17,F254*(1+DP!$O$17),IF(D254=DP!$L$18,F254*(1+DP!$O$18),0*1))))</f>
        <v>0</v>
      </c>
      <c r="AB254" s="102">
        <f>IF(D254=DP!$L$22,(DP!$M$22),IF(D254=DP!$L$23,(DP!$M$23),IF(D254=DP!$L$24,(DP!$M$24),IF(D254=DP!$L$25,(DP!$M$25),((0*1))))))</f>
        <v>0</v>
      </c>
      <c r="AC254" s="93">
        <f t="shared" si="255"/>
        <v>0</v>
      </c>
      <c r="AD254" s="93">
        <f>IF(D254=DP!$L$15,F254*(1+DP!$O$15),IF(D254=DP!$L$16,F254*(1+DP!$O$16),IF(D254=DP!$L$17,F254*(1+DP!$O$17),IF(D254=DP!$L$18,F254*(1+DP!$O$18),0*1))))</f>
        <v>0</v>
      </c>
      <c r="AE254" s="102">
        <f>IF(D254=DP!$L$22,(DP!$N$22),IF(D254=DP!$L$23,(DP!$N$23),IF(D254=DP!$L$24,(DP!$N$24),IF(D254=DP!$L$25,(DP!$N$25),((0*1))))))</f>
        <v>0</v>
      </c>
      <c r="AF254" s="93">
        <f t="shared" si="256"/>
        <v>0</v>
      </c>
      <c r="AG254" s="93">
        <f>IF(D254=DP!$L$15,(F254/DP!$K$15)*(1+DP!$O$15),IF(D254=DP!$L$16,(F254/DP!$K$16)*(1+DP!$O$16),IF(D254=DP!$L$17,(F254/DP!$K$17)*(1+DP!$O$17),IF(D254=DP!$L$18,(F254/DP!$K$18)*(1+DP!$O$18),0*1))))</f>
        <v>0</v>
      </c>
      <c r="AH254" s="102">
        <f>IF(D254=DP!$L$22,(DP!$O$22),IF(D254=DP!$L$23,(DP!$O$23),IF(D254=DP!$L$24,(DP!$O$24),IF(D254=DP!$L$25,(DP!$O$25),((0*1))))))</f>
        <v>0</v>
      </c>
      <c r="AI254" s="93">
        <f t="shared" si="257"/>
        <v>0</v>
      </c>
      <c r="AJ254" s="93">
        <f>IF(D254=DP!$L$15,F254*(1+DP!$O$15),IF(D254=DP!$L$16,F254*(1+DP!$O$16),IF(D254=DP!$L$17,F254*(1+DP!$O$17),IF(D254=DP!$L$18,F254*(1+DP!$O$18),0*1))))</f>
        <v>0</v>
      </c>
      <c r="AK254" s="102">
        <f>IF(D254=DP!$L$22,(DP!$P$22),IF(D254=DP!$L$23,(DP!$P$23),IF(D254=DP!$L$24,(DP!$P$24),IF(D254=DP!$L$25,(DP!$P$25),((0*1))))))</f>
        <v>0</v>
      </c>
      <c r="AL254" s="93">
        <f t="shared" si="258"/>
        <v>0</v>
      </c>
      <c r="AM254" s="100"/>
      <c r="AN254" s="149">
        <f t="shared" si="242"/>
        <v>0</v>
      </c>
      <c r="AO254" s="149">
        <f>DP!$N$35*H254</f>
        <v>0</v>
      </c>
      <c r="AP254" s="149">
        <f>DP!$O$35*H254</f>
        <v>0</v>
      </c>
      <c r="AQ254" s="149">
        <f>DP!$P$35*H254</f>
        <v>0</v>
      </c>
      <c r="AV254" s="489">
        <f>DP!AV29</f>
        <v>0</v>
      </c>
      <c r="AW254" s="489">
        <f>DP!AW29</f>
        <v>0</v>
      </c>
      <c r="AX254" s="489">
        <f>DP!AX29</f>
        <v>0</v>
      </c>
      <c r="AY254" s="412">
        <f t="shared" si="259"/>
        <v>0</v>
      </c>
      <c r="AZ254" s="470">
        <f>DP!BF29</f>
        <v>0</v>
      </c>
      <c r="BA254" s="98">
        <f t="shared" si="260"/>
        <v>0</v>
      </c>
      <c r="BB254" s="97"/>
      <c r="BC254" s="102">
        <f t="shared" si="243"/>
        <v>0</v>
      </c>
      <c r="BD254" s="98">
        <f t="shared" si="244"/>
        <v>0</v>
      </c>
      <c r="BE254" s="93">
        <f t="shared" si="245"/>
        <v>0</v>
      </c>
      <c r="BF254" s="99">
        <f t="shared" si="246"/>
        <v>0</v>
      </c>
      <c r="BG254" s="100"/>
      <c r="BH254" s="102">
        <f>IFERROR((BA254*100%)/DP!$AQ$29,(0*1))</f>
        <v>0</v>
      </c>
      <c r="BI254" s="102">
        <f>IF(BH254&gt;0,(DP!$AQ$31),0*1)</f>
        <v>0</v>
      </c>
      <c r="BJ254" s="435">
        <f t="shared" si="261"/>
        <v>0</v>
      </c>
      <c r="BK254" s="475">
        <f>BA254*DP!$BA$44</f>
        <v>0</v>
      </c>
      <c r="BL254" s="475">
        <f>IF(BA254&gt;0,DP!$BB$44,0*1)</f>
        <v>0</v>
      </c>
      <c r="BM254" s="475">
        <f t="shared" si="262"/>
        <v>0</v>
      </c>
      <c r="BN254" s="102">
        <f>BA254*DP!$BA$45</f>
        <v>0</v>
      </c>
      <c r="BO254" s="102">
        <f>IF(BA254&gt;0,DP!$BB$45,0*1)</f>
        <v>0</v>
      </c>
      <c r="BP254" s="475">
        <f t="shared" si="263"/>
        <v>0</v>
      </c>
      <c r="BQ254" s="100"/>
      <c r="BR254" s="100"/>
      <c r="BS254" s="100"/>
      <c r="BT254" s="93">
        <f>IF(AW254=DP!$AN$15,AY254*(1+DP!$AQ$15),IF(AW254=DP!$AN$16,AY254*(1+DP!$AQ$16),IF(AW254=DP!$AN$17,AY254*(1+DP!$AQ$17),IF(AW254=DP!$AN$18,AY254*(1+DP!$AQ$18),0*1))))</f>
        <v>0</v>
      </c>
      <c r="BU254" s="102">
        <f>IF(AW254=DP!$AN$22,(DP!$AO$22),IF(AW254=DP!$AN$23,(DP!$AO$23),IF(AW254=DP!$AN$24,(DP!$AO$24),IF(AW254=DP!$AN$25,(DP!$AO$25),((0*1))))))</f>
        <v>0</v>
      </c>
      <c r="BV254" s="93">
        <f t="shared" si="264"/>
        <v>0</v>
      </c>
      <c r="BW254" s="93">
        <f>IF(AW254=DP!$AN$15,AY254*(1+DP!$AQ$15),IF(AW254=DP!$AN$16,AY254*(1+DP!$AQ$16),IF(AW254=DP!$AN$17,AY254*(1+DP!$AQ$17),IF(AW254=DP!$AN$18,AY254*(1+DP!$AQ$18),0*1))))</f>
        <v>0</v>
      </c>
      <c r="BX254" s="102">
        <f>IF(AW254=DP!$AN$22,(DP!$AP$22),IF(AW254=DP!$AN$23,(DP!$AP$23),IF(AW254=DP!$AN$24,(DP!$AP$24),IF(AW254=DP!$AN$25,(DP!$AP$25),((0*1))))))</f>
        <v>0</v>
      </c>
      <c r="BY254" s="93">
        <f t="shared" si="265"/>
        <v>0</v>
      </c>
      <c r="BZ254" s="93">
        <f>IF(AW254=DP!$AN$15,(AY254/DP!$AM$15)*(1+DP!$AQ$15),IF(AW254=DP!$AN$16,(AY254/DP!$AM$16)*(1+DP!$AQ$16),IF(AW254=DP!$AN$17,(AY254/DP!$AM$17)*(1+DP!$AQ$17),IF(AW254=DP!$AN$18,(AY254/DP!$AM$18)*(1+DP!$AQ$18),0*1))))</f>
        <v>0</v>
      </c>
      <c r="CA254" s="102">
        <f>IF(AW254=DP!$AN$22,(DP!$AQ$22),IF(AW254=DP!$AN$23,(DP!$AQ$23),IF(AW254=DP!$AN$24,(DP!$AQ$24),IF(AW254=DP!$AN$25,(DP!$AQ$25),((0*1))))))</f>
        <v>0</v>
      </c>
      <c r="CB254" s="93">
        <f t="shared" si="266"/>
        <v>0</v>
      </c>
      <c r="CC254" s="93">
        <f>IF(AW254=DP!$AN$15,AY254*(1+DP!$AQ$15),IF(AW254=DP!$AN$16,AY254*(1+DP!$AQ$16),IF(AW254=DP!$AN$17,AY254*(1+DP!$AQ$17),IF(AW254=DP!$AN$18,AY254*(1+DP!$AQ$18),0*1))))</f>
        <v>0</v>
      </c>
      <c r="CD254" s="102">
        <f>IF(AW254=DP!$AN$22,(DP!$AR$22),IF(AW254=DP!$AN$23,(DP!$AR$23),IF(AW254=DP!$AN$24,(DP!$AR$24),IF(AW254=DP!$AN$25,(DP!$AR$25),((0*1))))))</f>
        <v>0</v>
      </c>
      <c r="CE254" s="93">
        <f t="shared" si="267"/>
        <v>0</v>
      </c>
      <c r="CF254" s="100"/>
      <c r="CG254" s="149">
        <f t="shared" si="247"/>
        <v>0</v>
      </c>
      <c r="CH254" s="149">
        <f>DP!$N$35*BA254</f>
        <v>0</v>
      </c>
      <c r="CI254" s="149">
        <f>DP!$O$35*BA254</f>
        <v>0</v>
      </c>
      <c r="CJ254" s="149">
        <f>DP!$P$35*BA254</f>
        <v>0</v>
      </c>
    </row>
    <row r="255" spans="2:88" x14ac:dyDescent="0.35">
      <c r="B255" s="480">
        <f>DP!S30</f>
        <v>0</v>
      </c>
      <c r="C255" s="480">
        <f>DP!T30</f>
        <v>0</v>
      </c>
      <c r="D255" s="480">
        <f>DP!U30</f>
        <v>0</v>
      </c>
      <c r="E255" s="480">
        <f>DP!V30</f>
        <v>0</v>
      </c>
      <c r="F255" s="412">
        <f t="shared" si="248"/>
        <v>0</v>
      </c>
      <c r="G255" s="470">
        <f>DP!AD30</f>
        <v>0</v>
      </c>
      <c r="H255" s="98">
        <f t="shared" si="249"/>
        <v>0</v>
      </c>
      <c r="I255" s="97"/>
      <c r="J255" s="102">
        <f t="shared" si="238"/>
        <v>0</v>
      </c>
      <c r="K255" s="98">
        <f t="shared" si="239"/>
        <v>0</v>
      </c>
      <c r="L255" s="93">
        <f t="shared" si="240"/>
        <v>0</v>
      </c>
      <c r="M255" s="99">
        <f t="shared" si="241"/>
        <v>0</v>
      </c>
      <c r="N255" s="100"/>
      <c r="O255" s="102">
        <f>($E255/DP!$O$29)*F255</f>
        <v>0</v>
      </c>
      <c r="P255" s="102">
        <f>IF(O255&gt;0,(DP!$O$31),0*1)</f>
        <v>0</v>
      </c>
      <c r="Q255" s="102">
        <f t="shared" si="250"/>
        <v>0</v>
      </c>
      <c r="R255" s="102">
        <f t="shared" si="251"/>
        <v>0</v>
      </c>
      <c r="S255" s="418">
        <f t="shared" si="252"/>
        <v>0</v>
      </c>
      <c r="T255" s="475">
        <f>H255*DP!$Y$44</f>
        <v>0</v>
      </c>
      <c r="U255" s="475">
        <f>IF(H255&gt;0,DP!$Z$44,0*1)</f>
        <v>0</v>
      </c>
      <c r="V255" s="475">
        <f t="shared" si="253"/>
        <v>0</v>
      </c>
      <c r="W255" s="475">
        <f>H255*DP!$Y$45</f>
        <v>0</v>
      </c>
      <c r="X255" s="475">
        <f>IF(H255&gt;0,DP!$Z$45,0*1)</f>
        <v>0</v>
      </c>
      <c r="Y255" s="475">
        <f t="shared" si="254"/>
        <v>0</v>
      </c>
      <c r="Z255" s="100"/>
      <c r="AA255" s="93">
        <f>IF(D255=DP!$L$15,F255*(1+DP!$O$15),IF(D255=DP!$L$16,F255*(1+DP!$O$16),IF(D255=DP!$L$17,F255*(1+DP!$O$17),IF(D255=DP!$L$18,F255*(1+DP!$O$18),0*1))))</f>
        <v>0</v>
      </c>
      <c r="AB255" s="102">
        <f>IF(D255=DP!$L$22,(DP!$M$22),IF(D255=DP!$L$23,(DP!$M$23),IF(D255=DP!$L$24,(DP!$M$24),IF(D255=DP!$L$25,(DP!$M$25),((0*1))))))</f>
        <v>0</v>
      </c>
      <c r="AC255" s="93">
        <f t="shared" si="255"/>
        <v>0</v>
      </c>
      <c r="AD255" s="93">
        <f>IF(D255=DP!$L$15,F255*(1+DP!$O$15),IF(D255=DP!$L$16,F255*(1+DP!$O$16),IF(D255=DP!$L$17,F255*(1+DP!$O$17),IF(D255=DP!$L$18,F255*(1+DP!$O$18),0*1))))</f>
        <v>0</v>
      </c>
      <c r="AE255" s="102">
        <f>IF(D255=DP!$L$22,(DP!$N$22),IF(D255=DP!$L$23,(DP!$N$23),IF(D255=DP!$L$24,(DP!$N$24),IF(D255=DP!$L$25,(DP!$N$25),((0*1))))))</f>
        <v>0</v>
      </c>
      <c r="AF255" s="93">
        <f t="shared" si="256"/>
        <v>0</v>
      </c>
      <c r="AG255" s="93">
        <f>IF(D255=DP!$L$15,(F255/DP!$K$15)*(1+DP!$O$15),IF(D255=DP!$L$16,(F255/DP!$K$16)*(1+DP!$O$16),IF(D255=DP!$L$17,(F255/DP!$K$17)*(1+DP!$O$17),IF(D255=DP!$L$18,(F255/DP!$K$18)*(1+DP!$O$18),0*1))))</f>
        <v>0</v>
      </c>
      <c r="AH255" s="102">
        <f>IF(D255=DP!$L$22,(DP!$O$22),IF(D255=DP!$L$23,(DP!$O$23),IF(D255=DP!$L$24,(DP!$O$24),IF(D255=DP!$L$25,(DP!$O$25),((0*1))))))</f>
        <v>0</v>
      </c>
      <c r="AI255" s="93">
        <f t="shared" si="257"/>
        <v>0</v>
      </c>
      <c r="AJ255" s="93">
        <f>IF(D255=DP!$L$15,F255*(1+DP!$O$15),IF(D255=DP!$L$16,F255*(1+DP!$O$16),IF(D255=DP!$L$17,F255*(1+DP!$O$17),IF(D255=DP!$L$18,F255*(1+DP!$O$18),0*1))))</f>
        <v>0</v>
      </c>
      <c r="AK255" s="102">
        <f>IF(D255=DP!$L$22,(DP!$P$22),IF(D255=DP!$L$23,(DP!$P$23),IF(D255=DP!$L$24,(DP!$P$24),IF(D255=DP!$L$25,(DP!$P$25),((0*1))))))</f>
        <v>0</v>
      </c>
      <c r="AL255" s="93">
        <f t="shared" si="258"/>
        <v>0</v>
      </c>
      <c r="AM255" s="100"/>
      <c r="AN255" s="149">
        <f t="shared" si="242"/>
        <v>0</v>
      </c>
      <c r="AO255" s="149">
        <f>DP!$N$35*H255</f>
        <v>0</v>
      </c>
      <c r="AP255" s="149">
        <f>DP!$O$35*H255</f>
        <v>0</v>
      </c>
      <c r="AQ255" s="149">
        <f>DP!$P$35*H255</f>
        <v>0</v>
      </c>
      <c r="AV255" s="489">
        <f>DP!AV30</f>
        <v>0</v>
      </c>
      <c r="AW255" s="489">
        <f>DP!AW30</f>
        <v>0</v>
      </c>
      <c r="AX255" s="489">
        <f>DP!AX30</f>
        <v>0</v>
      </c>
      <c r="AY255" s="412">
        <f t="shared" si="259"/>
        <v>0</v>
      </c>
      <c r="AZ255" s="470">
        <f>DP!BF30</f>
        <v>0</v>
      </c>
      <c r="BA255" s="98">
        <f t="shared" si="260"/>
        <v>0</v>
      </c>
      <c r="BB255" s="97"/>
      <c r="BC255" s="102">
        <f t="shared" si="243"/>
        <v>0</v>
      </c>
      <c r="BD255" s="98">
        <f t="shared" si="244"/>
        <v>0</v>
      </c>
      <c r="BE255" s="93">
        <f t="shared" si="245"/>
        <v>0</v>
      </c>
      <c r="BF255" s="99">
        <f t="shared" si="246"/>
        <v>0</v>
      </c>
      <c r="BG255" s="100"/>
      <c r="BH255" s="102">
        <f>IFERROR((BA255*100%)/DP!$AQ$29,(0*1))</f>
        <v>0</v>
      </c>
      <c r="BI255" s="102">
        <f>IF(BH255&gt;0,(DP!$AQ$31),0*1)</f>
        <v>0</v>
      </c>
      <c r="BJ255" s="435">
        <f t="shared" si="261"/>
        <v>0</v>
      </c>
      <c r="BK255" s="475">
        <f>BA255*DP!$BA$44</f>
        <v>0</v>
      </c>
      <c r="BL255" s="475">
        <f>IF(BA255&gt;0,DP!$BB$44,0*1)</f>
        <v>0</v>
      </c>
      <c r="BM255" s="475">
        <f t="shared" si="262"/>
        <v>0</v>
      </c>
      <c r="BN255" s="102">
        <f>BA255*DP!$BA$45</f>
        <v>0</v>
      </c>
      <c r="BO255" s="102">
        <f>IF(BA255&gt;0,DP!$BB$45,0*1)</f>
        <v>0</v>
      </c>
      <c r="BP255" s="475">
        <f t="shared" si="263"/>
        <v>0</v>
      </c>
      <c r="BQ255" s="100"/>
      <c r="BR255" s="100"/>
      <c r="BS255" s="100"/>
      <c r="BT255" s="93">
        <f>IF(AW255=DP!$AN$15,AY255*(1+DP!$AQ$15),IF(AW255=DP!$AN$16,AY255*(1+DP!$AQ$16),IF(AW255=DP!$AN$17,AY255*(1+DP!$AQ$17),IF(AW255=DP!$AN$18,AY255*(1+DP!$AQ$18),0*1))))</f>
        <v>0</v>
      </c>
      <c r="BU255" s="102">
        <f>IF(AW255=DP!$AN$22,(DP!$AO$22),IF(AW255=DP!$AN$23,(DP!$AO$23),IF(AW255=DP!$AN$24,(DP!$AO$24),IF(AW255=DP!$AN$25,(DP!$AO$25),((0*1))))))</f>
        <v>0</v>
      </c>
      <c r="BV255" s="93">
        <f t="shared" si="264"/>
        <v>0</v>
      </c>
      <c r="BW255" s="93">
        <f>IF(AW255=DP!$AN$15,AY255*(1+DP!$AQ$15),IF(AW255=DP!$AN$16,AY255*(1+DP!$AQ$16),IF(AW255=DP!$AN$17,AY255*(1+DP!$AQ$17),IF(AW255=DP!$AN$18,AY255*(1+DP!$AQ$18),0*1))))</f>
        <v>0</v>
      </c>
      <c r="BX255" s="102">
        <f>IF(AW255=DP!$AN$22,(DP!$AP$22),IF(AW255=DP!$AN$23,(DP!$AP$23),IF(AW255=DP!$AN$24,(DP!$AP$24),IF(AW255=DP!$AN$25,(DP!$AP$25),((0*1))))))</f>
        <v>0</v>
      </c>
      <c r="BY255" s="93">
        <f t="shared" si="265"/>
        <v>0</v>
      </c>
      <c r="BZ255" s="93">
        <f>IF(AW255=DP!$AN$15,(AY255/DP!$AM$15)*(1+DP!$AQ$15),IF(AW255=DP!$AN$16,(AY255/DP!$AM$16)*(1+DP!$AQ$16),IF(AW255=DP!$AN$17,(AY255/DP!$AM$17)*(1+DP!$AQ$17),IF(AW255=DP!$AN$18,(AY255/DP!$AM$18)*(1+DP!$AQ$18),0*1))))</f>
        <v>0</v>
      </c>
      <c r="CA255" s="102">
        <f>IF(AW255=DP!$AN$22,(DP!$AQ$22),IF(AW255=DP!$AN$23,(DP!$AQ$23),IF(AW255=DP!$AN$24,(DP!$AQ$24),IF(AW255=DP!$AN$25,(DP!$AQ$25),((0*1))))))</f>
        <v>0</v>
      </c>
      <c r="CB255" s="93">
        <f t="shared" si="266"/>
        <v>0</v>
      </c>
      <c r="CC255" s="93">
        <f>IF(AW255=DP!$AN$15,AY255*(1+DP!$AQ$15),IF(AW255=DP!$AN$16,AY255*(1+DP!$AQ$16),IF(AW255=DP!$AN$17,AY255*(1+DP!$AQ$17),IF(AW255=DP!$AN$18,AY255*(1+DP!$AQ$18),0*1))))</f>
        <v>0</v>
      </c>
      <c r="CD255" s="102">
        <f>IF(AW255=DP!$AN$22,(DP!$AR$22),IF(AW255=DP!$AN$23,(DP!$AR$23),IF(AW255=DP!$AN$24,(DP!$AR$24),IF(AW255=DP!$AN$25,(DP!$AR$25),((0*1))))))</f>
        <v>0</v>
      </c>
      <c r="CE255" s="93">
        <f t="shared" si="267"/>
        <v>0</v>
      </c>
      <c r="CF255" s="100"/>
      <c r="CG255" s="149">
        <f t="shared" si="247"/>
        <v>0</v>
      </c>
      <c r="CH255" s="149">
        <f>DP!$N$35*BA255</f>
        <v>0</v>
      </c>
      <c r="CI255" s="149">
        <f>DP!$O$35*BA255</f>
        <v>0</v>
      </c>
      <c r="CJ255" s="149">
        <f>DP!$P$35*BA255</f>
        <v>0</v>
      </c>
    </row>
    <row r="256" spans="2:88" x14ac:dyDescent="0.35">
      <c r="B256" s="480">
        <f>DP!S31</f>
        <v>0</v>
      </c>
      <c r="C256" s="480">
        <f>DP!T31</f>
        <v>0</v>
      </c>
      <c r="D256" s="480">
        <f>DP!U31</f>
        <v>0</v>
      </c>
      <c r="E256" s="480">
        <f>DP!V31</f>
        <v>0</v>
      </c>
      <c r="F256" s="412">
        <f t="shared" si="248"/>
        <v>0</v>
      </c>
      <c r="G256" s="470">
        <f>DP!AD31</f>
        <v>0</v>
      </c>
      <c r="H256" s="98">
        <f t="shared" si="249"/>
        <v>0</v>
      </c>
      <c r="I256" s="97"/>
      <c r="J256" s="102">
        <f t="shared" si="238"/>
        <v>0</v>
      </c>
      <c r="K256" s="98">
        <f t="shared" si="239"/>
        <v>0</v>
      </c>
      <c r="L256" s="93">
        <f t="shared" si="240"/>
        <v>0</v>
      </c>
      <c r="M256" s="99">
        <f t="shared" si="241"/>
        <v>0</v>
      </c>
      <c r="N256" s="100"/>
      <c r="O256" s="102">
        <f>($E256/DP!$O$29)*F256</f>
        <v>0</v>
      </c>
      <c r="P256" s="102">
        <f>IF(O256&gt;0,(DP!$O$31),0*1)</f>
        <v>0</v>
      </c>
      <c r="Q256" s="102">
        <f t="shared" si="250"/>
        <v>0</v>
      </c>
      <c r="R256" s="102">
        <f t="shared" si="251"/>
        <v>0</v>
      </c>
      <c r="S256" s="418">
        <f t="shared" si="252"/>
        <v>0</v>
      </c>
      <c r="T256" s="475">
        <f>H256*DP!$Y$44</f>
        <v>0</v>
      </c>
      <c r="U256" s="475">
        <f>IF(H256&gt;0,DP!$Z$44,0*1)</f>
        <v>0</v>
      </c>
      <c r="V256" s="475">
        <f t="shared" si="253"/>
        <v>0</v>
      </c>
      <c r="W256" s="475">
        <f>H256*DP!$Y$45</f>
        <v>0</v>
      </c>
      <c r="X256" s="475">
        <f>IF(H256&gt;0,DP!$Z$45,0*1)</f>
        <v>0</v>
      </c>
      <c r="Y256" s="475">
        <f t="shared" si="254"/>
        <v>0</v>
      </c>
      <c r="Z256" s="100"/>
      <c r="AA256" s="93">
        <f>IF(D256=DP!$L$15,F256*(1+DP!$O$15),IF(D256=DP!$L$16,F256*(1+DP!$O$16),IF(D256=DP!$L$17,F256*(1+DP!$O$17),IF(D256=DP!$L$18,F256*(1+DP!$O$18),0*1))))</f>
        <v>0</v>
      </c>
      <c r="AB256" s="102">
        <f>IF(D256=DP!$L$22,(DP!$M$22),IF(D256=DP!$L$23,(DP!$M$23),IF(D256=DP!$L$24,(DP!$M$24),IF(D256=DP!$L$25,(DP!$M$25),((0*1))))))</f>
        <v>0</v>
      </c>
      <c r="AC256" s="93">
        <f t="shared" si="255"/>
        <v>0</v>
      </c>
      <c r="AD256" s="93">
        <f>IF(D256=DP!$L$15,F256*(1+DP!$O$15),IF(D256=DP!$L$16,F256*(1+DP!$O$16),IF(D256=DP!$L$17,F256*(1+DP!$O$17),IF(D256=DP!$L$18,F256*(1+DP!$O$18),0*1))))</f>
        <v>0</v>
      </c>
      <c r="AE256" s="102">
        <f>IF(D256=DP!$L$22,(DP!$N$22),IF(D256=DP!$L$23,(DP!$N$23),IF(D256=DP!$L$24,(DP!$N$24),IF(D256=DP!$L$25,(DP!$N$25),((0*1))))))</f>
        <v>0</v>
      </c>
      <c r="AF256" s="93">
        <f t="shared" si="256"/>
        <v>0</v>
      </c>
      <c r="AG256" s="93">
        <f>IF(D256=DP!$L$15,(F256/DP!$K$15)*(1+DP!$O$15),IF(D256=DP!$L$16,(F256/DP!$K$16)*(1+DP!$O$16),IF(D256=DP!$L$17,(F256/DP!$K$17)*(1+DP!$O$17),IF(D256=DP!$L$18,(F256/DP!$K$18)*(1+DP!$O$18),0*1))))</f>
        <v>0</v>
      </c>
      <c r="AH256" s="102">
        <f>IF(D256=DP!$L$22,(DP!$O$22),IF(D256=DP!$L$23,(DP!$O$23),IF(D256=DP!$L$24,(DP!$O$24),IF(D256=DP!$L$25,(DP!$O$25),((0*1))))))</f>
        <v>0</v>
      </c>
      <c r="AI256" s="93">
        <f t="shared" si="257"/>
        <v>0</v>
      </c>
      <c r="AJ256" s="93">
        <f>IF(D256=DP!$L$15,F256*(1+DP!$O$15),IF(D256=DP!$L$16,F256*(1+DP!$O$16),IF(D256=DP!$L$17,F256*(1+DP!$O$17),IF(D256=DP!$L$18,F256*(1+DP!$O$18),0*1))))</f>
        <v>0</v>
      </c>
      <c r="AK256" s="102">
        <f>IF(D256=DP!$L$22,(DP!$P$22),IF(D256=DP!$L$23,(DP!$P$23),IF(D256=DP!$L$24,(DP!$P$24),IF(D256=DP!$L$25,(DP!$P$25),((0*1))))))</f>
        <v>0</v>
      </c>
      <c r="AL256" s="93">
        <f t="shared" si="258"/>
        <v>0</v>
      </c>
      <c r="AM256" s="100"/>
      <c r="AN256" s="149">
        <f t="shared" si="242"/>
        <v>0</v>
      </c>
      <c r="AO256" s="149">
        <f>DP!$N$35*H256</f>
        <v>0</v>
      </c>
      <c r="AP256" s="149">
        <f>DP!$O$35*H256</f>
        <v>0</v>
      </c>
      <c r="AQ256" s="149">
        <f>DP!$P$35*H256</f>
        <v>0</v>
      </c>
      <c r="AV256" s="489">
        <f>DP!AV31</f>
        <v>0</v>
      </c>
      <c r="AW256" s="489">
        <f>DP!AW31</f>
        <v>0</v>
      </c>
      <c r="AX256" s="489">
        <f>DP!AX31</f>
        <v>0</v>
      </c>
      <c r="AY256" s="412">
        <f t="shared" si="259"/>
        <v>0</v>
      </c>
      <c r="AZ256" s="470">
        <f>DP!BF31</f>
        <v>0</v>
      </c>
      <c r="BA256" s="98">
        <f t="shared" si="260"/>
        <v>0</v>
      </c>
      <c r="BB256" s="97"/>
      <c r="BC256" s="102">
        <f t="shared" si="243"/>
        <v>0</v>
      </c>
      <c r="BD256" s="98">
        <f t="shared" si="244"/>
        <v>0</v>
      </c>
      <c r="BE256" s="93">
        <f t="shared" si="245"/>
        <v>0</v>
      </c>
      <c r="BF256" s="99">
        <f t="shared" si="246"/>
        <v>0</v>
      </c>
      <c r="BG256" s="100"/>
      <c r="BH256" s="102">
        <f>IFERROR((BA256*100%)/DP!$AQ$29,(0*1))</f>
        <v>0</v>
      </c>
      <c r="BI256" s="102">
        <f>IF(BH256&gt;0,(DP!$AQ$31),0*1)</f>
        <v>0</v>
      </c>
      <c r="BJ256" s="435">
        <f t="shared" si="261"/>
        <v>0</v>
      </c>
      <c r="BK256" s="475">
        <f>BA256*DP!$BA$44</f>
        <v>0</v>
      </c>
      <c r="BL256" s="475">
        <f>IF(BA256&gt;0,DP!$BB$44,0*1)</f>
        <v>0</v>
      </c>
      <c r="BM256" s="475">
        <f t="shared" si="262"/>
        <v>0</v>
      </c>
      <c r="BN256" s="102">
        <f>BA256*DP!$BA$45</f>
        <v>0</v>
      </c>
      <c r="BO256" s="102">
        <f>IF(BA256&gt;0,DP!$BB$45,0*1)</f>
        <v>0</v>
      </c>
      <c r="BP256" s="475">
        <f t="shared" si="263"/>
        <v>0</v>
      </c>
      <c r="BQ256" s="100"/>
      <c r="BR256" s="100"/>
      <c r="BS256" s="100"/>
      <c r="BT256" s="93">
        <f>IF(AW256=DP!$AN$15,AY256*(1+DP!$AQ$15),IF(AW256=DP!$AN$16,AY256*(1+DP!$AQ$16),IF(AW256=DP!$AN$17,AY256*(1+DP!$AQ$17),IF(AW256=DP!$AN$18,AY256*(1+DP!$AQ$18),0*1))))</f>
        <v>0</v>
      </c>
      <c r="BU256" s="102">
        <f>IF(AW256=DP!$AN$22,(DP!$AO$22),IF(AW256=DP!$AN$23,(DP!$AO$23),IF(AW256=DP!$AN$24,(DP!$AO$24),IF(AW256=DP!$AN$25,(DP!$AO$25),((0*1))))))</f>
        <v>0</v>
      </c>
      <c r="BV256" s="93">
        <f t="shared" si="264"/>
        <v>0</v>
      </c>
      <c r="BW256" s="93">
        <f>IF(AW256=DP!$AN$15,AY256*(1+DP!$AQ$15),IF(AW256=DP!$AN$16,AY256*(1+DP!$AQ$16),IF(AW256=DP!$AN$17,AY256*(1+DP!$AQ$17),IF(AW256=DP!$AN$18,AY256*(1+DP!$AQ$18),0*1))))</f>
        <v>0</v>
      </c>
      <c r="BX256" s="102">
        <f>IF(AW256=DP!$AN$22,(DP!$AP$22),IF(AW256=DP!$AN$23,(DP!$AP$23),IF(AW256=DP!$AN$24,(DP!$AP$24),IF(AW256=DP!$AN$25,(DP!$AP$25),((0*1))))))</f>
        <v>0</v>
      </c>
      <c r="BY256" s="93">
        <f t="shared" si="265"/>
        <v>0</v>
      </c>
      <c r="BZ256" s="93">
        <f>IF(AW256=DP!$AN$15,(AY256/DP!$AM$15)*(1+DP!$AQ$15),IF(AW256=DP!$AN$16,(AY256/DP!$AM$16)*(1+DP!$AQ$16),IF(AW256=DP!$AN$17,(AY256/DP!$AM$17)*(1+DP!$AQ$17),IF(AW256=DP!$AN$18,(AY256/DP!$AM$18)*(1+DP!$AQ$18),0*1))))</f>
        <v>0</v>
      </c>
      <c r="CA256" s="102">
        <f>IF(AW256=DP!$AN$22,(DP!$AQ$22),IF(AW256=DP!$AN$23,(DP!$AQ$23),IF(AW256=DP!$AN$24,(DP!$AQ$24),IF(AW256=DP!$AN$25,(DP!$AQ$25),((0*1))))))</f>
        <v>0</v>
      </c>
      <c r="CB256" s="93">
        <f t="shared" si="266"/>
        <v>0</v>
      </c>
      <c r="CC256" s="93">
        <f>IF(AW256=DP!$AN$15,AY256*(1+DP!$AQ$15),IF(AW256=DP!$AN$16,AY256*(1+DP!$AQ$16),IF(AW256=DP!$AN$17,AY256*(1+DP!$AQ$17),IF(AW256=DP!$AN$18,AY256*(1+DP!$AQ$18),0*1))))</f>
        <v>0</v>
      </c>
      <c r="CD256" s="102">
        <f>IF(AW256=DP!$AN$22,(DP!$AR$22),IF(AW256=DP!$AN$23,(DP!$AR$23),IF(AW256=DP!$AN$24,(DP!$AR$24),IF(AW256=DP!$AN$25,(DP!$AR$25),((0*1))))))</f>
        <v>0</v>
      </c>
      <c r="CE256" s="93">
        <f t="shared" si="267"/>
        <v>0</v>
      </c>
      <c r="CF256" s="100"/>
      <c r="CG256" s="149">
        <f t="shared" si="247"/>
        <v>0</v>
      </c>
      <c r="CH256" s="149">
        <f>DP!$N$35*BA256</f>
        <v>0</v>
      </c>
      <c r="CI256" s="149">
        <f>DP!$O$35*BA256</f>
        <v>0</v>
      </c>
      <c r="CJ256" s="149">
        <f>DP!$P$35*BA256</f>
        <v>0</v>
      </c>
    </row>
    <row r="257" spans="2:88" x14ac:dyDescent="0.35">
      <c r="B257" s="480">
        <f>DP!S32</f>
        <v>0</v>
      </c>
      <c r="C257" s="480">
        <f>DP!T32</f>
        <v>0</v>
      </c>
      <c r="D257" s="480">
        <f>DP!U32</f>
        <v>0</v>
      </c>
      <c r="E257" s="480">
        <f>DP!V32</f>
        <v>0</v>
      </c>
      <c r="F257" s="412">
        <f t="shared" si="248"/>
        <v>0</v>
      </c>
      <c r="G257" s="470">
        <f>DP!AD32</f>
        <v>0</v>
      </c>
      <c r="H257" s="98">
        <f t="shared" si="249"/>
        <v>0</v>
      </c>
      <c r="I257" s="97"/>
      <c r="J257" s="102">
        <f t="shared" si="238"/>
        <v>0</v>
      </c>
      <c r="K257" s="98">
        <f t="shared" si="239"/>
        <v>0</v>
      </c>
      <c r="L257" s="93">
        <f t="shared" si="240"/>
        <v>0</v>
      </c>
      <c r="M257" s="99">
        <f t="shared" si="241"/>
        <v>0</v>
      </c>
      <c r="N257" s="100"/>
      <c r="O257" s="102">
        <f>($E257/DP!$O$29)*F257</f>
        <v>0</v>
      </c>
      <c r="P257" s="102">
        <f>IF(O257&gt;0,(DP!$O$31),0*1)</f>
        <v>0</v>
      </c>
      <c r="Q257" s="102">
        <f t="shared" si="250"/>
        <v>0</v>
      </c>
      <c r="R257" s="102">
        <f t="shared" si="251"/>
        <v>0</v>
      </c>
      <c r="S257" s="418">
        <f t="shared" si="252"/>
        <v>0</v>
      </c>
      <c r="T257" s="475">
        <f>H257*DP!$Y$44</f>
        <v>0</v>
      </c>
      <c r="U257" s="475">
        <f>IF(H257&gt;0,DP!$Z$44,0*1)</f>
        <v>0</v>
      </c>
      <c r="V257" s="475">
        <f t="shared" si="253"/>
        <v>0</v>
      </c>
      <c r="W257" s="475">
        <f>H257*DP!$Y$45</f>
        <v>0</v>
      </c>
      <c r="X257" s="475">
        <f>IF(H257&gt;0,DP!$Z$45,0*1)</f>
        <v>0</v>
      </c>
      <c r="Y257" s="475">
        <f t="shared" si="254"/>
        <v>0</v>
      </c>
      <c r="Z257" s="100"/>
      <c r="AA257" s="93">
        <f>IF(D257=DP!$L$15,F257*(1+DP!$O$15),IF(D257=DP!$L$16,F257*(1+DP!$O$16),IF(D257=DP!$L$17,F257*(1+DP!$O$17),IF(D257=DP!$L$18,F257*(1+DP!$O$18),0*1))))</f>
        <v>0</v>
      </c>
      <c r="AB257" s="102">
        <f>IF(D257=DP!$L$22,(DP!$M$22),IF(D257=DP!$L$23,(DP!$M$23),IF(D257=DP!$L$24,(DP!$M$24),IF(D257=DP!$L$25,(DP!$M$25),((0*1))))))</f>
        <v>0</v>
      </c>
      <c r="AC257" s="93">
        <f t="shared" si="255"/>
        <v>0</v>
      </c>
      <c r="AD257" s="93">
        <f>IF(D257=DP!$L$15,F257*(1+DP!$O$15),IF(D257=DP!$L$16,F257*(1+DP!$O$16),IF(D257=DP!$L$17,F257*(1+DP!$O$17),IF(D257=DP!$L$18,F257*(1+DP!$O$18),0*1))))</f>
        <v>0</v>
      </c>
      <c r="AE257" s="102">
        <f>IF(D257=DP!$L$22,(DP!$N$22),IF(D257=DP!$L$23,(DP!$N$23),IF(D257=DP!$L$24,(DP!$N$24),IF(D257=DP!$L$25,(DP!$N$25),((0*1))))))</f>
        <v>0</v>
      </c>
      <c r="AF257" s="93">
        <f t="shared" si="256"/>
        <v>0</v>
      </c>
      <c r="AG257" s="93">
        <f>IF(D257=DP!$L$15,(F257/DP!$K$15)*(1+DP!$O$15),IF(D257=DP!$L$16,(F257/DP!$K$16)*(1+DP!$O$16),IF(D257=DP!$L$17,(F257/DP!$K$17)*(1+DP!$O$17),IF(D257=DP!$L$18,(F257/DP!$K$18)*(1+DP!$O$18),0*1))))</f>
        <v>0</v>
      </c>
      <c r="AH257" s="102">
        <f>IF(D257=DP!$L$22,(DP!$O$22),IF(D257=DP!$L$23,(DP!$O$23),IF(D257=DP!$L$24,(DP!$O$24),IF(D257=DP!$L$25,(DP!$O$25),((0*1))))))</f>
        <v>0</v>
      </c>
      <c r="AI257" s="93">
        <f t="shared" si="257"/>
        <v>0</v>
      </c>
      <c r="AJ257" s="93">
        <f>IF(D257=DP!$L$15,F257*(1+DP!$O$15),IF(D257=DP!$L$16,F257*(1+DP!$O$16),IF(D257=DP!$L$17,F257*(1+DP!$O$17),IF(D257=DP!$L$18,F257*(1+DP!$O$18),0*1))))</f>
        <v>0</v>
      </c>
      <c r="AK257" s="102">
        <f>IF(D257=DP!$L$22,(DP!$P$22),IF(D257=DP!$L$23,(DP!$P$23),IF(D257=DP!$L$24,(DP!$P$24),IF(D257=DP!$L$25,(DP!$P$25),((0*1))))))</f>
        <v>0</v>
      </c>
      <c r="AL257" s="93">
        <f t="shared" si="258"/>
        <v>0</v>
      </c>
      <c r="AM257" s="100"/>
      <c r="AN257" s="149">
        <f t="shared" si="242"/>
        <v>0</v>
      </c>
      <c r="AO257" s="149">
        <f>DP!$N$35*H257</f>
        <v>0</v>
      </c>
      <c r="AP257" s="149">
        <f>DP!$O$35*H257</f>
        <v>0</v>
      </c>
      <c r="AQ257" s="149">
        <f>DP!$P$35*H257</f>
        <v>0</v>
      </c>
      <c r="AV257" s="489">
        <f>DP!AV32</f>
        <v>0</v>
      </c>
      <c r="AW257" s="489">
        <f>DP!AW32</f>
        <v>0</v>
      </c>
      <c r="AX257" s="489">
        <f>DP!AX32</f>
        <v>0</v>
      </c>
      <c r="AY257" s="412">
        <f t="shared" si="259"/>
        <v>0</v>
      </c>
      <c r="AZ257" s="470">
        <f>DP!BF32</f>
        <v>0</v>
      </c>
      <c r="BA257" s="98">
        <f t="shared" si="260"/>
        <v>0</v>
      </c>
      <c r="BB257" s="97"/>
      <c r="BC257" s="102">
        <f t="shared" si="243"/>
        <v>0</v>
      </c>
      <c r="BD257" s="98">
        <f t="shared" si="244"/>
        <v>0</v>
      </c>
      <c r="BE257" s="93">
        <f t="shared" si="245"/>
        <v>0</v>
      </c>
      <c r="BF257" s="99">
        <f t="shared" si="246"/>
        <v>0</v>
      </c>
      <c r="BG257" s="100"/>
      <c r="BH257" s="102">
        <f>IFERROR((BA257*100%)/DP!$AQ$29,(0*1))</f>
        <v>0</v>
      </c>
      <c r="BI257" s="102">
        <f>IF(BH257&gt;0,(DP!$AQ$31),0*1)</f>
        <v>0</v>
      </c>
      <c r="BJ257" s="435">
        <f t="shared" si="261"/>
        <v>0</v>
      </c>
      <c r="BK257" s="475">
        <f>BA257*DP!$BA$44</f>
        <v>0</v>
      </c>
      <c r="BL257" s="475">
        <f>IF(BA257&gt;0,DP!$BB$44,0*1)</f>
        <v>0</v>
      </c>
      <c r="BM257" s="475">
        <f t="shared" si="262"/>
        <v>0</v>
      </c>
      <c r="BN257" s="102">
        <f>BA257*DP!$BA$45</f>
        <v>0</v>
      </c>
      <c r="BO257" s="102">
        <f>IF(BA257&gt;0,DP!$BB$45,0*1)</f>
        <v>0</v>
      </c>
      <c r="BP257" s="475">
        <f t="shared" si="263"/>
        <v>0</v>
      </c>
      <c r="BQ257" s="100"/>
      <c r="BR257" s="100"/>
      <c r="BS257" s="100"/>
      <c r="BT257" s="93">
        <f>IF(AW257=DP!$AN$15,AY257*(1+DP!$AQ$15),IF(AW257=DP!$AN$16,AY257*(1+DP!$AQ$16),IF(AW257=DP!$AN$17,AY257*(1+DP!$AQ$17),IF(AW257=DP!$AN$18,AY257*(1+DP!$AQ$18),0*1))))</f>
        <v>0</v>
      </c>
      <c r="BU257" s="102">
        <f>IF(AW257=DP!$AN$22,(DP!$AO$22),IF(AW257=DP!$AN$23,(DP!$AO$23),IF(AW257=DP!$AN$24,(DP!$AO$24),IF(AW257=DP!$AN$25,(DP!$AO$25),((0*1))))))</f>
        <v>0</v>
      </c>
      <c r="BV257" s="93">
        <f t="shared" si="264"/>
        <v>0</v>
      </c>
      <c r="BW257" s="93">
        <f>IF(AW257=DP!$AN$15,AY257*(1+DP!$AQ$15),IF(AW257=DP!$AN$16,AY257*(1+DP!$AQ$16),IF(AW257=DP!$AN$17,AY257*(1+DP!$AQ$17),IF(AW257=DP!$AN$18,AY257*(1+DP!$AQ$18),0*1))))</f>
        <v>0</v>
      </c>
      <c r="BX257" s="102">
        <f>IF(AW257=DP!$AN$22,(DP!$AP$22),IF(AW257=DP!$AN$23,(DP!$AP$23),IF(AW257=DP!$AN$24,(DP!$AP$24),IF(AW257=DP!$AN$25,(DP!$AP$25),((0*1))))))</f>
        <v>0</v>
      </c>
      <c r="BY257" s="93">
        <f t="shared" si="265"/>
        <v>0</v>
      </c>
      <c r="BZ257" s="93">
        <f>IF(AW257=DP!$AN$15,(AY257/DP!$AM$15)*(1+DP!$AQ$15),IF(AW257=DP!$AN$16,(AY257/DP!$AM$16)*(1+DP!$AQ$16),IF(AW257=DP!$AN$17,(AY257/DP!$AM$17)*(1+DP!$AQ$17),IF(AW257=DP!$AN$18,(AY257/DP!$AM$18)*(1+DP!$AQ$18),0*1))))</f>
        <v>0</v>
      </c>
      <c r="CA257" s="102">
        <f>IF(AW257=DP!$AN$22,(DP!$AQ$22),IF(AW257=DP!$AN$23,(DP!$AQ$23),IF(AW257=DP!$AN$24,(DP!$AQ$24),IF(AW257=DP!$AN$25,(DP!$AQ$25),((0*1))))))</f>
        <v>0</v>
      </c>
      <c r="CB257" s="93">
        <f t="shared" si="266"/>
        <v>0</v>
      </c>
      <c r="CC257" s="93">
        <f>IF(AW257=DP!$AN$15,AY257*(1+DP!$AQ$15),IF(AW257=DP!$AN$16,AY257*(1+DP!$AQ$16),IF(AW257=DP!$AN$17,AY257*(1+DP!$AQ$17),IF(AW257=DP!$AN$18,AY257*(1+DP!$AQ$18),0*1))))</f>
        <v>0</v>
      </c>
      <c r="CD257" s="102">
        <f>IF(AW257=DP!$AN$22,(DP!$AR$22),IF(AW257=DP!$AN$23,(DP!$AR$23),IF(AW257=DP!$AN$24,(DP!$AR$24),IF(AW257=DP!$AN$25,(DP!$AR$25),((0*1))))))</f>
        <v>0</v>
      </c>
      <c r="CE257" s="93">
        <f t="shared" si="267"/>
        <v>0</v>
      </c>
      <c r="CF257" s="100"/>
      <c r="CG257" s="149">
        <f t="shared" si="247"/>
        <v>0</v>
      </c>
      <c r="CH257" s="149">
        <f>DP!$N$35*BA257</f>
        <v>0</v>
      </c>
      <c r="CI257" s="149">
        <f>DP!$O$35*BA257</f>
        <v>0</v>
      </c>
      <c r="CJ257" s="149">
        <f>DP!$P$35*BA257</f>
        <v>0</v>
      </c>
    </row>
    <row r="258" spans="2:88" x14ac:dyDescent="0.35">
      <c r="B258" s="480">
        <f>DP!S33</f>
        <v>0</v>
      </c>
      <c r="C258" s="480">
        <f>DP!T33</f>
        <v>0</v>
      </c>
      <c r="D258" s="480">
        <f>DP!U33</f>
        <v>0</v>
      </c>
      <c r="E258" s="480">
        <f>DP!V33</f>
        <v>0</v>
      </c>
      <c r="F258" s="412">
        <f t="shared" si="248"/>
        <v>0</v>
      </c>
      <c r="G258" s="470">
        <f>DP!AD33</f>
        <v>0</v>
      </c>
      <c r="H258" s="98">
        <f t="shared" si="249"/>
        <v>0</v>
      </c>
      <c r="I258" s="97"/>
      <c r="J258" s="102">
        <f t="shared" si="238"/>
        <v>0</v>
      </c>
      <c r="K258" s="98">
        <f t="shared" si="239"/>
        <v>0</v>
      </c>
      <c r="L258" s="93">
        <f t="shared" si="240"/>
        <v>0</v>
      </c>
      <c r="M258" s="99">
        <f t="shared" si="241"/>
        <v>0</v>
      </c>
      <c r="N258" s="100"/>
      <c r="O258" s="102">
        <f>($E258/DP!$O$29)*F258</f>
        <v>0</v>
      </c>
      <c r="P258" s="102">
        <f>IF(O258&gt;0,(DP!$O$31),0*1)</f>
        <v>0</v>
      </c>
      <c r="Q258" s="102">
        <f t="shared" si="250"/>
        <v>0</v>
      </c>
      <c r="R258" s="102">
        <f t="shared" si="251"/>
        <v>0</v>
      </c>
      <c r="S258" s="418">
        <f t="shared" si="252"/>
        <v>0</v>
      </c>
      <c r="T258" s="475">
        <f>H258*DP!$Y$44</f>
        <v>0</v>
      </c>
      <c r="U258" s="475">
        <f>IF(H258&gt;0,DP!$Z$44,0*1)</f>
        <v>0</v>
      </c>
      <c r="V258" s="475">
        <f t="shared" si="253"/>
        <v>0</v>
      </c>
      <c r="W258" s="475">
        <f>H258*DP!$Y$45</f>
        <v>0</v>
      </c>
      <c r="X258" s="475">
        <f>IF(H258&gt;0,DP!$Z$45,0*1)</f>
        <v>0</v>
      </c>
      <c r="Y258" s="475">
        <f t="shared" si="254"/>
        <v>0</v>
      </c>
      <c r="Z258" s="100"/>
      <c r="AA258" s="93">
        <f>IF(D258=DP!$L$15,F258*(1+DP!$O$15),IF(D258=DP!$L$16,F258*(1+DP!$O$16),IF(D258=DP!$L$17,F258*(1+DP!$O$17),IF(D258=DP!$L$18,F258*(1+DP!$O$18),0*1))))</f>
        <v>0</v>
      </c>
      <c r="AB258" s="102">
        <f>IF(D258=DP!$L$22,(DP!$M$22),IF(D258=DP!$L$23,(DP!$M$23),IF(D258=DP!$L$24,(DP!$M$24),IF(D258=DP!$L$25,(DP!$M$25),((0*1))))))</f>
        <v>0</v>
      </c>
      <c r="AC258" s="93">
        <f t="shared" si="255"/>
        <v>0</v>
      </c>
      <c r="AD258" s="93">
        <f>IF(D258=DP!$L$15,F258*(1+DP!$O$15),IF(D258=DP!$L$16,F258*(1+DP!$O$16),IF(D258=DP!$L$17,F258*(1+DP!$O$17),IF(D258=DP!$L$18,F258*(1+DP!$O$18),0*1))))</f>
        <v>0</v>
      </c>
      <c r="AE258" s="102">
        <f>IF(D258=DP!$L$22,(DP!$N$22),IF(D258=DP!$L$23,(DP!$N$23),IF(D258=DP!$L$24,(DP!$N$24),IF(D258=DP!$L$25,(DP!$N$25),((0*1))))))</f>
        <v>0</v>
      </c>
      <c r="AF258" s="93">
        <f t="shared" si="256"/>
        <v>0</v>
      </c>
      <c r="AG258" s="93">
        <f>IF(D258=DP!$L$15,(F258/DP!$K$15)*(1+DP!$O$15),IF(D258=DP!$L$16,(F258/DP!$K$16)*(1+DP!$O$16),IF(D258=DP!$L$17,(F258/DP!$K$17)*(1+DP!$O$17),IF(D258=DP!$L$18,(F258/DP!$K$18)*(1+DP!$O$18),0*1))))</f>
        <v>0</v>
      </c>
      <c r="AH258" s="102">
        <f>IF(D258=DP!$L$22,(DP!$O$22),IF(D258=DP!$L$23,(DP!$O$23),IF(D258=DP!$L$24,(DP!$O$24),IF(D258=DP!$L$25,(DP!$O$25),((0*1))))))</f>
        <v>0</v>
      </c>
      <c r="AI258" s="93">
        <f t="shared" si="257"/>
        <v>0</v>
      </c>
      <c r="AJ258" s="93">
        <f>IF(D258=DP!$L$15,F258*(1+DP!$O$15),IF(D258=DP!$L$16,F258*(1+DP!$O$16),IF(D258=DP!$L$17,F258*(1+DP!$O$17),IF(D258=DP!$L$18,F258*(1+DP!$O$18),0*1))))</f>
        <v>0</v>
      </c>
      <c r="AK258" s="102">
        <f>IF(D258=DP!$L$22,(DP!$P$22),IF(D258=DP!$L$23,(DP!$P$23),IF(D258=DP!$L$24,(DP!$P$24),IF(D258=DP!$L$25,(DP!$P$25),((0*1))))))</f>
        <v>0</v>
      </c>
      <c r="AL258" s="93">
        <f t="shared" si="258"/>
        <v>0</v>
      </c>
      <c r="AM258" s="100"/>
      <c r="AN258" s="149">
        <f t="shared" si="242"/>
        <v>0</v>
      </c>
      <c r="AO258" s="149">
        <f>DP!$N$35*H258</f>
        <v>0</v>
      </c>
      <c r="AP258" s="149">
        <f>DP!$O$35*H258</f>
        <v>0</v>
      </c>
      <c r="AQ258" s="149">
        <f>DP!$P$35*H258</f>
        <v>0</v>
      </c>
      <c r="AV258" s="489">
        <f>DP!AV33</f>
        <v>0</v>
      </c>
      <c r="AW258" s="489">
        <f>DP!AW33</f>
        <v>0</v>
      </c>
      <c r="AX258" s="489">
        <f>DP!AX33</f>
        <v>0</v>
      </c>
      <c r="AY258" s="412">
        <f t="shared" si="259"/>
        <v>0</v>
      </c>
      <c r="AZ258" s="470">
        <f>DP!BF33</f>
        <v>0</v>
      </c>
      <c r="BA258" s="98">
        <f t="shared" si="260"/>
        <v>0</v>
      </c>
      <c r="BB258" s="97"/>
      <c r="BC258" s="102">
        <f t="shared" si="243"/>
        <v>0</v>
      </c>
      <c r="BD258" s="98">
        <f t="shared" si="244"/>
        <v>0</v>
      </c>
      <c r="BE258" s="93">
        <f t="shared" si="245"/>
        <v>0</v>
      </c>
      <c r="BF258" s="99">
        <f t="shared" si="246"/>
        <v>0</v>
      </c>
      <c r="BG258" s="100"/>
      <c r="BH258" s="102">
        <f>IFERROR((BA258*100%)/DP!$AQ$29,(0*1))</f>
        <v>0</v>
      </c>
      <c r="BI258" s="102">
        <f>IF(BH258&gt;0,(DP!$AQ$31),0*1)</f>
        <v>0</v>
      </c>
      <c r="BJ258" s="435">
        <f t="shared" si="261"/>
        <v>0</v>
      </c>
      <c r="BK258" s="475">
        <f>BA258*DP!$BA$44</f>
        <v>0</v>
      </c>
      <c r="BL258" s="475">
        <f>IF(BA258&gt;0,DP!$BB$44,0*1)</f>
        <v>0</v>
      </c>
      <c r="BM258" s="475">
        <f t="shared" si="262"/>
        <v>0</v>
      </c>
      <c r="BN258" s="102">
        <f>BA258*DP!$BA$45</f>
        <v>0</v>
      </c>
      <c r="BO258" s="102">
        <f>IF(BA258&gt;0,DP!$BB$45,0*1)</f>
        <v>0</v>
      </c>
      <c r="BP258" s="475">
        <f t="shared" si="263"/>
        <v>0</v>
      </c>
      <c r="BQ258" s="100"/>
      <c r="BR258" s="100"/>
      <c r="BS258" s="100"/>
      <c r="BT258" s="93">
        <f>IF(AW258=DP!$AN$15,AY258*(1+DP!$AQ$15),IF(AW258=DP!$AN$16,AY258*(1+DP!$AQ$16),IF(AW258=DP!$AN$17,AY258*(1+DP!$AQ$17),IF(AW258=DP!$AN$18,AY258*(1+DP!$AQ$18),0*1))))</f>
        <v>0</v>
      </c>
      <c r="BU258" s="102">
        <f>IF(AW258=DP!$AN$22,(DP!$AO$22),IF(AW258=DP!$AN$23,(DP!$AO$23),IF(AW258=DP!$AN$24,(DP!$AO$24),IF(AW258=DP!$AN$25,(DP!$AO$25),((0*1))))))</f>
        <v>0</v>
      </c>
      <c r="BV258" s="93">
        <f t="shared" si="264"/>
        <v>0</v>
      </c>
      <c r="BW258" s="93">
        <f>IF(AW258=DP!$AN$15,AY258*(1+DP!$AQ$15),IF(AW258=DP!$AN$16,AY258*(1+DP!$AQ$16),IF(AW258=DP!$AN$17,AY258*(1+DP!$AQ$17),IF(AW258=DP!$AN$18,AY258*(1+DP!$AQ$18),0*1))))</f>
        <v>0</v>
      </c>
      <c r="BX258" s="102">
        <f>IF(AW258=DP!$AN$22,(DP!$AP$22),IF(AW258=DP!$AN$23,(DP!$AP$23),IF(AW258=DP!$AN$24,(DP!$AP$24),IF(AW258=DP!$AN$25,(DP!$AP$25),((0*1))))))</f>
        <v>0</v>
      </c>
      <c r="BY258" s="93">
        <f t="shared" si="265"/>
        <v>0</v>
      </c>
      <c r="BZ258" s="93">
        <f>IF(AW258=DP!$AN$15,(AY258/DP!$AM$15)*(1+DP!$AQ$15),IF(AW258=DP!$AN$16,(AY258/DP!$AM$16)*(1+DP!$AQ$16),IF(AW258=DP!$AN$17,(AY258/DP!$AM$17)*(1+DP!$AQ$17),IF(AW258=DP!$AN$18,(AY258/DP!$AM$18)*(1+DP!$AQ$18),0*1))))</f>
        <v>0</v>
      </c>
      <c r="CA258" s="102">
        <f>IF(AW258=DP!$AN$22,(DP!$AQ$22),IF(AW258=DP!$AN$23,(DP!$AQ$23),IF(AW258=DP!$AN$24,(DP!$AQ$24),IF(AW258=DP!$AN$25,(DP!$AQ$25),((0*1))))))</f>
        <v>0</v>
      </c>
      <c r="CB258" s="93">
        <f t="shared" si="266"/>
        <v>0</v>
      </c>
      <c r="CC258" s="93">
        <f>IF(AW258=DP!$AN$15,AY258*(1+DP!$AQ$15),IF(AW258=DP!$AN$16,AY258*(1+DP!$AQ$16),IF(AW258=DP!$AN$17,AY258*(1+DP!$AQ$17),IF(AW258=DP!$AN$18,AY258*(1+DP!$AQ$18),0*1))))</f>
        <v>0</v>
      </c>
      <c r="CD258" s="102">
        <f>IF(AW258=DP!$AN$22,(DP!$AR$22),IF(AW258=DP!$AN$23,(DP!$AR$23),IF(AW258=DP!$AN$24,(DP!$AR$24),IF(AW258=DP!$AN$25,(DP!$AR$25),((0*1))))))</f>
        <v>0</v>
      </c>
      <c r="CE258" s="93">
        <f t="shared" si="267"/>
        <v>0</v>
      </c>
      <c r="CF258" s="100"/>
      <c r="CG258" s="149">
        <f t="shared" si="247"/>
        <v>0</v>
      </c>
      <c r="CH258" s="149">
        <f>DP!$N$35*BA258</f>
        <v>0</v>
      </c>
      <c r="CI258" s="149">
        <f>DP!$O$35*BA258</f>
        <v>0</v>
      </c>
      <c r="CJ258" s="149">
        <f>DP!$P$35*BA258</f>
        <v>0</v>
      </c>
    </row>
    <row r="259" spans="2:88" x14ac:dyDescent="0.35">
      <c r="B259" s="480">
        <f>DP!S34</f>
        <v>0</v>
      </c>
      <c r="C259" s="480">
        <f>DP!T34</f>
        <v>0</v>
      </c>
      <c r="D259" s="480">
        <f>DP!U34</f>
        <v>0</v>
      </c>
      <c r="E259" s="480">
        <f>DP!V34</f>
        <v>0</v>
      </c>
      <c r="F259" s="412">
        <f t="shared" si="248"/>
        <v>0</v>
      </c>
      <c r="G259" s="470">
        <f>DP!AD34</f>
        <v>0</v>
      </c>
      <c r="H259" s="98">
        <f t="shared" si="249"/>
        <v>0</v>
      </c>
      <c r="I259" s="97"/>
      <c r="J259" s="102">
        <f t="shared" si="238"/>
        <v>0</v>
      </c>
      <c r="K259" s="98">
        <f t="shared" si="239"/>
        <v>0</v>
      </c>
      <c r="L259" s="93">
        <f t="shared" si="240"/>
        <v>0</v>
      </c>
      <c r="M259" s="99">
        <f t="shared" si="241"/>
        <v>0</v>
      </c>
      <c r="N259" s="100"/>
      <c r="O259" s="102">
        <f>($E259/DP!$O$29)*F259</f>
        <v>0</v>
      </c>
      <c r="P259" s="102">
        <f>IF(O259&gt;0,(DP!$O$31),0*1)</f>
        <v>0</v>
      </c>
      <c r="Q259" s="102">
        <f t="shared" si="250"/>
        <v>0</v>
      </c>
      <c r="R259" s="102">
        <f t="shared" si="251"/>
        <v>0</v>
      </c>
      <c r="S259" s="418">
        <f t="shared" si="252"/>
        <v>0</v>
      </c>
      <c r="T259" s="475">
        <f>H259*DP!$Y$44</f>
        <v>0</v>
      </c>
      <c r="U259" s="475">
        <f>IF(H259&gt;0,DP!$Z$44,0*1)</f>
        <v>0</v>
      </c>
      <c r="V259" s="475">
        <f t="shared" si="253"/>
        <v>0</v>
      </c>
      <c r="W259" s="475">
        <f>H259*DP!$Y$45</f>
        <v>0</v>
      </c>
      <c r="X259" s="475">
        <f>IF(H259&gt;0,DP!$Z$45,0*1)</f>
        <v>0</v>
      </c>
      <c r="Y259" s="475">
        <f t="shared" si="254"/>
        <v>0</v>
      </c>
      <c r="Z259" s="100"/>
      <c r="AA259" s="93">
        <f>IF(D259=DP!$L$15,F259*(1+DP!$O$15),IF(D259=DP!$L$16,F259*(1+DP!$O$16),IF(D259=DP!$L$17,F259*(1+DP!$O$17),IF(D259=DP!$L$18,F259*(1+DP!$O$18),0*1))))</f>
        <v>0</v>
      </c>
      <c r="AB259" s="102">
        <f>IF(D259=DP!$L$22,(DP!$M$22),IF(D259=DP!$L$23,(DP!$M$23),IF(D259=DP!$L$24,(DP!$M$24),IF(D259=DP!$L$25,(DP!$M$25),((0*1))))))</f>
        <v>0</v>
      </c>
      <c r="AC259" s="93">
        <f t="shared" si="255"/>
        <v>0</v>
      </c>
      <c r="AD259" s="93">
        <f>IF(D259=DP!$L$15,F259*(1+DP!$O$15),IF(D259=DP!$L$16,F259*(1+DP!$O$16),IF(D259=DP!$L$17,F259*(1+DP!$O$17),IF(D259=DP!$L$18,F259*(1+DP!$O$18),0*1))))</f>
        <v>0</v>
      </c>
      <c r="AE259" s="102">
        <f>IF(D259=DP!$L$22,(DP!$N$22),IF(D259=DP!$L$23,(DP!$N$23),IF(D259=DP!$L$24,(DP!$N$24),IF(D259=DP!$L$25,(DP!$N$25),((0*1))))))</f>
        <v>0</v>
      </c>
      <c r="AF259" s="93">
        <f t="shared" si="256"/>
        <v>0</v>
      </c>
      <c r="AG259" s="93">
        <f>IF(D259=DP!$L$15,(F259/DP!$K$15)*(1+DP!$O$15),IF(D259=DP!$L$16,(F259/DP!$K$16)*(1+DP!$O$16),IF(D259=DP!$L$17,(F259/DP!$K$17)*(1+DP!$O$17),IF(D259=DP!$L$18,(F259/DP!$K$18)*(1+DP!$O$18),0*1))))</f>
        <v>0</v>
      </c>
      <c r="AH259" s="102">
        <f>IF(D259=DP!$L$22,(DP!$O$22),IF(D259=DP!$L$23,(DP!$O$23),IF(D259=DP!$L$24,(DP!$O$24),IF(D259=DP!$L$25,(DP!$O$25),((0*1))))))</f>
        <v>0</v>
      </c>
      <c r="AI259" s="93">
        <f t="shared" si="257"/>
        <v>0</v>
      </c>
      <c r="AJ259" s="93">
        <f>IF(D259=DP!$L$15,F259*(1+DP!$O$15),IF(D259=DP!$L$16,F259*(1+DP!$O$16),IF(D259=DP!$L$17,F259*(1+DP!$O$17),IF(D259=DP!$L$18,F259*(1+DP!$O$18),0*1))))</f>
        <v>0</v>
      </c>
      <c r="AK259" s="102">
        <f>IF(D259=DP!$L$22,(DP!$P$22),IF(D259=DP!$L$23,(DP!$P$23),IF(D259=DP!$L$24,(DP!$P$24),IF(D259=DP!$L$25,(DP!$P$25),((0*1))))))</f>
        <v>0</v>
      </c>
      <c r="AL259" s="93">
        <f t="shared" si="258"/>
        <v>0</v>
      </c>
      <c r="AM259" s="100"/>
      <c r="AN259" s="149">
        <f t="shared" si="242"/>
        <v>0</v>
      </c>
      <c r="AO259" s="149">
        <f>DP!$N$35*H259</f>
        <v>0</v>
      </c>
      <c r="AP259" s="149">
        <f>DP!$O$35*H259</f>
        <v>0</v>
      </c>
      <c r="AQ259" s="149">
        <f>DP!$P$35*H259</f>
        <v>0</v>
      </c>
      <c r="AV259" s="489">
        <f>DP!AV34</f>
        <v>0</v>
      </c>
      <c r="AW259" s="489">
        <f>DP!AW34</f>
        <v>0</v>
      </c>
      <c r="AX259" s="489">
        <f>DP!AX34</f>
        <v>0</v>
      </c>
      <c r="AY259" s="412">
        <f t="shared" si="259"/>
        <v>0</v>
      </c>
      <c r="AZ259" s="470">
        <f>DP!BF34</f>
        <v>0</v>
      </c>
      <c r="BA259" s="98">
        <f t="shared" si="260"/>
        <v>0</v>
      </c>
      <c r="BB259" s="97"/>
      <c r="BC259" s="102">
        <f t="shared" si="243"/>
        <v>0</v>
      </c>
      <c r="BD259" s="98">
        <f t="shared" si="244"/>
        <v>0</v>
      </c>
      <c r="BE259" s="93">
        <f t="shared" si="245"/>
        <v>0</v>
      </c>
      <c r="BF259" s="99">
        <f t="shared" si="246"/>
        <v>0</v>
      </c>
      <c r="BG259" s="100"/>
      <c r="BH259" s="102">
        <f>IFERROR((BA259*100%)/DP!$AQ$29,(0*1))</f>
        <v>0</v>
      </c>
      <c r="BI259" s="102">
        <f>IF(BH259&gt;0,(DP!$AQ$31),0*1)</f>
        <v>0</v>
      </c>
      <c r="BJ259" s="435">
        <f>BH259*BI259</f>
        <v>0</v>
      </c>
      <c r="BK259" s="475">
        <f>BA259*DP!$BA$44</f>
        <v>0</v>
      </c>
      <c r="BL259" s="475">
        <f>IF(BA259&gt;0,DP!$BB$44,0*1)</f>
        <v>0</v>
      </c>
      <c r="BM259" s="475">
        <f t="shared" si="262"/>
        <v>0</v>
      </c>
      <c r="BN259" s="102">
        <f>BA259*DP!$BA$45</f>
        <v>0</v>
      </c>
      <c r="BO259" s="102">
        <f>IF(BA259&gt;0,DP!$BB$45,0*1)</f>
        <v>0</v>
      </c>
      <c r="BP259" s="475">
        <f t="shared" si="263"/>
        <v>0</v>
      </c>
      <c r="BQ259" s="100"/>
      <c r="BR259" s="100"/>
      <c r="BS259" s="100"/>
      <c r="BT259" s="93">
        <f>IF(AW259=DP!$AN$15,AY259*(1+DP!$AQ$15),IF(AW259=DP!$AN$16,AY259*(1+DP!$AQ$16),IF(AW259=DP!$AN$17,AY259*(1+DP!$AQ$17),IF(AW259=DP!$AN$18,AY259*(1+DP!$AQ$18),0*1))))</f>
        <v>0</v>
      </c>
      <c r="BU259" s="102">
        <f>IF(AW259=DP!$AN$22,(DP!$AO$22),IF(AW259=DP!$AN$23,(DP!$AO$23),IF(AW259=DP!$AN$24,(DP!$AO$24),IF(AW259=DP!$AN$25,(DP!$AO$25),((0*1))))))</f>
        <v>0</v>
      </c>
      <c r="BV259" s="93">
        <f t="shared" si="264"/>
        <v>0</v>
      </c>
      <c r="BW259" s="93">
        <f>IF(AW259=DP!$AN$15,AY259*(1+DP!$AQ$15),IF(AW259=DP!$AN$16,AY259*(1+DP!$AQ$16),IF(AW259=DP!$AN$17,AY259*(1+DP!$AQ$17),IF(AW259=DP!$AN$18,AY259*(1+DP!$AQ$18),0*1))))</f>
        <v>0</v>
      </c>
      <c r="BX259" s="102">
        <f>IF(AW259=DP!$AN$22,(DP!$AP$22),IF(AW259=DP!$AN$23,(DP!$AP$23),IF(AW259=DP!$AN$24,(DP!$AP$24),IF(AW259=DP!$AN$25,(DP!$AP$25),((0*1))))))</f>
        <v>0</v>
      </c>
      <c r="BY259" s="93">
        <f t="shared" si="265"/>
        <v>0</v>
      </c>
      <c r="BZ259" s="93">
        <f>IF(AW259=DP!$AN$15,(AY259/DP!$AM$15)*(1+DP!$AQ$15),IF(AW259=DP!$AN$16,(AY259/DP!$AM$16)*(1+DP!$AQ$16),IF(AW259=DP!$AN$17,(AY259/DP!$AM$17)*(1+DP!$AQ$17),IF(AW259=DP!$AN$18,(AY259/DP!$AM$18)*(1+DP!$AQ$18),0*1))))</f>
        <v>0</v>
      </c>
      <c r="CA259" s="102">
        <f>IF(AW259=DP!$AN$22,(DP!$AQ$22),IF(AW259=DP!$AN$23,(DP!$AQ$23),IF(AW259=DP!$AN$24,(DP!$AQ$24),IF(AW259=DP!$AN$25,(DP!$AQ$25),((0*1))))))</f>
        <v>0</v>
      </c>
      <c r="CB259" s="93">
        <f t="shared" si="266"/>
        <v>0</v>
      </c>
      <c r="CC259" s="93">
        <f>IF(AW259=DP!$AN$15,AY259*(1+DP!$AQ$15),IF(AW259=DP!$AN$16,AY259*(1+DP!$AQ$16),IF(AW259=DP!$AN$17,AY259*(1+DP!$AQ$17),IF(AW259=DP!$AN$18,AY259*(1+DP!$AQ$18),0*1))))</f>
        <v>0</v>
      </c>
      <c r="CD259" s="102">
        <f>IF(AW259=DP!$AN$22,(DP!$AR$22),IF(AW259=DP!$AN$23,(DP!$AR$23),IF(AW259=DP!$AN$24,(DP!$AR$24),IF(AW259=DP!$AN$25,(DP!$AR$25),((0*1))))))</f>
        <v>0</v>
      </c>
      <c r="CE259" s="93">
        <f t="shared" si="267"/>
        <v>0</v>
      </c>
      <c r="CF259" s="100"/>
      <c r="CG259" s="149">
        <f t="shared" si="247"/>
        <v>0</v>
      </c>
      <c r="CH259" s="149">
        <f>DP!$N$35*BA259</f>
        <v>0</v>
      </c>
      <c r="CI259" s="149">
        <f>DP!$O$35*BA259</f>
        <v>0</v>
      </c>
      <c r="CJ259" s="149">
        <f>DP!$P$35*BA259</f>
        <v>0</v>
      </c>
    </row>
    <row r="260" spans="2:88" x14ac:dyDescent="0.35">
      <c r="B260" s="480">
        <f>DP!S35</f>
        <v>0</v>
      </c>
      <c r="C260" s="480">
        <f>DP!T35</f>
        <v>0</v>
      </c>
      <c r="D260" s="480">
        <f>DP!U35</f>
        <v>0</v>
      </c>
      <c r="E260" s="480">
        <f>DP!V35</f>
        <v>0</v>
      </c>
      <c r="F260" s="412">
        <f t="shared" si="248"/>
        <v>0</v>
      </c>
      <c r="G260" s="470">
        <f>DP!AD35</f>
        <v>0</v>
      </c>
      <c r="H260" s="98">
        <f t="shared" si="249"/>
        <v>0</v>
      </c>
      <c r="I260" s="97"/>
      <c r="J260" s="102">
        <f t="shared" si="238"/>
        <v>0</v>
      </c>
      <c r="K260" s="98">
        <f t="shared" si="239"/>
        <v>0</v>
      </c>
      <c r="L260" s="93">
        <f t="shared" si="240"/>
        <v>0</v>
      </c>
      <c r="M260" s="99">
        <f t="shared" si="241"/>
        <v>0</v>
      </c>
      <c r="N260" s="100"/>
      <c r="O260" s="102">
        <f>($E260/DP!$O$29)*F260</f>
        <v>0</v>
      </c>
      <c r="P260" s="102">
        <f>IF(O260&gt;0,(DP!$O$31),0*1)</f>
        <v>0</v>
      </c>
      <c r="Q260" s="102">
        <f t="shared" si="250"/>
        <v>0</v>
      </c>
      <c r="R260" s="102">
        <f t="shared" si="251"/>
        <v>0</v>
      </c>
      <c r="S260" s="418">
        <f t="shared" si="252"/>
        <v>0</v>
      </c>
      <c r="T260" s="475">
        <f>H260*DP!$Y$44</f>
        <v>0</v>
      </c>
      <c r="U260" s="475">
        <f>IF(H260&gt;0,DP!$Z$44,0*1)</f>
        <v>0</v>
      </c>
      <c r="V260" s="475">
        <f t="shared" si="253"/>
        <v>0</v>
      </c>
      <c r="W260" s="475">
        <f>H260*DP!$Y$45</f>
        <v>0</v>
      </c>
      <c r="X260" s="475">
        <f>IF(H260&gt;0,DP!$Z$45,0*1)</f>
        <v>0</v>
      </c>
      <c r="Y260" s="475">
        <f t="shared" si="254"/>
        <v>0</v>
      </c>
      <c r="Z260" s="100"/>
      <c r="AA260" s="93">
        <f>IF(D260=DP!$L$15,F260*(1+DP!$O$15),IF(D260=DP!$L$16,F260*(1+DP!$O$16),IF(D260=DP!$L$17,F260*(1+DP!$O$17),IF(D260=DP!$L$18,F260*(1+DP!$O$18),0*1))))</f>
        <v>0</v>
      </c>
      <c r="AB260" s="102">
        <f>IF(D260=DP!$L$22,(DP!$M$22),IF(D260=DP!$L$23,(DP!$M$23),IF(D260=DP!$L$24,(DP!$M$24),IF(D260=DP!$L$25,(DP!$M$25),((0*1))))))</f>
        <v>0</v>
      </c>
      <c r="AC260" s="93">
        <f t="shared" si="255"/>
        <v>0</v>
      </c>
      <c r="AD260" s="93">
        <f>IF(D260=DP!$L$15,F260*(1+DP!$O$15),IF(D260=DP!$L$16,F260*(1+DP!$O$16),IF(D260=DP!$L$17,F260*(1+DP!$O$17),IF(D260=DP!$L$18,F260*(1+DP!$O$18),0*1))))</f>
        <v>0</v>
      </c>
      <c r="AE260" s="102">
        <f>IF(D260=DP!$L$22,(DP!$N$22),IF(D260=DP!$L$23,(DP!$N$23),IF(D260=DP!$L$24,(DP!$N$24),IF(D260=DP!$L$25,(DP!$N$25),((0*1))))))</f>
        <v>0</v>
      </c>
      <c r="AF260" s="93">
        <f t="shared" si="256"/>
        <v>0</v>
      </c>
      <c r="AG260" s="93">
        <f>IF(D260=DP!$L$15,(F260/DP!$K$15)*(1+DP!$O$15),IF(D260=DP!$L$16,(F260/DP!$K$16)*(1+DP!$O$16),IF(D260=DP!$L$17,(F260/DP!$K$17)*(1+DP!$O$17),IF(D260=DP!$L$18,(F260/DP!$K$18)*(1+DP!$O$18),0*1))))</f>
        <v>0</v>
      </c>
      <c r="AH260" s="102">
        <f>IF(D260=DP!$L$22,(DP!$O$22),IF(D260=DP!$L$23,(DP!$O$23),IF(D260=DP!$L$24,(DP!$O$24),IF(D260=DP!$L$25,(DP!$O$25),((0*1))))))</f>
        <v>0</v>
      </c>
      <c r="AI260" s="93">
        <f t="shared" si="257"/>
        <v>0</v>
      </c>
      <c r="AJ260" s="93">
        <f>IF(D260=DP!$L$15,F260*(1+DP!$O$15),IF(D260=DP!$L$16,F260*(1+DP!$O$16),IF(D260=DP!$L$17,F260*(1+DP!$O$17),IF(D260=DP!$L$18,F260*(1+DP!$O$18),0*1))))</f>
        <v>0</v>
      </c>
      <c r="AK260" s="102">
        <f>IF(D260=DP!$L$22,(DP!$P$22),IF(D260=DP!$L$23,(DP!$P$23),IF(D260=DP!$L$24,(DP!$P$24),IF(D260=DP!$L$25,(DP!$P$25),((0*1))))))</f>
        <v>0</v>
      </c>
      <c r="AL260" s="93">
        <f t="shared" si="258"/>
        <v>0</v>
      </c>
      <c r="AM260" s="100"/>
      <c r="AN260" s="149">
        <f t="shared" si="242"/>
        <v>0</v>
      </c>
      <c r="AO260" s="149">
        <f>DP!$N$35*H260</f>
        <v>0</v>
      </c>
      <c r="AP260" s="149">
        <f>DP!$O$35*H260</f>
        <v>0</v>
      </c>
      <c r="AQ260" s="149">
        <f>DP!$P$35*H260</f>
        <v>0</v>
      </c>
      <c r="AV260" s="489">
        <f>DP!AV35</f>
        <v>0</v>
      </c>
      <c r="AW260" s="489">
        <f>DP!AW35</f>
        <v>0</v>
      </c>
      <c r="AX260" s="489">
        <f>DP!AX35</f>
        <v>0</v>
      </c>
      <c r="AY260" s="412">
        <f t="shared" si="259"/>
        <v>0</v>
      </c>
      <c r="AZ260" s="470">
        <f>DP!BF35</f>
        <v>0</v>
      </c>
      <c r="BA260" s="98">
        <f t="shared" si="260"/>
        <v>0</v>
      </c>
      <c r="BB260" s="97"/>
      <c r="BC260" s="102">
        <f t="shared" si="243"/>
        <v>0</v>
      </c>
      <c r="BD260" s="98">
        <f t="shared" si="244"/>
        <v>0</v>
      </c>
      <c r="BE260" s="93">
        <f t="shared" si="245"/>
        <v>0</v>
      </c>
      <c r="BF260" s="99">
        <f t="shared" si="246"/>
        <v>0</v>
      </c>
      <c r="BG260" s="100"/>
      <c r="BH260" s="102">
        <f>IFERROR((BA260*100%)/DP!$AQ$29,(0*1))</f>
        <v>0</v>
      </c>
      <c r="BI260" s="102">
        <f>IF(BH260&gt;0,(DP!$AQ$31),0*1)</f>
        <v>0</v>
      </c>
      <c r="BJ260" s="435">
        <f t="shared" ref="BJ260:BJ261" si="268">BH260*BI260</f>
        <v>0</v>
      </c>
      <c r="BK260" s="475">
        <f>BA260*DP!$BA$44</f>
        <v>0</v>
      </c>
      <c r="BL260" s="475">
        <f>IF(BA260&gt;0,DP!$BB$44,0*1)</f>
        <v>0</v>
      </c>
      <c r="BM260" s="475">
        <f t="shared" si="262"/>
        <v>0</v>
      </c>
      <c r="BN260" s="102">
        <f>BA260*DP!$BA$45</f>
        <v>0</v>
      </c>
      <c r="BO260" s="102">
        <f>IF(BA260&gt;0,DP!$BB$45,0*1)</f>
        <v>0</v>
      </c>
      <c r="BP260" s="475">
        <f t="shared" si="263"/>
        <v>0</v>
      </c>
      <c r="BQ260" s="100"/>
      <c r="BR260" s="100"/>
      <c r="BS260" s="100"/>
      <c r="BT260" s="93">
        <f>IF(AW260=DP!$AN$15,AY260*(1+DP!$AQ$15),IF(AW260=DP!$AN$16,AY260*(1+DP!$AQ$16),IF(AW260=DP!$AN$17,AY260*(1+DP!$AQ$17),IF(AW260=DP!$AN$18,AY260*(1+DP!$AQ$18),0*1))))</f>
        <v>0</v>
      </c>
      <c r="BU260" s="102">
        <f>IF(AW260=DP!$AN$22,(DP!$AO$22),IF(AW260=DP!$AN$23,(DP!$AO$23),IF(AW260=DP!$AN$24,(DP!$AO$24),IF(AW260=DP!$AN$25,(DP!$AO$25),((0*1))))))</f>
        <v>0</v>
      </c>
      <c r="BV260" s="93">
        <f t="shared" si="264"/>
        <v>0</v>
      </c>
      <c r="BW260" s="93">
        <f>IF(AW260=DP!$AN$15,AY260*(1+DP!$AQ$15),IF(AW260=DP!$AN$16,AY260*(1+DP!$AQ$16),IF(AW260=DP!$AN$17,AY260*(1+DP!$AQ$17),IF(AW260=DP!$AN$18,AY260*(1+DP!$AQ$18),0*1))))</f>
        <v>0</v>
      </c>
      <c r="BX260" s="102">
        <f>IF(AW260=DP!$AN$22,(DP!$AP$22),IF(AW260=DP!$AN$23,(DP!$AP$23),IF(AW260=DP!$AN$24,(DP!$AP$24),IF(AW260=DP!$AN$25,(DP!$AP$25),((0*1))))))</f>
        <v>0</v>
      </c>
      <c r="BY260" s="93">
        <f t="shared" si="265"/>
        <v>0</v>
      </c>
      <c r="BZ260" s="93">
        <f>IF(AW260=DP!$AN$15,(AY260/DP!$AM$15)*(1+DP!$AQ$15),IF(AW260=DP!$AN$16,(AY260/DP!$AM$16)*(1+DP!$AQ$16),IF(AW260=DP!$AN$17,(AY260/DP!$AM$17)*(1+DP!$AQ$17),IF(AW260=DP!$AN$18,(AY260/DP!$AM$18)*(1+DP!$AQ$18),0*1))))</f>
        <v>0</v>
      </c>
      <c r="CA260" s="102">
        <f>IF(AW260=DP!$AN$22,(DP!$AQ$22),IF(AW260=DP!$AN$23,(DP!$AQ$23),IF(AW260=DP!$AN$24,(DP!$AQ$24),IF(AW260=DP!$AN$25,(DP!$AQ$25),((0*1))))))</f>
        <v>0</v>
      </c>
      <c r="CB260" s="93">
        <f t="shared" si="266"/>
        <v>0</v>
      </c>
      <c r="CC260" s="93">
        <f>IF(AW260=DP!$AN$15,AY260*(1+DP!$AQ$15),IF(AW260=DP!$AN$16,AY260*(1+DP!$AQ$16),IF(AW260=DP!$AN$17,AY260*(1+DP!$AQ$17),IF(AW260=DP!$AN$18,AY260*(1+DP!$AQ$18),0*1))))</f>
        <v>0</v>
      </c>
      <c r="CD260" s="102">
        <f>IF(AW260=DP!$AN$22,(DP!$AR$22),IF(AW260=DP!$AN$23,(DP!$AR$23),IF(AW260=DP!$AN$24,(DP!$AR$24),IF(AW260=DP!$AN$25,(DP!$AR$25),((0*1))))))</f>
        <v>0</v>
      </c>
      <c r="CE260" s="93">
        <f t="shared" si="267"/>
        <v>0</v>
      </c>
      <c r="CF260" s="100"/>
      <c r="CG260" s="149">
        <f t="shared" si="247"/>
        <v>0</v>
      </c>
      <c r="CH260" s="149">
        <f>DP!$N$35*BA260</f>
        <v>0</v>
      </c>
      <c r="CI260" s="149">
        <f>DP!$O$35*BA260</f>
        <v>0</v>
      </c>
      <c r="CJ260" s="149">
        <f>DP!$P$35*BA260</f>
        <v>0</v>
      </c>
    </row>
    <row r="261" spans="2:88" ht="16" thickBot="1" x14ac:dyDescent="0.4">
      <c r="B261" s="480">
        <f>DP!S36</f>
        <v>0</v>
      </c>
      <c r="C261" s="480">
        <f>DP!T36</f>
        <v>0</v>
      </c>
      <c r="D261" s="480">
        <f>DP!U36</f>
        <v>0</v>
      </c>
      <c r="E261" s="480">
        <f>DP!V36</f>
        <v>0</v>
      </c>
      <c r="F261" s="412">
        <f t="shared" si="248"/>
        <v>0</v>
      </c>
      <c r="G261" s="470">
        <f>DP!AD36</f>
        <v>0</v>
      </c>
      <c r="H261" s="98">
        <f t="shared" si="249"/>
        <v>0</v>
      </c>
      <c r="I261" s="97"/>
      <c r="J261" s="102">
        <f t="shared" si="238"/>
        <v>0</v>
      </c>
      <c r="K261" s="98">
        <f t="shared" si="239"/>
        <v>0</v>
      </c>
      <c r="L261" s="93">
        <f t="shared" si="240"/>
        <v>0</v>
      </c>
      <c r="M261" s="99">
        <f t="shared" si="241"/>
        <v>0</v>
      </c>
      <c r="N261" s="100"/>
      <c r="O261" s="102">
        <f>($E261/DP!$O$29)*F261</f>
        <v>0</v>
      </c>
      <c r="P261" s="102">
        <f>IF(O261&gt;0,(DP!$O$31),0*1)</f>
        <v>0</v>
      </c>
      <c r="Q261" s="102">
        <f t="shared" si="250"/>
        <v>0</v>
      </c>
      <c r="R261" s="102">
        <f t="shared" si="251"/>
        <v>0</v>
      </c>
      <c r="S261" s="418">
        <f t="shared" si="252"/>
        <v>0</v>
      </c>
      <c r="T261" s="475">
        <f>H261*DP!$Y$44</f>
        <v>0</v>
      </c>
      <c r="U261" s="475">
        <f>IF(H261&gt;0,DP!$Z$44,0*1)</f>
        <v>0</v>
      </c>
      <c r="V261" s="475">
        <f t="shared" si="253"/>
        <v>0</v>
      </c>
      <c r="W261" s="475">
        <f>H261*DP!$Y$45</f>
        <v>0</v>
      </c>
      <c r="X261" s="475">
        <f>IF(H261&gt;0,DP!$Z$45,0*1)</f>
        <v>0</v>
      </c>
      <c r="Y261" s="475">
        <f t="shared" si="254"/>
        <v>0</v>
      </c>
      <c r="Z261" s="100"/>
      <c r="AA261" s="93">
        <f>IF(D261=DP!$L$15,F261*(1+DP!$O$15),IF(D261=DP!$L$16,F261*(1+DP!$O$16),IF(D261=DP!$L$17,F261*(1+DP!$O$17),IF(D261=DP!$L$18,F261*(1+DP!$O$18),0*1))))</f>
        <v>0</v>
      </c>
      <c r="AB261" s="102">
        <f>IF(D261=DP!$L$22,(DP!$M$22),IF(D261=DP!$L$23,(DP!$M$23),IF(D261=DP!$L$24,(DP!$M$24),IF(D261=DP!$L$25,(DP!$M$25),((0*1))))))</f>
        <v>0</v>
      </c>
      <c r="AC261" s="93">
        <f t="shared" si="255"/>
        <v>0</v>
      </c>
      <c r="AD261" s="93">
        <f>IF(D261=DP!$L$15,F261*(1+DP!$O$15),IF(D261=DP!$L$16,F261*(1+DP!$O$16),IF(D261=DP!$L$17,F261*(1+DP!$O$17),IF(D261=DP!$L$18,F261*(1+DP!$O$18),0*1))))</f>
        <v>0</v>
      </c>
      <c r="AE261" s="102">
        <f>IF(D261=DP!$L$22,(DP!$N$22),IF(D261=DP!$L$23,(DP!$N$23),IF(D261=DP!$L$24,(DP!$N$24),IF(D261=DP!$L$25,(DP!$N$25),((0*1))))))</f>
        <v>0</v>
      </c>
      <c r="AF261" s="93">
        <f t="shared" si="256"/>
        <v>0</v>
      </c>
      <c r="AG261" s="93">
        <f>IF(D261=DP!$L$15,(F261/DP!$K$15)*(1+DP!$O$15),IF(D261=DP!$L$16,(F261/DP!$K$16)*(1+DP!$O$16),IF(D261=DP!$L$17,(F261/DP!$K$17)*(1+DP!$O$17),IF(D261=DP!$L$18,(F261/DP!$K$18)*(1+DP!$O$18),0*1))))</f>
        <v>0</v>
      </c>
      <c r="AH261" s="102">
        <f>IF(D261=DP!$L$22,(DP!$O$22),IF(D261=DP!$L$23,(DP!$O$23),IF(D261=DP!$L$24,(DP!$O$24),IF(D261=DP!$L$25,(DP!$O$25),((0*1))))))</f>
        <v>0</v>
      </c>
      <c r="AI261" s="93">
        <f t="shared" si="257"/>
        <v>0</v>
      </c>
      <c r="AJ261" s="93">
        <f>IF(D261=DP!$L$15,F261*(1+DP!$O$15),IF(D261=DP!$L$16,F261*(1+DP!$O$16),IF(D261=DP!$L$17,F261*(1+DP!$O$17),IF(D261=DP!$L$18,F261*(1+DP!$O$18),0*1))))</f>
        <v>0</v>
      </c>
      <c r="AK261" s="102">
        <f>IF(D261=DP!$L$22,(DP!$P$22),IF(D261=DP!$L$23,(DP!$P$23),IF(D261=DP!$L$24,(DP!$P$24),IF(D261=DP!$L$25,(DP!$P$25),((0*1))))))</f>
        <v>0</v>
      </c>
      <c r="AL261" s="93">
        <f t="shared" si="258"/>
        <v>0</v>
      </c>
      <c r="AM261" s="100"/>
      <c r="AN261" s="149">
        <f t="shared" si="242"/>
        <v>0</v>
      </c>
      <c r="AO261" s="149">
        <f>DP!$N$35*H261</f>
        <v>0</v>
      </c>
      <c r="AP261" s="149">
        <f>DP!$O$35*H261</f>
        <v>0</v>
      </c>
      <c r="AQ261" s="149">
        <f>DP!$P$35*H261</f>
        <v>0</v>
      </c>
      <c r="AV261" s="489">
        <f>DP!AV36</f>
        <v>0</v>
      </c>
      <c r="AW261" s="489">
        <f>DP!AW36</f>
        <v>0</v>
      </c>
      <c r="AX261" s="489">
        <f>DP!AX36</f>
        <v>0</v>
      </c>
      <c r="AY261" s="412">
        <f t="shared" si="259"/>
        <v>0</v>
      </c>
      <c r="AZ261" s="470">
        <f>DP!BF36</f>
        <v>0</v>
      </c>
      <c r="BA261" s="98">
        <f t="shared" si="260"/>
        <v>0</v>
      </c>
      <c r="BB261" s="97"/>
      <c r="BC261" s="102">
        <f t="shared" si="243"/>
        <v>0</v>
      </c>
      <c r="BD261" s="98">
        <f t="shared" si="244"/>
        <v>0</v>
      </c>
      <c r="BE261" s="93">
        <f t="shared" si="245"/>
        <v>0</v>
      </c>
      <c r="BF261" s="99">
        <f t="shared" si="246"/>
        <v>0</v>
      </c>
      <c r="BG261" s="100"/>
      <c r="BH261" s="102">
        <f>IFERROR((BA261*100%)/DP!$AQ$29,(0*1))</f>
        <v>0</v>
      </c>
      <c r="BI261" s="102">
        <f>IF(BH261&gt;0,(DP!$AQ$31),0*1)</f>
        <v>0</v>
      </c>
      <c r="BJ261" s="435">
        <f t="shared" si="268"/>
        <v>0</v>
      </c>
      <c r="BK261" s="475">
        <f>BA261*DP!$BA$44</f>
        <v>0</v>
      </c>
      <c r="BL261" s="475">
        <f>IF(BA261&gt;0,DP!$BB$44,0*1)</f>
        <v>0</v>
      </c>
      <c r="BM261" s="475">
        <f t="shared" si="262"/>
        <v>0</v>
      </c>
      <c r="BN261" s="102">
        <f>BA261*DP!$BA$45</f>
        <v>0</v>
      </c>
      <c r="BO261" s="102">
        <f>IF(BA261&gt;0,DP!$BB$45,0*1)</f>
        <v>0</v>
      </c>
      <c r="BP261" s="475">
        <f t="shared" si="263"/>
        <v>0</v>
      </c>
      <c r="BQ261" s="100"/>
      <c r="BR261" s="100"/>
      <c r="BS261" s="100"/>
      <c r="BT261" s="93">
        <f>IF(AW261=DP!$AN$15,AY261*(1+DP!$AQ$15),IF(AW261=DP!$AN$16,AY261*(1+DP!$AQ$16),IF(AW261=DP!$AN$17,AY261*(1+DP!$AQ$17),IF(AW261=DP!$AN$18,AY261*(1+DP!$AQ$18),0*1))))</f>
        <v>0</v>
      </c>
      <c r="BU261" s="102">
        <f>IF(AW261=DP!$AN$22,(DP!$AO$22),IF(AW261=DP!$AN$23,(DP!$AO$23),IF(AW261=DP!$AN$24,(DP!$AO$24),IF(AW261=DP!$AN$25,(DP!$AO$25),((0*1))))))</f>
        <v>0</v>
      </c>
      <c r="BV261" s="93">
        <f t="shared" si="264"/>
        <v>0</v>
      </c>
      <c r="BW261" s="93">
        <f>IF(AW261=DP!$AN$15,AY261*(1+DP!$AQ$15),IF(AW261=DP!$AN$16,AY261*(1+DP!$AQ$16),IF(AW261=DP!$AN$17,AY261*(1+DP!$AQ$17),IF(AW261=DP!$AN$18,AY261*(1+DP!$AQ$18),0*1))))</f>
        <v>0</v>
      </c>
      <c r="BX261" s="102">
        <f>IF(AW261=DP!$AN$22,(DP!$AP$22),IF(AW261=DP!$AN$23,(DP!$AP$23),IF(AW261=DP!$AN$24,(DP!$AP$24),IF(AW261=DP!$AN$25,(DP!$AP$25),((0*1))))))</f>
        <v>0</v>
      </c>
      <c r="BY261" s="93">
        <f t="shared" si="265"/>
        <v>0</v>
      </c>
      <c r="BZ261" s="93">
        <f>IF(AW261=DP!$AN$15,(AY261/DP!$AM$15)*(1+DP!$AQ$15),IF(AW261=DP!$AN$16,(AY261/DP!$AM$16)*(1+DP!$AQ$16),IF(AW261=DP!$AN$17,(AY261/DP!$AM$17)*(1+DP!$AQ$17),IF(AW261=DP!$AN$18,(AY261/DP!$AM$18)*(1+DP!$AQ$18),0*1))))</f>
        <v>0</v>
      </c>
      <c r="CA261" s="102">
        <f>IF(AW261=DP!$AN$22,(DP!$AQ$22),IF(AW261=DP!$AN$23,(DP!$AQ$23),IF(AW261=DP!$AN$24,(DP!$AQ$24),IF(AW261=DP!$AN$25,(DP!$AQ$25),((0*1))))))</f>
        <v>0</v>
      </c>
      <c r="CB261" s="93">
        <f t="shared" si="266"/>
        <v>0</v>
      </c>
      <c r="CC261" s="93">
        <f>IF(AW261=DP!$AN$15,AY261*(1+DP!$AQ$15),IF(AW261=DP!$AN$16,AY261*(1+DP!$AQ$16),IF(AW261=DP!$AN$17,AY261*(1+DP!$AQ$17),IF(AW261=DP!$AN$18,AY261*(1+DP!$AQ$18),0*1))))</f>
        <v>0</v>
      </c>
      <c r="CD261" s="102">
        <f>IF(AW261=DP!$AN$22,(DP!$AR$22),IF(AW261=DP!$AN$23,(DP!$AR$23),IF(AW261=DP!$AN$24,(DP!$AR$24),IF(AW261=DP!$AN$25,(DP!$AR$25),((0*1))))))</f>
        <v>0</v>
      </c>
      <c r="CE261" s="93">
        <f t="shared" si="267"/>
        <v>0</v>
      </c>
      <c r="CF261" s="100"/>
      <c r="CG261" s="149">
        <f t="shared" si="247"/>
        <v>0</v>
      </c>
      <c r="CH261" s="149">
        <f>DP!$N$35*BA261</f>
        <v>0</v>
      </c>
      <c r="CI261" s="149">
        <f>DP!$O$35*BA261</f>
        <v>0</v>
      </c>
      <c r="CJ261" s="149">
        <f>DP!$P$35*BA261</f>
        <v>0</v>
      </c>
    </row>
    <row r="262" spans="2:88" ht="16" thickBot="1" x14ac:dyDescent="0.4">
      <c r="C262" s="103" t="s">
        <v>222</v>
      </c>
      <c r="D262" s="104"/>
      <c r="E262" s="104"/>
      <c r="F262" s="120">
        <f>SUM(F243:F261)</f>
        <v>0</v>
      </c>
      <c r="G262" s="411">
        <f>SUM(G243:G261)</f>
        <v>0</v>
      </c>
      <c r="H262" s="121">
        <f>SUM(H243:H261)</f>
        <v>0</v>
      </c>
      <c r="I262" s="87"/>
      <c r="J262" s="151"/>
      <c r="K262" s="106"/>
      <c r="L262" s="107">
        <f t="shared" ref="L262" si="269">SUM(L243:L261)</f>
        <v>0</v>
      </c>
      <c r="M262" s="105">
        <f>SUM(M243:M261)</f>
        <v>0</v>
      </c>
      <c r="N262" s="87"/>
      <c r="O262" s="152">
        <f>SUM(O243:O261)</f>
        <v>0</v>
      </c>
      <c r="P262" s="416"/>
      <c r="Q262" s="152">
        <f>SUM(Q243:Q261)</f>
        <v>0</v>
      </c>
      <c r="R262" s="126"/>
      <c r="S262" s="419">
        <f>SUM(S243:S261)</f>
        <v>0</v>
      </c>
      <c r="T262" s="476">
        <f>SUM(T243:T261)</f>
        <v>0</v>
      </c>
      <c r="U262" s="477"/>
      <c r="V262" s="478">
        <f>SUM(V243:V261)</f>
        <v>0</v>
      </c>
      <c r="W262" s="478">
        <f>SUM(W243:W261)</f>
        <v>0</v>
      </c>
      <c r="X262" s="477"/>
      <c r="Y262" s="479">
        <f>SUM(Y243:Y261)</f>
        <v>0</v>
      </c>
      <c r="Z262" s="87"/>
      <c r="AA262" s="152">
        <f>SUM(AA243:AA261)</f>
        <v>0</v>
      </c>
      <c r="AB262" s="77"/>
      <c r="AC262" s="153">
        <f>SUM(AC243:AC261)</f>
        <v>0</v>
      </c>
      <c r="AD262" s="153">
        <f>SUM(AD243:AD261)</f>
        <v>0</v>
      </c>
      <c r="AE262" s="77"/>
      <c r="AF262" s="153">
        <f>SUM(AF243:AF261)</f>
        <v>0</v>
      </c>
      <c r="AG262" s="153">
        <f>SUM(AG243:AG261)</f>
        <v>0</v>
      </c>
      <c r="AH262" s="77"/>
      <c r="AI262" s="153">
        <f>SUM(AI243:AI261)</f>
        <v>0</v>
      </c>
      <c r="AJ262" s="153">
        <f>SUM(AJ243:AJ261)</f>
        <v>0</v>
      </c>
      <c r="AK262" s="77"/>
      <c r="AL262" s="154">
        <f>SUM(AL243:AL261)</f>
        <v>0</v>
      </c>
      <c r="AM262" s="87"/>
      <c r="AN262" s="152">
        <f>SUM(AN243:AN261)</f>
        <v>0</v>
      </c>
      <c r="AO262" s="153">
        <f t="shared" ref="AO262:AQ262" si="270">SUM(AO243:AO261)</f>
        <v>0</v>
      </c>
      <c r="AP262" s="153">
        <f t="shared" si="270"/>
        <v>0</v>
      </c>
      <c r="AQ262" s="153">
        <f t="shared" si="270"/>
        <v>0</v>
      </c>
      <c r="AV262" s="103" t="s">
        <v>222</v>
      </c>
      <c r="AW262" s="104"/>
      <c r="AX262" s="104"/>
      <c r="AY262" s="120">
        <f>SUM(AY243:AY261)</f>
        <v>488160</v>
      </c>
      <c r="AZ262" s="411">
        <f>SUM(AZ243:AZ261)</f>
        <v>0.99999999999999989</v>
      </c>
      <c r="BA262" s="121">
        <f>SUM(BA243:BA261)</f>
        <v>183600</v>
      </c>
      <c r="BB262" s="87"/>
      <c r="BC262" s="151"/>
      <c r="BD262" s="106"/>
      <c r="BE262" s="107">
        <f>SUM(BE243:BE261)</f>
        <v>506070.51072395616</v>
      </c>
      <c r="BF262" s="105">
        <f>SUM(BF243:BF261)</f>
        <v>438138.5107239561</v>
      </c>
      <c r="BG262" s="87"/>
      <c r="BH262" s="152">
        <f>SUM(BH243:BH261)</f>
        <v>408000</v>
      </c>
      <c r="BI262" s="126"/>
      <c r="BJ262" s="419">
        <f>SUM(BJ243:BJ261)</f>
        <v>183600</v>
      </c>
      <c r="BK262" s="492">
        <f>SUM(BK243:BK261)</f>
        <v>459</v>
      </c>
      <c r="BL262" s="491"/>
      <c r="BM262" s="492">
        <f>SUM(BM243:BM261)</f>
        <v>436.04999999999995</v>
      </c>
      <c r="BN262" s="492">
        <f>SUM(BN243:BN261)</f>
        <v>30477.599999999999</v>
      </c>
      <c r="BO262" s="491"/>
      <c r="BP262" s="492">
        <f>SUM(BP243:BP261)</f>
        <v>23443.369920000001</v>
      </c>
      <c r="BQ262" s="87"/>
      <c r="BR262" s="87"/>
      <c r="BS262" s="87"/>
      <c r="BT262" s="152">
        <f>SUM(BT243:BT261)</f>
        <v>490600.8</v>
      </c>
      <c r="BU262" s="77"/>
      <c r="BV262" s="153">
        <f>SUM(BV243:BV261)</f>
        <v>113945.292</v>
      </c>
      <c r="BW262" s="153">
        <f>SUM(BW243:BW261)</f>
        <v>490600.8</v>
      </c>
      <c r="BX262" s="77"/>
      <c r="BY262" s="153">
        <f>SUM(BY243:BY261)</f>
        <v>28643.705999999998</v>
      </c>
      <c r="BZ262" s="153">
        <f>SUM(BZ243:BZ261)</f>
        <v>25054.649999999994</v>
      </c>
      <c r="CA262" s="77"/>
      <c r="CB262" s="153">
        <f>SUM(CB243:CB261)</f>
        <v>12827.98079999999</v>
      </c>
      <c r="CC262" s="153">
        <f>SUM(CC243:CC261)</f>
        <v>490600.8</v>
      </c>
      <c r="CD262" s="77"/>
      <c r="CE262" s="154">
        <f>SUM(CE243:CE261)</f>
        <v>16212.38275862069</v>
      </c>
      <c r="CF262" s="87"/>
      <c r="CG262" s="152">
        <f>SUM(CG243:CG261)</f>
        <v>59029.729245335482</v>
      </c>
      <c r="CH262" s="153">
        <f t="shared" ref="CH262:CJ262" si="271">SUM(CH243:CH261)</f>
        <v>2637.9310344827586</v>
      </c>
      <c r="CI262" s="153">
        <f t="shared" si="271"/>
        <v>10024.137931034486</v>
      </c>
      <c r="CJ262" s="153">
        <f t="shared" si="271"/>
        <v>67932</v>
      </c>
    </row>
    <row r="263" spans="2:88" x14ac:dyDescent="0.35">
      <c r="C263" s="108"/>
      <c r="D263" s="108"/>
      <c r="E263" s="108"/>
      <c r="F263" s="87"/>
      <c r="G263" s="87"/>
      <c r="H263" s="87"/>
      <c r="I263" s="109"/>
      <c r="J263" s="87"/>
      <c r="K263" s="87"/>
      <c r="L263" s="87"/>
      <c r="M263" s="87"/>
      <c r="N263" s="87"/>
      <c r="O263" s="220"/>
      <c r="P263" s="220"/>
      <c r="Q263" s="220"/>
      <c r="R263" s="87"/>
      <c r="S263" s="422">
        <f>Q262</f>
        <v>0</v>
      </c>
      <c r="T263"/>
      <c r="U263"/>
      <c r="V263"/>
      <c r="W263"/>
      <c r="X263"/>
      <c r="Y263"/>
      <c r="Z263" s="87"/>
      <c r="AA263" s="87"/>
      <c r="AB263" s="87"/>
      <c r="AC263" s="87"/>
      <c r="AD263" s="87"/>
      <c r="AM263" s="87"/>
      <c r="AN263" s="420">
        <f>IFERROR(IF(DP!$C$16=PS!$B$3,PS!$K$23*D238/(D238+AW238),IF(DP!$C$16=PS!$N$3,PS!$AC$23*D238/(D238+AW238),IF(DP!$C$16=PS!$AF$3,PS!$AP$23*D238/(D238+AW238)))),0*1)</f>
        <v>0</v>
      </c>
      <c r="AO263" s="220"/>
      <c r="AP263" s="220"/>
      <c r="AQ263" s="433"/>
      <c r="AV263" s="108"/>
      <c r="AW263" s="108"/>
      <c r="AX263" s="108"/>
      <c r="AY263" s="87"/>
      <c r="AZ263" s="87"/>
      <c r="BA263" s="87"/>
      <c r="BB263" s="109"/>
      <c r="BC263" s="87"/>
      <c r="BD263" s="87"/>
      <c r="BE263" s="87"/>
      <c r="BF263" s="87"/>
      <c r="BG263" s="87"/>
      <c r="BH263" s="87"/>
      <c r="BI263" s="87"/>
      <c r="BJ263" s="87"/>
      <c r="BK263"/>
      <c r="BL263"/>
      <c r="BM263"/>
      <c r="BN263"/>
      <c r="BO263"/>
      <c r="BP263"/>
      <c r="BQ263" s="87"/>
      <c r="BR263" s="87"/>
      <c r="BS263" s="87"/>
      <c r="BT263" s="87"/>
      <c r="BU263" s="87"/>
      <c r="BV263" s="87"/>
      <c r="BW263" s="87"/>
      <c r="CF263" s="87"/>
      <c r="CG263" s="420">
        <f>IFERROR(IF(DP!$C$16=PS!$B$3,PS!$K$23*AW238/(AW238+D238),IF(DP!$C$16=PS!$N$3,PS!$AC$23*AW238/(AW238+D238),IF(DP!$C$16=PS!$AF$3,PS!$AP$23*AW238/(AW238+D238)))),0*1)</f>
        <v>59029.729245335482</v>
      </c>
      <c r="CH263" s="220"/>
      <c r="CI263" s="220"/>
      <c r="CJ263" s="433"/>
    </row>
    <row r="264" spans="2:88" x14ac:dyDescent="0.35">
      <c r="C264" s="108"/>
      <c r="D264" s="108"/>
      <c r="E264" s="108"/>
      <c r="F264" s="87"/>
      <c r="G264" s="87"/>
      <c r="H264" s="87"/>
      <c r="I264" s="109"/>
      <c r="J264" s="87"/>
      <c r="K264" s="87"/>
      <c r="L264" s="87"/>
      <c r="M264" s="87"/>
      <c r="N264" s="87"/>
      <c r="O264" s="87"/>
      <c r="P264" s="87"/>
      <c r="Q264" s="87"/>
      <c r="T264"/>
      <c r="U264"/>
      <c r="V264"/>
      <c r="W264"/>
      <c r="X264"/>
      <c r="Y264"/>
      <c r="Z264" s="87"/>
      <c r="AM264" s="87"/>
      <c r="AV264" s="108"/>
      <c r="AW264" s="108"/>
      <c r="AX264" s="108"/>
      <c r="AY264" s="87"/>
      <c r="AZ264" s="87"/>
      <c r="BA264" s="87"/>
      <c r="BB264" s="109"/>
      <c r="BC264" s="87"/>
      <c r="BD264" s="87"/>
      <c r="BE264" s="87"/>
      <c r="BF264" s="87"/>
      <c r="BG264" s="87"/>
      <c r="BH264" s="87"/>
      <c r="BK264" s="87"/>
      <c r="BL264" s="87"/>
      <c r="BM264" s="87"/>
      <c r="BN264" s="87"/>
      <c r="BO264" s="87"/>
      <c r="BP264" s="87"/>
      <c r="BQ264" s="87"/>
      <c r="BR264" s="87"/>
      <c r="BS264" s="87"/>
      <c r="BT264"/>
      <c r="BU264"/>
      <c r="BV264"/>
      <c r="BW264"/>
      <c r="BX264"/>
      <c r="BY264"/>
      <c r="BZ264"/>
      <c r="CA264"/>
      <c r="CB264"/>
      <c r="CC264"/>
      <c r="CF264" s="87"/>
    </row>
    <row r="265" spans="2:88" x14ac:dyDescent="0.35">
      <c r="C265" s="108"/>
      <c r="D265" s="108"/>
      <c r="E265" s="108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116" t="s">
        <v>228</v>
      </c>
      <c r="S265" s="94">
        <f>IFERROR((SUMIF(B243:B261,1,H243:H261))/H262*S263,0*1)</f>
        <v>0</v>
      </c>
      <c r="T265" s="109"/>
      <c r="U265" s="87"/>
      <c r="V265" s="87"/>
      <c r="W265" s="87"/>
      <c r="X265" s="87"/>
      <c r="Y265" s="87"/>
      <c r="Z265" s="87"/>
      <c r="AM265" s="87"/>
      <c r="AV265" s="108"/>
      <c r="AW265" s="108"/>
      <c r="AX265" s="108"/>
      <c r="AY265" s="87"/>
      <c r="AZ265" s="87"/>
      <c r="BA265" s="87"/>
      <c r="BB265" s="87"/>
      <c r="BC265" s="87"/>
      <c r="BD265" s="87"/>
      <c r="BE265" s="87"/>
      <c r="BF265" s="87"/>
      <c r="BG265" s="87"/>
      <c r="BK265" s="109"/>
      <c r="BL265" s="87"/>
      <c r="BM265" s="87"/>
      <c r="BN265" s="87"/>
      <c r="BO265" s="87"/>
      <c r="BP265" s="87"/>
      <c r="BQ265" s="87"/>
      <c r="BR265" s="87"/>
      <c r="BS265" s="87"/>
      <c r="BT265"/>
      <c r="BU265"/>
      <c r="BV265"/>
      <c r="BW265"/>
      <c r="BX265"/>
      <c r="BY265"/>
      <c r="BZ265"/>
      <c r="CA265"/>
      <c r="CB265"/>
      <c r="CC265"/>
      <c r="CD265"/>
      <c r="CF265" s="87"/>
    </row>
    <row r="266" spans="2:88" x14ac:dyDescent="0.35">
      <c r="C266" s="108"/>
      <c r="D266" s="108"/>
      <c r="E266" s="108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116" t="s">
        <v>229</v>
      </c>
      <c r="S266" s="94">
        <f>S263-S265</f>
        <v>0</v>
      </c>
      <c r="T266" s="109"/>
      <c r="U266" s="87"/>
      <c r="V266" s="87"/>
      <c r="W266" s="87"/>
      <c r="X266" s="87"/>
      <c r="Y266" s="87"/>
      <c r="Z266" s="87"/>
      <c r="AM266" s="87"/>
      <c r="AV266" s="108"/>
      <c r="AW266" s="108"/>
      <c r="AX266" s="108"/>
      <c r="AY266" s="87"/>
      <c r="AZ266" s="87"/>
      <c r="BA266" s="87"/>
      <c r="BB266" s="87"/>
      <c r="BC266" s="87"/>
      <c r="BD266" s="87"/>
      <c r="BE266" s="87"/>
      <c r="BF266" s="87"/>
      <c r="BG266" s="87"/>
      <c r="BK266" s="109"/>
      <c r="BL266" s="87"/>
      <c r="BM266" s="87"/>
      <c r="BN266" s="87"/>
      <c r="BO266" s="87"/>
      <c r="BP266" s="87"/>
      <c r="BQ266" s="87"/>
      <c r="BR266" s="87"/>
      <c r="BS266" s="87"/>
      <c r="BT266"/>
      <c r="BU266"/>
      <c r="BV266"/>
      <c r="BW266"/>
      <c r="BX266"/>
      <c r="BY266"/>
      <c r="BZ266"/>
      <c r="CA266"/>
      <c r="CB266"/>
      <c r="CC266"/>
      <c r="CD266"/>
      <c r="CF266" s="87"/>
    </row>
    <row r="267" spans="2:88" x14ac:dyDescent="0.35">
      <c r="C267" s="108"/>
      <c r="D267" s="108"/>
      <c r="E267" s="108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T267" s="87"/>
      <c r="U267" s="87"/>
      <c r="V267" s="87"/>
      <c r="W267" s="87"/>
      <c r="X267" s="87"/>
      <c r="Y267" s="87"/>
      <c r="Z267" s="87"/>
      <c r="AM267" s="87"/>
      <c r="AV267" s="108"/>
      <c r="AW267" s="108"/>
      <c r="AX267" s="108"/>
      <c r="AY267" s="87"/>
      <c r="AZ267" s="87"/>
      <c r="BA267" s="87"/>
      <c r="BB267" s="87"/>
      <c r="BC267" s="87"/>
      <c r="BD267" s="87"/>
      <c r="BE267" s="87"/>
      <c r="BF267" s="87"/>
      <c r="BG267" s="87"/>
      <c r="BK267" s="87"/>
      <c r="BL267" s="87"/>
      <c r="BM267" s="87"/>
      <c r="BN267" s="87"/>
      <c r="BO267" s="87"/>
      <c r="BP267" s="87"/>
      <c r="BQ267" s="87"/>
      <c r="BR267" s="87"/>
      <c r="BS267" s="87"/>
      <c r="BT267"/>
      <c r="BU267"/>
      <c r="BV267"/>
      <c r="BW267"/>
      <c r="BX267"/>
      <c r="BY267"/>
      <c r="BZ267"/>
      <c r="CA267"/>
      <c r="CB267"/>
      <c r="CC267"/>
      <c r="CD267"/>
      <c r="CF267" s="87"/>
    </row>
    <row r="268" spans="2:88" x14ac:dyDescent="0.35">
      <c r="C268" s="108"/>
      <c r="D268" s="108"/>
      <c r="E268" s="108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T268" s="87"/>
      <c r="U268" s="87"/>
      <c r="V268" s="87"/>
      <c r="W268" s="87"/>
      <c r="X268" s="87"/>
      <c r="Y268" s="87"/>
      <c r="Z268" s="87"/>
      <c r="AM268" s="87"/>
      <c r="AV268" s="108"/>
      <c r="AW268" s="108"/>
      <c r="AX268" s="108"/>
      <c r="AY268" s="87"/>
      <c r="AZ268" s="87"/>
      <c r="BA268" s="87"/>
      <c r="BB268" s="87"/>
      <c r="BC268" s="87"/>
      <c r="BD268" s="87"/>
      <c r="BE268" s="87"/>
      <c r="BF268" s="87"/>
      <c r="BG268" s="87"/>
      <c r="BH268" s="87"/>
      <c r="BK268" s="87"/>
      <c r="BL268" s="87"/>
      <c r="BM268" s="87"/>
      <c r="BN268" s="87"/>
      <c r="BO268" s="87"/>
      <c r="BP268" s="87"/>
      <c r="BQ268" s="87"/>
      <c r="BR268" s="87"/>
      <c r="BS268" s="87"/>
      <c r="BT268"/>
      <c r="BU268"/>
      <c r="BV268"/>
      <c r="BW268"/>
      <c r="BX268"/>
      <c r="BY268"/>
      <c r="BZ268"/>
      <c r="CA268"/>
      <c r="CB268"/>
      <c r="CC268"/>
      <c r="CD268"/>
      <c r="CF268" s="87"/>
    </row>
    <row r="269" spans="2:88" x14ac:dyDescent="0.35">
      <c r="C269" s="108"/>
      <c r="D269" s="108"/>
      <c r="E269" s="108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T269" s="87"/>
      <c r="U269" s="87"/>
      <c r="V269" s="87"/>
      <c r="W269" s="87"/>
      <c r="X269" s="87"/>
      <c r="Y269" s="87"/>
      <c r="Z269" s="87"/>
      <c r="AM269" s="87"/>
      <c r="AV269" s="108"/>
      <c r="AW269" s="108"/>
      <c r="AX269" s="108"/>
      <c r="AY269" s="87"/>
      <c r="AZ269" s="87"/>
      <c r="BA269" s="87"/>
      <c r="BB269" s="87"/>
      <c r="BC269" s="87"/>
      <c r="BD269" s="87"/>
      <c r="BE269" s="87"/>
      <c r="BF269" s="87"/>
      <c r="BG269" s="87"/>
      <c r="BH269" s="87"/>
      <c r="BK269" s="87"/>
      <c r="BL269" s="87"/>
      <c r="BM269" s="87"/>
      <c r="BN269" s="87"/>
      <c r="BO269" s="87"/>
      <c r="BP269" s="87"/>
      <c r="BQ269" s="87"/>
      <c r="BR269" s="87"/>
      <c r="BS269" s="87"/>
      <c r="BT269"/>
      <c r="BU269"/>
      <c r="BV269"/>
      <c r="BW269"/>
      <c r="BX269"/>
      <c r="BY269"/>
      <c r="BZ269"/>
      <c r="CA269"/>
      <c r="CB269"/>
      <c r="CC269"/>
      <c r="CD269"/>
      <c r="CF269" s="87"/>
    </row>
    <row r="271" spans="2:88" ht="16" thickBot="1" x14ac:dyDescent="0.4">
      <c r="C271" s="421" t="s">
        <v>344</v>
      </c>
      <c r="D271" s="482">
        <f>DP!AE14</f>
        <v>0</v>
      </c>
      <c r="AV271" s="421" t="s">
        <v>355</v>
      </c>
      <c r="AW271" s="482">
        <f>DP!BG14</f>
        <v>183600</v>
      </c>
    </row>
    <row r="272" spans="2:88" ht="15.5" customHeight="1" x14ac:dyDescent="0.35">
      <c r="C272" s="1026" t="s">
        <v>78</v>
      </c>
      <c r="D272" s="1009" t="s">
        <v>169</v>
      </c>
      <c r="E272" s="1010"/>
      <c r="F272" s="1010"/>
      <c r="G272" s="1010"/>
      <c r="H272" s="1011"/>
      <c r="I272" s="130"/>
      <c r="J272" s="1015" t="s">
        <v>170</v>
      </c>
      <c r="K272" s="1015" t="s">
        <v>215</v>
      </c>
      <c r="L272" s="1015" t="s">
        <v>216</v>
      </c>
      <c r="M272" s="1017" t="s">
        <v>217</v>
      </c>
      <c r="N272" s="130"/>
      <c r="O272" s="1019" t="s">
        <v>213</v>
      </c>
      <c r="P272" s="1007"/>
      <c r="Q272" s="1007"/>
      <c r="R272" s="1007"/>
      <c r="S272" s="1007"/>
      <c r="T272" s="1007"/>
      <c r="U272" s="1007"/>
      <c r="V272" s="1007"/>
      <c r="W272" s="1007"/>
      <c r="X272" s="1007"/>
      <c r="Y272" s="1007"/>
      <c r="Z272" s="130"/>
      <c r="AA272" s="1019" t="s">
        <v>180</v>
      </c>
      <c r="AB272" s="1007"/>
      <c r="AC272" s="1007"/>
      <c r="AD272" s="1007"/>
      <c r="AE272" s="1007"/>
      <c r="AF272" s="1007"/>
      <c r="AG272" s="1007"/>
      <c r="AH272" s="1007"/>
      <c r="AI272" s="1007"/>
      <c r="AJ272" s="1007"/>
      <c r="AK272" s="1007"/>
      <c r="AL272" s="1020"/>
      <c r="AM272" s="130"/>
      <c r="AN272" s="131" t="s">
        <v>214</v>
      </c>
      <c r="AO272" s="1006" t="s">
        <v>361</v>
      </c>
      <c r="AP272" s="1007"/>
      <c r="AQ272" s="1008"/>
      <c r="AV272" s="1026" t="s">
        <v>78</v>
      </c>
      <c r="AW272" s="1009" t="s">
        <v>169</v>
      </c>
      <c r="AX272" s="1010"/>
      <c r="AY272" s="1010"/>
      <c r="AZ272" s="1010"/>
      <c r="BA272" s="1011"/>
      <c r="BB272" s="130"/>
      <c r="BC272" s="1015" t="s">
        <v>170</v>
      </c>
      <c r="BD272" s="1015" t="s">
        <v>215</v>
      </c>
      <c r="BE272" s="1015" t="s">
        <v>216</v>
      </c>
      <c r="BF272" s="1017" t="s">
        <v>217</v>
      </c>
      <c r="BG272" s="130"/>
      <c r="BH272" s="1019" t="s">
        <v>213</v>
      </c>
      <c r="BI272" s="1007"/>
      <c r="BJ272" s="1007"/>
      <c r="BK272" s="1007"/>
      <c r="BL272" s="1007"/>
      <c r="BM272" s="1007"/>
      <c r="BN272" s="1007"/>
      <c r="BO272" s="1007"/>
      <c r="BP272" s="1007"/>
      <c r="BQ272" s="130"/>
      <c r="BR272" s="130"/>
      <c r="BS272" s="130"/>
      <c r="BT272" s="1019" t="s">
        <v>180</v>
      </c>
      <c r="BU272" s="1007"/>
      <c r="BV272" s="1007"/>
      <c r="BW272" s="1007"/>
      <c r="BX272" s="1007"/>
      <c r="BY272" s="1007"/>
      <c r="BZ272" s="1007"/>
      <c r="CA272" s="1007"/>
      <c r="CB272" s="1007"/>
      <c r="CC272" s="1007"/>
      <c r="CD272" s="1007"/>
      <c r="CE272" s="1020"/>
      <c r="CF272" s="130"/>
      <c r="CG272" s="131" t="s">
        <v>214</v>
      </c>
      <c r="CH272" s="1006" t="s">
        <v>361</v>
      </c>
      <c r="CI272" s="1007"/>
      <c r="CJ272" s="1008"/>
    </row>
    <row r="273" spans="2:88" ht="30.5" thickBot="1" x14ac:dyDescent="0.4">
      <c r="C273" s="1027"/>
      <c r="D273" s="1012"/>
      <c r="E273" s="1013"/>
      <c r="F273" s="1013"/>
      <c r="G273" s="1013"/>
      <c r="H273" s="1014"/>
      <c r="I273" s="130"/>
      <c r="J273" s="1016"/>
      <c r="K273" s="1016"/>
      <c r="L273" s="1016"/>
      <c r="M273" s="1018"/>
      <c r="N273" s="130"/>
      <c r="O273" s="134" t="s">
        <v>218</v>
      </c>
      <c r="P273" s="415"/>
      <c r="Q273" s="415"/>
      <c r="R273" s="135"/>
      <c r="S273" s="135"/>
      <c r="T273" s="69" t="s">
        <v>171</v>
      </c>
      <c r="U273" s="69"/>
      <c r="V273" s="69"/>
      <c r="W273" s="69" t="s">
        <v>172</v>
      </c>
      <c r="X273" s="69"/>
      <c r="Y273" s="69"/>
      <c r="Z273" s="130"/>
      <c r="AA273" s="1021" t="s">
        <v>173</v>
      </c>
      <c r="AB273" s="1022"/>
      <c r="AC273" s="1023"/>
      <c r="AD273" s="1024" t="s">
        <v>174</v>
      </c>
      <c r="AE273" s="1022"/>
      <c r="AF273" s="1023"/>
      <c r="AG273" s="1024" t="s">
        <v>175</v>
      </c>
      <c r="AH273" s="1022"/>
      <c r="AI273" s="1023"/>
      <c r="AJ273" s="1024" t="s">
        <v>176</v>
      </c>
      <c r="AK273" s="1022"/>
      <c r="AL273" s="1025"/>
      <c r="AM273" s="130"/>
      <c r="AN273" s="115" t="s">
        <v>177</v>
      </c>
      <c r="AO273" s="458" t="s">
        <v>362</v>
      </c>
      <c r="AP273" s="458" t="s">
        <v>363</v>
      </c>
      <c r="AQ273" s="494" t="s">
        <v>364</v>
      </c>
      <c r="AV273" s="1027"/>
      <c r="AW273" s="1012"/>
      <c r="AX273" s="1013"/>
      <c r="AY273" s="1013"/>
      <c r="AZ273" s="1013"/>
      <c r="BA273" s="1014"/>
      <c r="BB273" s="130"/>
      <c r="BC273" s="1016"/>
      <c r="BD273" s="1016"/>
      <c r="BE273" s="1016"/>
      <c r="BF273" s="1018"/>
      <c r="BG273" s="130"/>
      <c r="BH273" s="1031" t="s">
        <v>234</v>
      </c>
      <c r="BI273" s="1032"/>
      <c r="BJ273" s="1033"/>
      <c r="BK273" s="1024" t="s">
        <v>171</v>
      </c>
      <c r="BL273" s="1022"/>
      <c r="BM273" s="1023"/>
      <c r="BN273" s="1024" t="s">
        <v>231</v>
      </c>
      <c r="BO273" s="1022"/>
      <c r="BP273" s="1023"/>
      <c r="BQ273" s="130"/>
      <c r="BR273" s="130"/>
      <c r="BS273" s="130"/>
      <c r="BT273" s="1021" t="s">
        <v>173</v>
      </c>
      <c r="BU273" s="1022"/>
      <c r="BV273" s="1023"/>
      <c r="BW273" s="1024" t="s">
        <v>174</v>
      </c>
      <c r="BX273" s="1022"/>
      <c r="BY273" s="1023"/>
      <c r="BZ273" s="1024" t="s">
        <v>175</v>
      </c>
      <c r="CA273" s="1022"/>
      <c r="CB273" s="1023"/>
      <c r="CC273" s="1024" t="s">
        <v>176</v>
      </c>
      <c r="CD273" s="1022"/>
      <c r="CE273" s="1025"/>
      <c r="CF273" s="130"/>
      <c r="CG273" s="115" t="s">
        <v>177</v>
      </c>
      <c r="CH273" s="458" t="s">
        <v>362</v>
      </c>
      <c r="CI273" s="458" t="s">
        <v>363</v>
      </c>
      <c r="CJ273" s="494" t="s">
        <v>364</v>
      </c>
    </row>
    <row r="274" spans="2:88" ht="16" thickBot="1" x14ac:dyDescent="0.4">
      <c r="C274" s="1028"/>
      <c r="D274" s="111" t="s">
        <v>225</v>
      </c>
      <c r="E274" s="111"/>
      <c r="F274" s="112" t="s">
        <v>178</v>
      </c>
      <c r="G274" s="113" t="s">
        <v>226</v>
      </c>
      <c r="H274" s="114" t="s">
        <v>227</v>
      </c>
      <c r="I274" s="136"/>
      <c r="J274" s="119" t="s">
        <v>179</v>
      </c>
      <c r="K274" s="137" t="s">
        <v>224</v>
      </c>
      <c r="L274" s="137" t="s">
        <v>224</v>
      </c>
      <c r="M274" s="138" t="s">
        <v>224</v>
      </c>
      <c r="N274" s="136"/>
      <c r="O274" s="118" t="s">
        <v>223</v>
      </c>
      <c r="P274" s="119" t="s">
        <v>179</v>
      </c>
      <c r="Q274" s="137" t="s">
        <v>224</v>
      </c>
      <c r="R274" s="119" t="s">
        <v>330</v>
      </c>
      <c r="S274" s="137" t="s">
        <v>224</v>
      </c>
      <c r="T274" s="119" t="s">
        <v>219</v>
      </c>
      <c r="U274" s="119" t="s">
        <v>179</v>
      </c>
      <c r="V274" s="137" t="s">
        <v>224</v>
      </c>
      <c r="W274" s="119" t="s">
        <v>219</v>
      </c>
      <c r="X274" s="119" t="s">
        <v>179</v>
      </c>
      <c r="Y274" s="137" t="s">
        <v>224</v>
      </c>
      <c r="Z274" s="136"/>
      <c r="AA274" s="118" t="s">
        <v>220</v>
      </c>
      <c r="AB274" s="119" t="s">
        <v>179</v>
      </c>
      <c r="AC274" s="137" t="s">
        <v>224</v>
      </c>
      <c r="AD274" s="119" t="s">
        <v>220</v>
      </c>
      <c r="AE274" s="119" t="s">
        <v>179</v>
      </c>
      <c r="AF274" s="137" t="s">
        <v>224</v>
      </c>
      <c r="AG274" s="119" t="s">
        <v>220</v>
      </c>
      <c r="AH274" s="119" t="s">
        <v>179</v>
      </c>
      <c r="AI274" s="137" t="s">
        <v>224</v>
      </c>
      <c r="AJ274" s="119" t="s">
        <v>221</v>
      </c>
      <c r="AK274" s="119" t="s">
        <v>179</v>
      </c>
      <c r="AL274" s="138" t="s">
        <v>224</v>
      </c>
      <c r="AM274" s="136"/>
      <c r="AN274" s="139" t="s">
        <v>224</v>
      </c>
      <c r="AO274" s="137" t="s">
        <v>224</v>
      </c>
      <c r="AP274" s="137" t="s">
        <v>224</v>
      </c>
      <c r="AQ274" s="137" t="s">
        <v>224</v>
      </c>
      <c r="AV274" s="1028"/>
      <c r="AW274" s="111" t="s">
        <v>225</v>
      </c>
      <c r="AX274" s="111"/>
      <c r="AY274" s="112" t="s">
        <v>178</v>
      </c>
      <c r="AZ274" s="113" t="s">
        <v>226</v>
      </c>
      <c r="BA274" s="114" t="s">
        <v>227</v>
      </c>
      <c r="BB274" s="136"/>
      <c r="BC274" s="119" t="s">
        <v>179</v>
      </c>
      <c r="BD274" s="137" t="s">
        <v>224</v>
      </c>
      <c r="BE274" s="137" t="s">
        <v>224</v>
      </c>
      <c r="BF274" s="138" t="s">
        <v>224</v>
      </c>
      <c r="BG274" s="136"/>
      <c r="BH274" s="118" t="s">
        <v>219</v>
      </c>
      <c r="BI274" s="119" t="s">
        <v>179</v>
      </c>
      <c r="BJ274" s="137" t="s">
        <v>224</v>
      </c>
      <c r="BK274" s="119" t="s">
        <v>219</v>
      </c>
      <c r="BL274" s="119" t="s">
        <v>179</v>
      </c>
      <c r="BM274" s="137" t="s">
        <v>224</v>
      </c>
      <c r="BN274" s="119" t="s">
        <v>219</v>
      </c>
      <c r="BO274" s="119" t="s">
        <v>179</v>
      </c>
      <c r="BP274" s="137" t="s">
        <v>224</v>
      </c>
      <c r="BQ274" s="136"/>
      <c r="BR274" s="136"/>
      <c r="BS274" s="136"/>
      <c r="BT274" s="118" t="s">
        <v>220</v>
      </c>
      <c r="BU274" s="119" t="s">
        <v>179</v>
      </c>
      <c r="BV274" s="137" t="s">
        <v>224</v>
      </c>
      <c r="BW274" s="119" t="s">
        <v>220</v>
      </c>
      <c r="BX274" s="119" t="s">
        <v>179</v>
      </c>
      <c r="BY274" s="137" t="s">
        <v>224</v>
      </c>
      <c r="BZ274" s="119" t="s">
        <v>220</v>
      </c>
      <c r="CA274" s="119" t="s">
        <v>179</v>
      </c>
      <c r="CB274" s="137" t="s">
        <v>224</v>
      </c>
      <c r="CC274" s="119" t="s">
        <v>221</v>
      </c>
      <c r="CD274" s="119" t="s">
        <v>179</v>
      </c>
      <c r="CE274" s="138" t="s">
        <v>224</v>
      </c>
      <c r="CF274" s="136"/>
      <c r="CG274" s="139" t="s">
        <v>224</v>
      </c>
      <c r="CH274" s="137" t="s">
        <v>224</v>
      </c>
      <c r="CI274" s="137" t="s">
        <v>224</v>
      </c>
      <c r="CJ274" s="137" t="s">
        <v>224</v>
      </c>
    </row>
    <row r="275" spans="2:88" ht="16" thickBot="1" x14ac:dyDescent="0.4">
      <c r="C275" s="117" t="s">
        <v>331</v>
      </c>
      <c r="D275" s="117"/>
      <c r="E275" s="11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  <c r="AL275" s="87"/>
      <c r="AM275" s="87"/>
      <c r="AN275" s="87"/>
      <c r="AO275" s="87"/>
      <c r="AP275" s="87"/>
      <c r="AQ275" s="87"/>
      <c r="AV275" s="117" t="s">
        <v>350</v>
      </c>
      <c r="AW275" s="117"/>
      <c r="AX275" s="117"/>
      <c r="AY275" s="87"/>
      <c r="AZ275" s="87"/>
      <c r="BA275" s="87"/>
      <c r="BB275" s="87"/>
      <c r="BC275" s="87"/>
      <c r="BD275" s="87"/>
      <c r="BE275" s="87"/>
      <c r="BF275" s="87"/>
      <c r="BG275" s="87"/>
      <c r="BH275" s="87"/>
      <c r="BI275" s="87"/>
      <c r="BJ275" s="87"/>
      <c r="BK275" s="87"/>
      <c r="BL275" s="87"/>
      <c r="BM275" s="87"/>
      <c r="BN275" s="87"/>
      <c r="BO275" s="87"/>
      <c r="BP275" s="87"/>
      <c r="BQ275" s="87"/>
      <c r="BR275" s="87"/>
      <c r="BS275" s="87"/>
      <c r="BT275" s="87"/>
      <c r="BU275" s="87"/>
      <c r="BV275" s="87"/>
      <c r="BW275" s="87"/>
      <c r="BX275" s="87"/>
      <c r="BY275" s="87"/>
      <c r="BZ275" s="87"/>
      <c r="CA275" s="87"/>
      <c r="CB275" s="87"/>
      <c r="CC275" s="87"/>
      <c r="CD275" s="87"/>
      <c r="CE275" s="87"/>
      <c r="CF275" s="87"/>
      <c r="CG275" s="87"/>
      <c r="CH275" s="87"/>
      <c r="CI275" s="87"/>
      <c r="CJ275" s="87"/>
    </row>
    <row r="276" spans="2:88" x14ac:dyDescent="0.35">
      <c r="B276" s="480">
        <f>DP!S18</f>
        <v>1</v>
      </c>
      <c r="C276" s="480" t="str">
        <f>DP!T18</f>
        <v xml:space="preserve">PALMITO ENTERO 800 </v>
      </c>
      <c r="D276" s="480">
        <f>DP!U18</f>
        <v>800</v>
      </c>
      <c r="E276" s="480">
        <f>DP!V18</f>
        <v>500</v>
      </c>
      <c r="F276" s="412">
        <f>IFERROR((H276*1000)/E276,0*1)</f>
        <v>0</v>
      </c>
      <c r="G276" s="470">
        <f>DP!AE18</f>
        <v>0</v>
      </c>
      <c r="H276" s="98">
        <f>$D$271*G276</f>
        <v>0</v>
      </c>
      <c r="I276" s="97"/>
      <c r="J276" s="101">
        <f t="shared" ref="J276:J294" si="272">IF(F276&gt;0,L276/F276,0*1)</f>
        <v>0</v>
      </c>
      <c r="K276" s="122">
        <f t="shared" ref="K276:K294" si="273">IF(F276&gt;0,M276/F276,0*1)</f>
        <v>0</v>
      </c>
      <c r="L276" s="140">
        <f t="shared" ref="L276:L294" si="274">IF(F276&gt;0,M276+AQ276,0*1)</f>
        <v>0</v>
      </c>
      <c r="M276" s="123">
        <f t="shared" ref="M276:M294" si="275">IF(F276&gt;0,(S276+V276+Y276+AC276+AF276+AI276+AL276+AN276),0*1)</f>
        <v>0</v>
      </c>
      <c r="N276" s="100"/>
      <c r="O276" s="102">
        <f>($E276/DP!$O$29)*F276</f>
        <v>0</v>
      </c>
      <c r="P276" s="102">
        <f>IF(O276&gt;0,(DP!$O$31),0*1)</f>
        <v>0</v>
      </c>
      <c r="Q276" s="102">
        <f>O276*P276</f>
        <v>0</v>
      </c>
      <c r="R276" s="102">
        <f>IF(O276&gt;0,S276/O276,0*1)</f>
        <v>0</v>
      </c>
      <c r="S276" s="418">
        <f>IFERROR(IF(B276=1,(S$298+70%*S$299)/(SUMIF($B$276:$B$294,1,$H$276:$H$294))*H276,(30%*S$299)/(SUMIF($B$276:$B$294,0,$H$276:$H$294))*H276),0*1)</f>
        <v>0</v>
      </c>
      <c r="T276" s="475">
        <f>H276*DP!$AA$44</f>
        <v>0</v>
      </c>
      <c r="U276" s="475">
        <f>IF(H276&gt;0,DP!$AB$44,0*1)</f>
        <v>0</v>
      </c>
      <c r="V276" s="475">
        <f>T276*U276</f>
        <v>0</v>
      </c>
      <c r="W276" s="475">
        <f>H276*DP!$AA$45</f>
        <v>0</v>
      </c>
      <c r="X276" s="475">
        <f>IF(H276&gt;0,DP!$AB$45,0*1)</f>
        <v>0</v>
      </c>
      <c r="Y276" s="475">
        <f>W276*X276</f>
        <v>0</v>
      </c>
      <c r="Z276" s="100"/>
      <c r="AA276" s="93">
        <f>IF(D276=DP!$L$15,F276*(1+DP!$O$15),IF(D276=DP!$L$16,F276*(1+DP!$O$16),IF(D276=DP!$L$17,F276*(1+DP!$O$17),IF(D276=DP!$L$18,F276*(1+DP!$O$18),0*1))))</f>
        <v>0</v>
      </c>
      <c r="AB276" s="102">
        <f>IF(D276=DP!$L$22,(DP!$M$22),IF(D276=DP!$L$23,(DP!$M$23),IF(D276=DP!$L$24,(DP!$M$24),IF(D276=DP!$L$25,(DP!$M$25),((0*1))))))</f>
        <v>0</v>
      </c>
      <c r="AC276" s="93">
        <f>AA276*AB276</f>
        <v>0</v>
      </c>
      <c r="AD276" s="93">
        <f>IF(D276=DP!$L$15,F276*(1+DP!$O$15),IF(D276=DP!$L$16,F276*(1+DP!$O$16),IF(D276=DP!$L$17,F276*(1+DP!$O$17),IF(D276=DP!$L$18,F276*(1+DP!$O$18),0*1))))</f>
        <v>0</v>
      </c>
      <c r="AE276" s="102">
        <f>IF(D276=DP!$L$22,(DP!$N$22),IF(D276=DP!$L$23,(DP!$N$23),IF(D276=DP!$L$24,(DP!$N$24),IF(D276=DP!$L$25,(DP!$N$25),((0*1))))))</f>
        <v>0</v>
      </c>
      <c r="AF276" s="93">
        <f>AD276*AE276</f>
        <v>0</v>
      </c>
      <c r="AG276" s="93">
        <f>IF(D276=DP!$L$15,(F276/DP!$K$15)*(1+DP!$O$15),IF(D276=DP!$L$16,(F276/DP!$K$16)*(1+DP!$O$16),IF(D276=DP!$L$17,(F276/DP!$K$17)*(1+DP!$O$17),IF(D276=DP!$L$18,(F276/DP!$K$18)*(1+DP!$O$18),0*1))))</f>
        <v>0</v>
      </c>
      <c r="AH276" s="102">
        <f>IF(D276=DP!$L$22,(DP!$O$22),IF(D276=DP!$L$23,(DP!$O$23),IF(D276=DP!$L$24,(DP!$O$24),IF(D276=DP!$L$25,(DP!$O$25),((0*1))))))</f>
        <v>0</v>
      </c>
      <c r="AI276" s="93">
        <f>AG276*AH276</f>
        <v>0</v>
      </c>
      <c r="AJ276" s="93">
        <f>IF(D276=DP!$L$15,F276*(1+DP!$O$15),IF(D276=DP!$L$16,F276*(1+DP!$O$16),IF(D276=DP!$L$17,F276*(1+DP!$O$17),IF(D276=DP!$L$18,F276*(1+DP!$O$18),0*1))))</f>
        <v>0</v>
      </c>
      <c r="AK276" s="102">
        <f>IF(D276=DP!$L$22,(DP!$P$22),IF(D276=DP!$L$23,(DP!$P$23),IF(D276=DP!$L$24,(DP!$P$24),IF(D276=DP!$L$25,(DP!$P$25),((0*1))))))</f>
        <v>0</v>
      </c>
      <c r="AL276" s="93">
        <f>AJ276*AK276</f>
        <v>0</v>
      </c>
      <c r="AM276" s="100"/>
      <c r="AN276" s="149">
        <f t="shared" ref="AN276:AN294" si="276">IF(F276&gt;0,AN$296/H$295*H276,0*1)</f>
        <v>0</v>
      </c>
      <c r="AO276" s="149">
        <f>DP!$N$35*H276</f>
        <v>0</v>
      </c>
      <c r="AP276" s="149">
        <f>DP!$O$35*H276</f>
        <v>0</v>
      </c>
      <c r="AQ276" s="149">
        <f>DP!$P$35*H276</f>
        <v>0</v>
      </c>
      <c r="AV276" s="489" t="str">
        <f>DP!AV18</f>
        <v>PIÑA RODAJA 850</v>
      </c>
      <c r="AW276" s="489">
        <f>DP!AW18</f>
        <v>850</v>
      </c>
      <c r="AX276" s="489">
        <f>DP!AX18</f>
        <v>425</v>
      </c>
      <c r="AY276" s="412">
        <f>IFERROR((BA276*1000)/AX276,0*1)</f>
        <v>0</v>
      </c>
      <c r="AZ276" s="470">
        <f>DP!BG18</f>
        <v>0</v>
      </c>
      <c r="BA276" s="98">
        <f>$AW$271*AZ276</f>
        <v>0</v>
      </c>
      <c r="BB276" s="97"/>
      <c r="BC276" s="101">
        <f t="shared" ref="BC276:BC294" si="277">IF(AY276&gt;0,BE276/AY276,0*1)</f>
        <v>0</v>
      </c>
      <c r="BD276" s="122">
        <f t="shared" ref="BD276:BD294" si="278">IF(AY276&gt;0,BF276/AY276,0*1)</f>
        <v>0</v>
      </c>
      <c r="BE276" s="140">
        <f>IF(AY276&gt;0,BF276+CJ276,0*1)</f>
        <v>0</v>
      </c>
      <c r="BF276" s="123">
        <f t="shared" ref="BF276:BF294" si="279">IF(AY276&gt;0,(BJ276+BM276+BP276+BV276+BY276+CB276+CE276+CG276),0*1)</f>
        <v>0</v>
      </c>
      <c r="BG276" s="100"/>
      <c r="BH276" s="102">
        <f>IFERROR((BA276*100%)/DP!$AQ$29,(0*1))</f>
        <v>0</v>
      </c>
      <c r="BI276" s="102">
        <f>IF(BH276&gt;0,(DP!$AQ$31),0*1)</f>
        <v>0</v>
      </c>
      <c r="BJ276" s="435">
        <f>BH276*BI276</f>
        <v>0</v>
      </c>
      <c r="BK276" s="475">
        <f>BA276*DP!$BC$44</f>
        <v>0</v>
      </c>
      <c r="BL276" s="475">
        <f>IF(BA276&gt;0,DP!$BD$44,0*1)</f>
        <v>0</v>
      </c>
      <c r="BM276" s="475">
        <f>BK276*BL276</f>
        <v>0</v>
      </c>
      <c r="BN276" s="102">
        <f>BA276*DP!$BC$45</f>
        <v>0</v>
      </c>
      <c r="BO276" s="102">
        <f>IF(BA276&gt;0,DP!$BD$45,0*1)</f>
        <v>0</v>
      </c>
      <c r="BP276" s="475">
        <f>BN276*BO276</f>
        <v>0</v>
      </c>
      <c r="BQ276" s="100"/>
      <c r="BR276" s="100"/>
      <c r="BS276" s="100"/>
      <c r="BT276" s="93">
        <f>IF(AW276=DP!$AN$15,AY276*(1+DP!$AQ$15),IF(AW276=DP!$AN$16,AY276*(1+DP!$AQ$16),IF(AW276=DP!$AN$17,AY276*(1+DP!$AQ$17),IF(AW276=DP!$AN$18,AY276*(1+DP!$AQ$18),0*1))))</f>
        <v>0</v>
      </c>
      <c r="BU276" s="102">
        <f>IF(AW276=DP!$AN$22,(DP!$AO$22),IF(AW276=DP!$AN$23,(DP!$AO$23),IF(AW276=DP!$AN$24,(DP!$AO$24),IF(AW276=DP!$AN$25,(DP!$AO$25),((0*1))))))</f>
        <v>0</v>
      </c>
      <c r="BV276" s="93">
        <f>BT276*BU276</f>
        <v>0</v>
      </c>
      <c r="BW276" s="93">
        <f>IF(AW276=DP!$AN$15,AY276*(1+DP!$AQ$15),IF(AW276=DP!$AN$16,AY276*(1+DP!$AQ$16),IF(AW276=DP!$AN$17,AY276*(1+DP!$AQ$17),IF(AW276=DP!$AN$18,AY276*(1+DP!$AQ$18),0*1))))</f>
        <v>0</v>
      </c>
      <c r="BX276" s="102">
        <f>IF(AW276=DP!$AN$22,(DP!$AP$22),IF(AW276=DP!$AN$23,(DP!$AP$23),IF(AW276=DP!$AN$24,(DP!$AP$24),IF(AW276=DP!$AN$25,(DP!$AP$25),((0*1))))))</f>
        <v>0</v>
      </c>
      <c r="BY276" s="93">
        <f>BW276*BX276</f>
        <v>0</v>
      </c>
      <c r="BZ276" s="93">
        <f>IF(AW276=DP!$AN$15,(AY276/DP!$AM$15)*(1+DP!$AQ$15),IF(AW276=DP!$AN$16,(AY276/DP!$AM$16)*(1+DP!$AQ$16),IF(AW276=DP!$AN$17,(AY276/DP!$AM$17)*(1+DP!$AQ$17),IF(AW276=DP!$AN$18,(AY276/DP!$AM$18)*(1+DP!$AQ$18),0*1))))</f>
        <v>0</v>
      </c>
      <c r="CA276" s="102">
        <f>IF(AW276=DP!$AN$22,(DP!$AQ$22),IF(AW276=DP!$AN$23,(DP!$AQ$23),IF(AW276=DP!$AN$24,(DP!$AQ$24),IF(AW276=DP!$AN$25,(DP!$AQ$25),((0*1))))))</f>
        <v>0</v>
      </c>
      <c r="CB276" s="93">
        <f>BZ276*CA276</f>
        <v>0</v>
      </c>
      <c r="CC276" s="93">
        <f>IF(AW276=DP!$AN$15,AY276*(1+DP!$AQ$15),IF(AW276=DP!$AN$16,AY276*(1+DP!$AQ$16),IF(AW276=DP!$AN$17,AY276*(1+DP!$AQ$17),IF(AW276=DP!$AN$18,AY276*(1+DP!$AQ$18),0*1))))</f>
        <v>0</v>
      </c>
      <c r="CD276" s="102">
        <f>IF(AW276=DP!$AN$22,(DP!$AR$22),IF(AW276=DP!$AN$23,(DP!$AR$23),IF(AW276=DP!$AN$24,(DP!$AR$24),IF(AW276=DP!$AN$25,(DP!$AR$25),((0*1))))))</f>
        <v>0</v>
      </c>
      <c r="CE276" s="93">
        <f>CC276*CD276</f>
        <v>0</v>
      </c>
      <c r="CF276" s="100"/>
      <c r="CG276" s="149">
        <f t="shared" ref="CG276:CG294" si="280">IF(AY276&gt;0,CG$296/BA$295*BA276,0*1)</f>
        <v>0</v>
      </c>
      <c r="CH276" s="149">
        <f>DP!$N$35*BA276</f>
        <v>0</v>
      </c>
      <c r="CI276" s="149">
        <f>DP!$O$35*BA276</f>
        <v>0</v>
      </c>
      <c r="CJ276" s="149">
        <f>DP!$P$35*BA276</f>
        <v>0</v>
      </c>
    </row>
    <row r="277" spans="2:88" x14ac:dyDescent="0.35">
      <c r="B277" s="480">
        <f>DP!S19</f>
        <v>0</v>
      </c>
      <c r="C277" s="480" t="str">
        <f>DP!T19</f>
        <v>PALMITO RODAJA 800</v>
      </c>
      <c r="D277" s="480">
        <f>DP!U19</f>
        <v>800</v>
      </c>
      <c r="E277" s="480">
        <f>DP!V19</f>
        <v>500</v>
      </c>
      <c r="F277" s="412">
        <f t="shared" ref="F277:F294" si="281">IFERROR((H277*1000)/E277,0*1)</f>
        <v>0</v>
      </c>
      <c r="G277" s="470">
        <f>DP!AE19</f>
        <v>0</v>
      </c>
      <c r="H277" s="98">
        <f t="shared" ref="H277:H294" si="282">$D$271*G277</f>
        <v>0</v>
      </c>
      <c r="I277" s="97"/>
      <c r="J277" s="102">
        <f t="shared" si="272"/>
        <v>0</v>
      </c>
      <c r="K277" s="98">
        <f t="shared" si="273"/>
        <v>0</v>
      </c>
      <c r="L277" s="93">
        <f t="shared" si="274"/>
        <v>0</v>
      </c>
      <c r="M277" s="99">
        <f t="shared" si="275"/>
        <v>0</v>
      </c>
      <c r="N277" s="100"/>
      <c r="O277" s="102">
        <f>($E277/DP!$O$29)*F277</f>
        <v>0</v>
      </c>
      <c r="P277" s="102">
        <f>IF(O277&gt;0,(DP!$O$31),0*1)</f>
        <v>0</v>
      </c>
      <c r="Q277" s="102">
        <f t="shared" ref="Q277:Q294" si="283">O277*P277</f>
        <v>0</v>
      </c>
      <c r="R277" s="102">
        <f t="shared" ref="R277:R294" si="284">IF(O277&gt;0,S277/O277,0*1)</f>
        <v>0</v>
      </c>
      <c r="S277" s="418">
        <f t="shared" ref="S277:S294" si="285">IFERROR(IF(B277=1,(S$298+70%*S$299)/(SUMIF($B$276:$B$294,1,$H$276:$H$294))*H277,(30%*S$299)/(SUMIF($B$276:$B$294,0,$H$276:$H$294))*H277),0*1)</f>
        <v>0</v>
      </c>
      <c r="T277" s="475">
        <f>H277*DP!$AA$44</f>
        <v>0</v>
      </c>
      <c r="U277" s="475">
        <f>IF(H277&gt;0,DP!$AB$44,0*1)</f>
        <v>0</v>
      </c>
      <c r="V277" s="475">
        <f t="shared" ref="V277:V294" si="286">T277*U277</f>
        <v>0</v>
      </c>
      <c r="W277" s="475">
        <f>H277*DP!$AA$45</f>
        <v>0</v>
      </c>
      <c r="X277" s="475">
        <f>IF(H277&gt;0,DP!$AB$45,0*1)</f>
        <v>0</v>
      </c>
      <c r="Y277" s="475">
        <f t="shared" ref="Y277:Y294" si="287">W277*X277</f>
        <v>0</v>
      </c>
      <c r="Z277" s="100"/>
      <c r="AA277" s="93">
        <f>IF(D277=DP!$L$15,F277*(1+DP!$O$15),IF(D277=DP!$L$16,F277*(1+DP!$O$16),IF(D277=DP!$L$17,F277*(1+DP!$O$17),IF(D277=DP!$L$18,F277*(1+DP!$O$18),0*1))))</f>
        <v>0</v>
      </c>
      <c r="AB277" s="102">
        <f>IF(D277=DP!$L$22,(DP!$M$22),IF(D277=DP!$L$23,(DP!$M$23),IF(D277=DP!$L$24,(DP!$M$24),IF(D277=DP!$L$25,(DP!$M$25),((0*1))))))</f>
        <v>0</v>
      </c>
      <c r="AC277" s="93">
        <f t="shared" ref="AC277:AC294" si="288">AA277*AB277</f>
        <v>0</v>
      </c>
      <c r="AD277" s="93">
        <f>IF(D277=DP!$L$15,F277*(1+DP!$O$15),IF(D277=DP!$L$16,F277*(1+DP!$O$16),IF(D277=DP!$L$17,F277*(1+DP!$O$17),IF(D277=DP!$L$18,F277*(1+DP!$O$18),0*1))))</f>
        <v>0</v>
      </c>
      <c r="AE277" s="102">
        <f>IF(D277=DP!$L$22,(DP!$N$22),IF(D277=DP!$L$23,(DP!$N$23),IF(D277=DP!$L$24,(DP!$N$24),IF(D277=DP!$L$25,(DP!$N$25),((0*1))))))</f>
        <v>0</v>
      </c>
      <c r="AF277" s="93">
        <f t="shared" ref="AF277:AF294" si="289">AD277*AE277</f>
        <v>0</v>
      </c>
      <c r="AG277" s="93">
        <f>IF(D277=DP!$L$15,(F277/DP!$K$15)*(1+DP!$O$15),IF(D277=DP!$L$16,(F277/DP!$K$16)*(1+DP!$O$16),IF(D277=DP!$L$17,(F277/DP!$K$17)*(1+DP!$O$17),IF(D277=DP!$L$18,(F277/DP!$K$18)*(1+DP!$O$18),0*1))))</f>
        <v>0</v>
      </c>
      <c r="AH277" s="102">
        <f>IF(D277=DP!$L$22,(DP!$O$22),IF(D277=DP!$L$23,(DP!$O$23),IF(D277=DP!$L$24,(DP!$O$24),IF(D277=DP!$L$25,(DP!$O$25),((0*1))))))</f>
        <v>0</v>
      </c>
      <c r="AI277" s="93">
        <f t="shared" ref="AI277:AI294" si="290">AG277*AH277</f>
        <v>0</v>
      </c>
      <c r="AJ277" s="93">
        <f>IF(D277=DP!$L$15,F277*(1+DP!$O$15),IF(D277=DP!$L$16,F277*(1+DP!$O$16),IF(D277=DP!$L$17,F277*(1+DP!$O$17),IF(D277=DP!$L$18,F277*(1+DP!$O$18),0*1))))</f>
        <v>0</v>
      </c>
      <c r="AK277" s="102">
        <f>IF(D277=DP!$L$22,(DP!$P$22),IF(D277=DP!$L$23,(DP!$P$23),IF(D277=DP!$L$24,(DP!$P$24),IF(D277=DP!$L$25,(DP!$P$25),((0*1))))))</f>
        <v>0</v>
      </c>
      <c r="AL277" s="93">
        <f t="shared" ref="AL277:AL294" si="291">AJ277*AK277</f>
        <v>0</v>
      </c>
      <c r="AM277" s="100"/>
      <c r="AN277" s="149">
        <f t="shared" si="276"/>
        <v>0</v>
      </c>
      <c r="AO277" s="149">
        <f>DP!$N$35*H277</f>
        <v>0</v>
      </c>
      <c r="AP277" s="149">
        <f>DP!$O$35*H277</f>
        <v>0</v>
      </c>
      <c r="AQ277" s="149">
        <f>DP!$P$35*H277</f>
        <v>0</v>
      </c>
      <c r="AV277" s="489" t="str">
        <f>DP!AV19</f>
        <v>PIÑA TROZO 850</v>
      </c>
      <c r="AW277" s="489">
        <f>DP!AW19</f>
        <v>850</v>
      </c>
      <c r="AX277" s="489">
        <f>DP!AX19</f>
        <v>440</v>
      </c>
      <c r="AY277" s="412">
        <f t="shared" ref="AY277:AY294" si="292">IFERROR((BA277*1000)/AX277,0*1)</f>
        <v>0</v>
      </c>
      <c r="AZ277" s="470">
        <f>DP!BG19</f>
        <v>0</v>
      </c>
      <c r="BA277" s="98">
        <f t="shared" ref="BA277:BA294" si="293">$AW$271*AZ277</f>
        <v>0</v>
      </c>
      <c r="BB277" s="97"/>
      <c r="BC277" s="102">
        <f t="shared" si="277"/>
        <v>0</v>
      </c>
      <c r="BD277" s="98">
        <f t="shared" si="278"/>
        <v>0</v>
      </c>
      <c r="BE277" s="93">
        <f t="shared" ref="BE277:BE294" si="294">IF(AY277&gt;0,BF277+CJ277,0*1)</f>
        <v>0</v>
      </c>
      <c r="BF277" s="99">
        <f t="shared" si="279"/>
        <v>0</v>
      </c>
      <c r="BG277" s="100"/>
      <c r="BH277" s="102">
        <f>IFERROR((BA277*100%)/DP!$AQ$29,(0*1))</f>
        <v>0</v>
      </c>
      <c r="BI277" s="102">
        <f>IF(BH277&gt;0,(DP!$AQ$31),0*1)</f>
        <v>0</v>
      </c>
      <c r="BJ277" s="435">
        <f t="shared" ref="BJ277:BJ291" si="295">BH277*BI277</f>
        <v>0</v>
      </c>
      <c r="BK277" s="475">
        <f>BA277*DP!$BC$44</f>
        <v>0</v>
      </c>
      <c r="BL277" s="475">
        <f>IF(BA277&gt;0,DP!$BD$44,0*1)</f>
        <v>0</v>
      </c>
      <c r="BM277" s="475">
        <f t="shared" ref="BM277:BM294" si="296">BK277*BL277</f>
        <v>0</v>
      </c>
      <c r="BN277" s="102">
        <f>BA277*DP!$BC$45</f>
        <v>0</v>
      </c>
      <c r="BO277" s="102">
        <f>IF(BA277&gt;0,DP!$BD$45,0*1)</f>
        <v>0</v>
      </c>
      <c r="BP277" s="475">
        <f t="shared" ref="BP277:BP294" si="297">BN277*BO277</f>
        <v>0</v>
      </c>
      <c r="BQ277" s="100"/>
      <c r="BR277" s="100"/>
      <c r="BS277" s="100"/>
      <c r="BT277" s="93">
        <f>IF(AW277=DP!$AN$15,AY277*(1+DP!$AQ$15),IF(AW277=DP!$AN$16,AY277*(1+DP!$AQ$16),IF(AW277=DP!$AN$17,AY277*(1+DP!$AQ$17),IF(AW277=DP!$AN$18,AY277*(1+DP!$AQ$18),0*1))))</f>
        <v>0</v>
      </c>
      <c r="BU277" s="102">
        <f>IF(AW277=DP!$AN$22,(DP!$AO$22),IF(AW277=DP!$AN$23,(DP!$AO$23),IF(AW277=DP!$AN$24,(DP!$AO$24),IF(AW277=DP!$AN$25,(DP!$AO$25),((0*1))))))</f>
        <v>0</v>
      </c>
      <c r="BV277" s="93">
        <f t="shared" ref="BV277:BV294" si="298">BT277*BU277</f>
        <v>0</v>
      </c>
      <c r="BW277" s="93">
        <f>IF(AW277=DP!$AN$15,AY277*(1+DP!$AQ$15),IF(AW277=DP!$AN$16,AY277*(1+DP!$AQ$16),IF(AW277=DP!$AN$17,AY277*(1+DP!$AQ$17),IF(AW277=DP!$AN$18,AY277*(1+DP!$AQ$18),0*1))))</f>
        <v>0</v>
      </c>
      <c r="BX277" s="102">
        <f>IF(AW277=DP!$AN$22,(DP!$AP$22),IF(AW277=DP!$AN$23,(DP!$AP$23),IF(AW277=DP!$AN$24,(DP!$AP$24),IF(AW277=DP!$AN$25,(DP!$AP$25),((0*1))))))</f>
        <v>0</v>
      </c>
      <c r="BY277" s="93">
        <f t="shared" ref="BY277:BY294" si="299">BW277*BX277</f>
        <v>0</v>
      </c>
      <c r="BZ277" s="93">
        <f>IF(AW277=DP!$AN$15,(AY277/DP!$AM$15)*(1+DP!$AQ$15),IF(AW277=DP!$AN$16,(AY277/DP!$AM$16)*(1+DP!$AQ$16),IF(AW277=DP!$AN$17,(AY277/DP!$AM$17)*(1+DP!$AQ$17),IF(AW277=DP!$AN$18,(AY277/DP!$AM$18)*(1+DP!$AQ$18),0*1))))</f>
        <v>0</v>
      </c>
      <c r="CA277" s="102">
        <f>IF(AW277=DP!$AN$22,(DP!$AQ$22),IF(AW277=DP!$AN$23,(DP!$AQ$23),IF(AW277=DP!$AN$24,(DP!$AQ$24),IF(AW277=DP!$AN$25,(DP!$AQ$25),((0*1))))))</f>
        <v>0</v>
      </c>
      <c r="CB277" s="93">
        <f t="shared" ref="CB277:CB294" si="300">BZ277*CA277</f>
        <v>0</v>
      </c>
      <c r="CC277" s="93">
        <f>IF(AW277=DP!$AN$15,AY277*(1+DP!$AQ$15),IF(AW277=DP!$AN$16,AY277*(1+DP!$AQ$16),IF(AW277=DP!$AN$17,AY277*(1+DP!$AQ$17),IF(AW277=DP!$AN$18,AY277*(1+DP!$AQ$18),0*1))))</f>
        <v>0</v>
      </c>
      <c r="CD277" s="102">
        <f>IF(AW277=DP!$AN$22,(DP!$AR$22),IF(AW277=DP!$AN$23,(DP!$AR$23),IF(AW277=DP!$AN$24,(DP!$AR$24),IF(AW277=DP!$AN$25,(DP!$AR$25),((0*1))))))</f>
        <v>0</v>
      </c>
      <c r="CE277" s="93">
        <f t="shared" ref="CE277:CE294" si="301">CC277*CD277</f>
        <v>0</v>
      </c>
      <c r="CF277" s="100"/>
      <c r="CG277" s="149">
        <f t="shared" si="280"/>
        <v>0</v>
      </c>
      <c r="CH277" s="149">
        <f>DP!$N$35*BA277</f>
        <v>0</v>
      </c>
      <c r="CI277" s="149">
        <f>DP!$O$35*BA277</f>
        <v>0</v>
      </c>
      <c r="CJ277" s="149">
        <f>DP!$P$35*BA277</f>
        <v>0</v>
      </c>
    </row>
    <row r="278" spans="2:88" x14ac:dyDescent="0.35">
      <c r="B278" s="480">
        <f>DP!S20</f>
        <v>0</v>
      </c>
      <c r="C278" s="480" t="str">
        <f>DP!T20</f>
        <v>PALMITO TROZO 800</v>
      </c>
      <c r="D278" s="480">
        <f>DP!U20</f>
        <v>800</v>
      </c>
      <c r="E278" s="480">
        <f>DP!V20</f>
        <v>500</v>
      </c>
      <c r="F278" s="412">
        <f t="shared" si="281"/>
        <v>0</v>
      </c>
      <c r="G278" s="470">
        <f>DP!AE20</f>
        <v>0</v>
      </c>
      <c r="H278" s="98">
        <f t="shared" si="282"/>
        <v>0</v>
      </c>
      <c r="I278" s="97"/>
      <c r="J278" s="102">
        <f t="shared" si="272"/>
        <v>0</v>
      </c>
      <c r="K278" s="98">
        <f t="shared" si="273"/>
        <v>0</v>
      </c>
      <c r="L278" s="93">
        <f t="shared" si="274"/>
        <v>0</v>
      </c>
      <c r="M278" s="99">
        <f t="shared" si="275"/>
        <v>0</v>
      </c>
      <c r="N278" s="100"/>
      <c r="O278" s="102">
        <f>($E278/DP!$O$29)*F278</f>
        <v>0</v>
      </c>
      <c r="P278" s="102">
        <f>IF(O278&gt;0,(DP!$O$31),0*1)</f>
        <v>0</v>
      </c>
      <c r="Q278" s="102">
        <f t="shared" si="283"/>
        <v>0</v>
      </c>
      <c r="R278" s="102">
        <f t="shared" si="284"/>
        <v>0</v>
      </c>
      <c r="S278" s="418">
        <f t="shared" si="285"/>
        <v>0</v>
      </c>
      <c r="T278" s="475">
        <f>H278*DP!$AA$44</f>
        <v>0</v>
      </c>
      <c r="U278" s="475">
        <f>IF(H278&gt;0,DP!$AB$44,0*1)</f>
        <v>0</v>
      </c>
      <c r="V278" s="475">
        <f t="shared" si="286"/>
        <v>0</v>
      </c>
      <c r="W278" s="475">
        <f>H278*DP!$AA$45</f>
        <v>0</v>
      </c>
      <c r="X278" s="475">
        <f>IF(H278&gt;0,DP!$AB$45,0*1)</f>
        <v>0</v>
      </c>
      <c r="Y278" s="475">
        <f t="shared" si="287"/>
        <v>0</v>
      </c>
      <c r="Z278" s="100"/>
      <c r="AA278" s="93">
        <f>IF(D278=DP!$L$15,F278*(1+DP!$O$15),IF(D278=DP!$L$16,F278*(1+DP!$O$16),IF(D278=DP!$L$17,F278*(1+DP!$O$17),IF(D278=DP!$L$18,F278*(1+DP!$O$18),0*1))))</f>
        <v>0</v>
      </c>
      <c r="AB278" s="102">
        <f>IF(D278=DP!$L$22,(DP!$M$22),IF(D278=DP!$L$23,(DP!$M$23),IF(D278=DP!$L$24,(DP!$M$24),IF(D278=DP!$L$25,(DP!$M$25),((0*1))))))</f>
        <v>0</v>
      </c>
      <c r="AC278" s="93">
        <f t="shared" si="288"/>
        <v>0</v>
      </c>
      <c r="AD278" s="93">
        <f>IF(D278=DP!$L$15,F278*(1+DP!$O$15),IF(D278=DP!$L$16,F278*(1+DP!$O$16),IF(D278=DP!$L$17,F278*(1+DP!$O$17),IF(D278=DP!$L$18,F278*(1+DP!$O$18),0*1))))</f>
        <v>0</v>
      </c>
      <c r="AE278" s="102">
        <f>IF(D278=DP!$L$22,(DP!$N$22),IF(D278=DP!$L$23,(DP!$N$23),IF(D278=DP!$L$24,(DP!$N$24),IF(D278=DP!$L$25,(DP!$N$25),((0*1))))))</f>
        <v>0</v>
      </c>
      <c r="AF278" s="93">
        <f t="shared" si="289"/>
        <v>0</v>
      </c>
      <c r="AG278" s="93">
        <f>IF(D278=DP!$L$15,(F278/DP!$K$15)*(1+DP!$O$15),IF(D278=DP!$L$16,(F278/DP!$K$16)*(1+DP!$O$16),IF(D278=DP!$L$17,(F278/DP!$K$17)*(1+DP!$O$17),IF(D278=DP!$L$18,(F278/DP!$K$18)*(1+DP!$O$18),0*1))))</f>
        <v>0</v>
      </c>
      <c r="AH278" s="102">
        <f>IF(D278=DP!$L$22,(DP!$O$22),IF(D278=DP!$L$23,(DP!$O$23),IF(D278=DP!$L$24,(DP!$O$24),IF(D278=DP!$L$25,(DP!$O$25),((0*1))))))</f>
        <v>0</v>
      </c>
      <c r="AI278" s="93">
        <f t="shared" si="290"/>
        <v>0</v>
      </c>
      <c r="AJ278" s="93">
        <f>IF(D278=DP!$L$15,F278*(1+DP!$O$15),IF(D278=DP!$L$16,F278*(1+DP!$O$16),IF(D278=DP!$L$17,F278*(1+DP!$O$17),IF(D278=DP!$L$18,F278*(1+DP!$O$18),0*1))))</f>
        <v>0</v>
      </c>
      <c r="AK278" s="102">
        <f>IF(D278=DP!$L$22,(DP!$P$22),IF(D278=DP!$L$23,(DP!$P$23),IF(D278=DP!$L$24,(DP!$P$24),IF(D278=DP!$L$25,(DP!$P$25),((0*1))))))</f>
        <v>0</v>
      </c>
      <c r="AL278" s="93">
        <f t="shared" si="291"/>
        <v>0</v>
      </c>
      <c r="AM278" s="100"/>
      <c r="AN278" s="149">
        <f t="shared" si="276"/>
        <v>0</v>
      </c>
      <c r="AO278" s="149">
        <f>DP!$N$35*H278</f>
        <v>0</v>
      </c>
      <c r="AP278" s="149">
        <f>DP!$O$35*H278</f>
        <v>0</v>
      </c>
      <c r="AQ278" s="149">
        <f>DP!$P$35*H278</f>
        <v>0</v>
      </c>
      <c r="AV278" s="489" t="str">
        <f>DP!AV20</f>
        <v>PIÑA TROZO A-10</v>
      </c>
      <c r="AW278" s="489">
        <f>DP!AW20</f>
        <v>2920</v>
      </c>
      <c r="AX278" s="489">
        <f>DP!AX20</f>
        <v>1825</v>
      </c>
      <c r="AY278" s="412">
        <f t="shared" si="292"/>
        <v>0</v>
      </c>
      <c r="AZ278" s="470">
        <f>DP!BG20</f>
        <v>0</v>
      </c>
      <c r="BA278" s="98">
        <f t="shared" si="293"/>
        <v>0</v>
      </c>
      <c r="BB278" s="97"/>
      <c r="BC278" s="102">
        <f t="shared" si="277"/>
        <v>0</v>
      </c>
      <c r="BD278" s="98">
        <f t="shared" si="278"/>
        <v>0</v>
      </c>
      <c r="BE278" s="93">
        <f t="shared" si="294"/>
        <v>0</v>
      </c>
      <c r="BF278" s="99">
        <f t="shared" si="279"/>
        <v>0</v>
      </c>
      <c r="BG278" s="100"/>
      <c r="BH278" s="102">
        <f>IFERROR((BA278*100%)/DP!$AQ$29,(0*1))</f>
        <v>0</v>
      </c>
      <c r="BI278" s="102">
        <f>IF(BH278&gt;0,(DP!$AQ$31),0*1)</f>
        <v>0</v>
      </c>
      <c r="BJ278" s="435">
        <f t="shared" si="295"/>
        <v>0</v>
      </c>
      <c r="BK278" s="475">
        <f>BA278*DP!$BC$44</f>
        <v>0</v>
      </c>
      <c r="BL278" s="475">
        <f>IF(BA278&gt;0,DP!$BD$44,0*1)</f>
        <v>0</v>
      </c>
      <c r="BM278" s="475">
        <f t="shared" si="296"/>
        <v>0</v>
      </c>
      <c r="BN278" s="102">
        <f>BA278*DP!$BC$45</f>
        <v>0</v>
      </c>
      <c r="BO278" s="102">
        <f>IF(BA278&gt;0,DP!$BD$45,0*1)</f>
        <v>0</v>
      </c>
      <c r="BP278" s="475">
        <f t="shared" si="297"/>
        <v>0</v>
      </c>
      <c r="BQ278" s="100"/>
      <c r="BR278" s="100"/>
      <c r="BS278" s="100"/>
      <c r="BT278" s="93">
        <f>IF(AW278=DP!$AN$15,AY278*(1+DP!$AQ$15),IF(AW278=DP!$AN$16,AY278*(1+DP!$AQ$16),IF(AW278=DP!$AN$17,AY278*(1+DP!$AQ$17),IF(AW278=DP!$AN$18,AY278*(1+DP!$AQ$18),0*1))))</f>
        <v>0</v>
      </c>
      <c r="BU278" s="102">
        <f>IF(AW278=DP!$AN$22,(DP!$AO$22),IF(AW278=DP!$AN$23,(DP!$AO$23),IF(AW278=DP!$AN$24,(DP!$AO$24),IF(AW278=DP!$AN$25,(DP!$AO$25),((0*1))))))</f>
        <v>0</v>
      </c>
      <c r="BV278" s="93">
        <f t="shared" si="298"/>
        <v>0</v>
      </c>
      <c r="BW278" s="93">
        <f>IF(AW278=DP!$AN$15,AY278*(1+DP!$AQ$15),IF(AW278=DP!$AN$16,AY278*(1+DP!$AQ$16),IF(AW278=DP!$AN$17,AY278*(1+DP!$AQ$17),IF(AW278=DP!$AN$18,AY278*(1+DP!$AQ$18),0*1))))</f>
        <v>0</v>
      </c>
      <c r="BX278" s="102">
        <f>IF(AW278=DP!$AN$22,(DP!$AP$22),IF(AW278=DP!$AN$23,(DP!$AP$23),IF(AW278=DP!$AN$24,(DP!$AP$24),IF(AW278=DP!$AN$25,(DP!$AP$25),((0*1))))))</f>
        <v>0</v>
      </c>
      <c r="BY278" s="93">
        <f t="shared" si="299"/>
        <v>0</v>
      </c>
      <c r="BZ278" s="93">
        <f>IF(AW278=DP!$AN$15,(AY278/DP!$AM$15)*(1+DP!$AQ$15),IF(AW278=DP!$AN$16,(AY278/DP!$AM$16)*(1+DP!$AQ$16),IF(AW278=DP!$AN$17,(AY278/DP!$AM$17)*(1+DP!$AQ$17),IF(AW278=DP!$AN$18,(AY278/DP!$AM$18)*(1+DP!$AQ$18),0*1))))</f>
        <v>0</v>
      </c>
      <c r="CA278" s="102">
        <f>IF(AW278=DP!$AN$22,(DP!$AQ$22),IF(AW278=DP!$AN$23,(DP!$AQ$23),IF(AW278=DP!$AN$24,(DP!$AQ$24),IF(AW278=DP!$AN$25,(DP!$AQ$25),((0*1))))))</f>
        <v>0</v>
      </c>
      <c r="CB278" s="93">
        <f t="shared" si="300"/>
        <v>0</v>
      </c>
      <c r="CC278" s="93">
        <f>IF(AW278=DP!$AN$15,AY278*(1+DP!$AQ$15),IF(AW278=DP!$AN$16,AY278*(1+DP!$AQ$16),IF(AW278=DP!$AN$17,AY278*(1+DP!$AQ$17),IF(AW278=DP!$AN$18,AY278*(1+DP!$AQ$18),0*1))))</f>
        <v>0</v>
      </c>
      <c r="CD278" s="102">
        <f>IF(AW278=DP!$AN$22,(DP!$AR$22),IF(AW278=DP!$AN$23,(DP!$AR$23),IF(AW278=DP!$AN$24,(DP!$AR$24),IF(AW278=DP!$AN$25,(DP!$AR$25),((0*1))))))</f>
        <v>0</v>
      </c>
      <c r="CE278" s="93">
        <f t="shared" si="301"/>
        <v>0</v>
      </c>
      <c r="CF278" s="100"/>
      <c r="CG278" s="149">
        <f t="shared" si="280"/>
        <v>0</v>
      </c>
      <c r="CH278" s="149">
        <f>DP!$N$35*BA278</f>
        <v>0</v>
      </c>
      <c r="CI278" s="149">
        <f>DP!$O$35*BA278</f>
        <v>0</v>
      </c>
      <c r="CJ278" s="149">
        <f>DP!$P$35*BA278</f>
        <v>0</v>
      </c>
    </row>
    <row r="279" spans="2:88" x14ac:dyDescent="0.35">
      <c r="B279" s="480">
        <f>DP!S21</f>
        <v>1</v>
      </c>
      <c r="C279" s="480" t="str">
        <f>DP!T21</f>
        <v>PALMITO ENTERO 400</v>
      </c>
      <c r="D279" s="480">
        <f>DP!U21</f>
        <v>400</v>
      </c>
      <c r="E279" s="480">
        <f>DP!V21</f>
        <v>220</v>
      </c>
      <c r="F279" s="412">
        <f t="shared" si="281"/>
        <v>0</v>
      </c>
      <c r="G279" s="470">
        <f>DP!AE21</f>
        <v>0</v>
      </c>
      <c r="H279" s="98">
        <f t="shared" si="282"/>
        <v>0</v>
      </c>
      <c r="I279" s="97"/>
      <c r="J279" s="102">
        <f t="shared" si="272"/>
        <v>0</v>
      </c>
      <c r="K279" s="98">
        <f t="shared" si="273"/>
        <v>0</v>
      </c>
      <c r="L279" s="93">
        <f t="shared" si="274"/>
        <v>0</v>
      </c>
      <c r="M279" s="99">
        <f t="shared" si="275"/>
        <v>0</v>
      </c>
      <c r="N279" s="100"/>
      <c r="O279" s="102">
        <f>($E279/DP!$O$29)*F279</f>
        <v>0</v>
      </c>
      <c r="P279" s="102">
        <f>IF(O279&gt;0,(DP!$O$31),0*1)</f>
        <v>0</v>
      </c>
      <c r="Q279" s="102">
        <f t="shared" si="283"/>
        <v>0</v>
      </c>
      <c r="R279" s="102">
        <f t="shared" si="284"/>
        <v>0</v>
      </c>
      <c r="S279" s="418">
        <f t="shared" si="285"/>
        <v>0</v>
      </c>
      <c r="T279" s="475">
        <f>H279*DP!$AA$44</f>
        <v>0</v>
      </c>
      <c r="U279" s="475">
        <f>IF(H279&gt;0,DP!$AB$44,0*1)</f>
        <v>0</v>
      </c>
      <c r="V279" s="475">
        <f t="shared" si="286"/>
        <v>0</v>
      </c>
      <c r="W279" s="475">
        <f>H279*DP!$AA$45</f>
        <v>0</v>
      </c>
      <c r="X279" s="475">
        <f>IF(H279&gt;0,DP!$AB$45,0*1)</f>
        <v>0</v>
      </c>
      <c r="Y279" s="475">
        <f t="shared" si="287"/>
        <v>0</v>
      </c>
      <c r="Z279" s="100"/>
      <c r="AA279" s="93">
        <f>IF(D279=DP!$L$15,F279*(1+DP!$O$15),IF(D279=DP!$L$16,F279*(1+DP!$O$16),IF(D279=DP!$L$17,F279*(1+DP!$O$17),IF(D279=DP!$L$18,F279*(1+DP!$O$18),0*1))))</f>
        <v>0</v>
      </c>
      <c r="AB279" s="102">
        <f>IF(D279=DP!$L$22,(DP!$M$22),IF(D279=DP!$L$23,(DP!$M$23),IF(D279=DP!$L$24,(DP!$M$24),IF(D279=DP!$L$25,(DP!$M$25),((0*1))))))</f>
        <v>0</v>
      </c>
      <c r="AC279" s="93">
        <f t="shared" si="288"/>
        <v>0</v>
      </c>
      <c r="AD279" s="93">
        <f>IF(D279=DP!$L$15,F279*(1+DP!$O$15),IF(D279=DP!$L$16,F279*(1+DP!$O$16),IF(D279=DP!$L$17,F279*(1+DP!$O$17),IF(D279=DP!$L$18,F279*(1+DP!$O$18),0*1))))</f>
        <v>0</v>
      </c>
      <c r="AE279" s="102">
        <f>IF(D279=DP!$L$22,(DP!$N$22),IF(D279=DP!$L$23,(DP!$N$23),IF(D279=DP!$L$24,(DP!$N$24),IF(D279=DP!$L$25,(DP!$N$25),((0*1))))))</f>
        <v>0</v>
      </c>
      <c r="AF279" s="93">
        <f t="shared" si="289"/>
        <v>0</v>
      </c>
      <c r="AG279" s="93">
        <f>IF(D279=DP!$L$15,(F279/DP!$K$15)*(1+DP!$O$15),IF(D279=DP!$L$16,(F279/DP!$K$16)*(1+DP!$O$16),IF(D279=DP!$L$17,(F279/DP!$K$17)*(1+DP!$O$17),IF(D279=DP!$L$18,(F279/DP!$K$18)*(1+DP!$O$18),0*1))))</f>
        <v>0</v>
      </c>
      <c r="AH279" s="102">
        <f>IF(D279=DP!$L$22,(DP!$O$22),IF(D279=DP!$L$23,(DP!$O$23),IF(D279=DP!$L$24,(DP!$O$24),IF(D279=DP!$L$25,(DP!$O$25),((0*1))))))</f>
        <v>0</v>
      </c>
      <c r="AI279" s="93">
        <f t="shared" si="290"/>
        <v>0</v>
      </c>
      <c r="AJ279" s="93">
        <f>IF(D279=DP!$L$15,F279*(1+DP!$O$15),IF(D279=DP!$L$16,F279*(1+DP!$O$16),IF(D279=DP!$L$17,F279*(1+DP!$O$17),IF(D279=DP!$L$18,F279*(1+DP!$O$18),0*1))))</f>
        <v>0</v>
      </c>
      <c r="AK279" s="102">
        <f>IF(D279=DP!$L$22,(DP!$P$22),IF(D279=DP!$L$23,(DP!$P$23),IF(D279=DP!$L$24,(DP!$P$24),IF(D279=DP!$L$25,(DP!$P$25),((0*1))))))</f>
        <v>0</v>
      </c>
      <c r="AL279" s="93">
        <f t="shared" si="291"/>
        <v>0</v>
      </c>
      <c r="AM279" s="100"/>
      <c r="AN279" s="149">
        <f t="shared" si="276"/>
        <v>0</v>
      </c>
      <c r="AO279" s="149">
        <f>DP!$N$35*H279</f>
        <v>0</v>
      </c>
      <c r="AP279" s="149">
        <f>DP!$O$35*H279</f>
        <v>0</v>
      </c>
      <c r="AQ279" s="149">
        <f>DP!$P$35*H279</f>
        <v>0</v>
      </c>
      <c r="AV279" s="489" t="str">
        <f>DP!AV21</f>
        <v>PIÑA RODAJA A-10</v>
      </c>
      <c r="AW279" s="489">
        <f>DP!AW21</f>
        <v>2920</v>
      </c>
      <c r="AX279" s="489">
        <f>DP!AX21</f>
        <v>1825</v>
      </c>
      <c r="AY279" s="412">
        <f t="shared" si="292"/>
        <v>0</v>
      </c>
      <c r="AZ279" s="470">
        <f>DP!BG21</f>
        <v>0</v>
      </c>
      <c r="BA279" s="98">
        <f t="shared" si="293"/>
        <v>0</v>
      </c>
      <c r="BB279" s="97"/>
      <c r="BC279" s="102">
        <f t="shared" si="277"/>
        <v>0</v>
      </c>
      <c r="BD279" s="98">
        <f t="shared" si="278"/>
        <v>0</v>
      </c>
      <c r="BE279" s="93">
        <f t="shared" si="294"/>
        <v>0</v>
      </c>
      <c r="BF279" s="99">
        <f t="shared" si="279"/>
        <v>0</v>
      </c>
      <c r="BG279" s="100"/>
      <c r="BH279" s="102">
        <f>IFERROR((BA279*100%)/DP!$AQ$29,(0*1))</f>
        <v>0</v>
      </c>
      <c r="BI279" s="102">
        <f>IF(BH279&gt;0,(DP!$AQ$31),0*1)</f>
        <v>0</v>
      </c>
      <c r="BJ279" s="435">
        <f t="shared" si="295"/>
        <v>0</v>
      </c>
      <c r="BK279" s="475">
        <f>BA279*DP!$BC$44</f>
        <v>0</v>
      </c>
      <c r="BL279" s="475">
        <f>IF(BA279&gt;0,DP!$BD$44,0*1)</f>
        <v>0</v>
      </c>
      <c r="BM279" s="475">
        <f t="shared" si="296"/>
        <v>0</v>
      </c>
      <c r="BN279" s="102">
        <f>BA279*DP!$BC$45</f>
        <v>0</v>
      </c>
      <c r="BO279" s="102">
        <f>IF(BA279&gt;0,DP!$BD$45,0*1)</f>
        <v>0</v>
      </c>
      <c r="BP279" s="475">
        <f t="shared" si="297"/>
        <v>0</v>
      </c>
      <c r="BQ279" s="100"/>
      <c r="BR279" s="100"/>
      <c r="BS279" s="100"/>
      <c r="BT279" s="93">
        <f>IF(AW279=DP!$AN$15,AY279*(1+DP!$AQ$15),IF(AW279=DP!$AN$16,AY279*(1+DP!$AQ$16),IF(AW279=DP!$AN$17,AY279*(1+DP!$AQ$17),IF(AW279=DP!$AN$18,AY279*(1+DP!$AQ$18),0*1))))</f>
        <v>0</v>
      </c>
      <c r="BU279" s="102">
        <f>IF(AW279=DP!$AN$22,(DP!$AO$22),IF(AW279=DP!$AN$23,(DP!$AO$23),IF(AW279=DP!$AN$24,(DP!$AO$24),IF(AW279=DP!$AN$25,(DP!$AO$25),((0*1))))))</f>
        <v>0</v>
      </c>
      <c r="BV279" s="93">
        <f t="shared" si="298"/>
        <v>0</v>
      </c>
      <c r="BW279" s="93">
        <f>IF(AW279=DP!$AN$15,AY279*(1+DP!$AQ$15),IF(AW279=DP!$AN$16,AY279*(1+DP!$AQ$16),IF(AW279=DP!$AN$17,AY279*(1+DP!$AQ$17),IF(AW279=DP!$AN$18,AY279*(1+DP!$AQ$18),0*1))))</f>
        <v>0</v>
      </c>
      <c r="BX279" s="102">
        <f>IF(AW279=DP!$AN$22,(DP!$AP$22),IF(AW279=DP!$AN$23,(DP!$AP$23),IF(AW279=DP!$AN$24,(DP!$AP$24),IF(AW279=DP!$AN$25,(DP!$AP$25),((0*1))))))</f>
        <v>0</v>
      </c>
      <c r="BY279" s="93">
        <f t="shared" si="299"/>
        <v>0</v>
      </c>
      <c r="BZ279" s="93">
        <f>IF(AW279=DP!$AN$15,(AY279/DP!$AM$15)*(1+DP!$AQ$15),IF(AW279=DP!$AN$16,(AY279/DP!$AM$16)*(1+DP!$AQ$16),IF(AW279=DP!$AN$17,(AY279/DP!$AM$17)*(1+DP!$AQ$17),IF(AW279=DP!$AN$18,(AY279/DP!$AM$18)*(1+DP!$AQ$18),0*1))))</f>
        <v>0</v>
      </c>
      <c r="CA279" s="102">
        <f>IF(AW279=DP!$AN$22,(DP!$AQ$22),IF(AW279=DP!$AN$23,(DP!$AQ$23),IF(AW279=DP!$AN$24,(DP!$AQ$24),IF(AW279=DP!$AN$25,(DP!$AQ$25),((0*1))))))</f>
        <v>0</v>
      </c>
      <c r="CB279" s="93">
        <f t="shared" si="300"/>
        <v>0</v>
      </c>
      <c r="CC279" s="93">
        <f>IF(AW279=DP!$AN$15,AY279*(1+DP!$AQ$15),IF(AW279=DP!$AN$16,AY279*(1+DP!$AQ$16),IF(AW279=DP!$AN$17,AY279*(1+DP!$AQ$17),IF(AW279=DP!$AN$18,AY279*(1+DP!$AQ$18),0*1))))</f>
        <v>0</v>
      </c>
      <c r="CD279" s="102">
        <f>IF(AW279=DP!$AN$22,(DP!$AR$22),IF(AW279=DP!$AN$23,(DP!$AR$23),IF(AW279=DP!$AN$24,(DP!$AR$24),IF(AW279=DP!$AN$25,(DP!$AR$25),((0*1))))))</f>
        <v>0</v>
      </c>
      <c r="CE279" s="93">
        <f t="shared" si="301"/>
        <v>0</v>
      </c>
      <c r="CF279" s="100"/>
      <c r="CG279" s="149">
        <f t="shared" si="280"/>
        <v>0</v>
      </c>
      <c r="CH279" s="149">
        <f>DP!$N$35*BA279</f>
        <v>0</v>
      </c>
      <c r="CI279" s="149">
        <f>DP!$O$35*BA279</f>
        <v>0</v>
      </c>
      <c r="CJ279" s="149">
        <f>DP!$P$35*BA279</f>
        <v>0</v>
      </c>
    </row>
    <row r="280" spans="2:88" x14ac:dyDescent="0.35">
      <c r="B280" s="480">
        <f>DP!S22</f>
        <v>0</v>
      </c>
      <c r="C280" s="480" t="str">
        <f>DP!T22</f>
        <v>PALMITO RODAJA 400</v>
      </c>
      <c r="D280" s="480">
        <f>DP!U22</f>
        <v>400</v>
      </c>
      <c r="E280" s="480">
        <f>DP!V22</f>
        <v>220</v>
      </c>
      <c r="F280" s="412">
        <f t="shared" si="281"/>
        <v>0</v>
      </c>
      <c r="G280" s="470">
        <f>DP!AE22</f>
        <v>0</v>
      </c>
      <c r="H280" s="98">
        <f t="shared" si="282"/>
        <v>0</v>
      </c>
      <c r="I280" s="97"/>
      <c r="J280" s="102">
        <f t="shared" si="272"/>
        <v>0</v>
      </c>
      <c r="K280" s="98">
        <f t="shared" si="273"/>
        <v>0</v>
      </c>
      <c r="L280" s="93">
        <f t="shared" si="274"/>
        <v>0</v>
      </c>
      <c r="M280" s="99">
        <f t="shared" si="275"/>
        <v>0</v>
      </c>
      <c r="N280" s="100"/>
      <c r="O280" s="102">
        <f>($E280/DP!$O$29)*F280</f>
        <v>0</v>
      </c>
      <c r="P280" s="102">
        <f>IF(O280&gt;0,(DP!$O$31),0*1)</f>
        <v>0</v>
      </c>
      <c r="Q280" s="102">
        <f t="shared" si="283"/>
        <v>0</v>
      </c>
      <c r="R280" s="102">
        <f t="shared" si="284"/>
        <v>0</v>
      </c>
      <c r="S280" s="418">
        <f t="shared" si="285"/>
        <v>0</v>
      </c>
      <c r="T280" s="475">
        <f>H280*DP!$AA$44</f>
        <v>0</v>
      </c>
      <c r="U280" s="475">
        <f>IF(H280&gt;0,DP!$AB$44,0*1)</f>
        <v>0</v>
      </c>
      <c r="V280" s="475">
        <f t="shared" si="286"/>
        <v>0</v>
      </c>
      <c r="W280" s="475">
        <f>H280*DP!$AA$45</f>
        <v>0</v>
      </c>
      <c r="X280" s="475">
        <f>IF(H280&gt;0,DP!$AB$45,0*1)</f>
        <v>0</v>
      </c>
      <c r="Y280" s="475">
        <f t="shared" si="287"/>
        <v>0</v>
      </c>
      <c r="Z280" s="100"/>
      <c r="AA280" s="93">
        <f>IF(D280=DP!$L$15,F280*(1+DP!$O$15),IF(D280=DP!$L$16,F280*(1+DP!$O$16),IF(D280=DP!$L$17,F280*(1+DP!$O$17),IF(D280=DP!$L$18,F280*(1+DP!$O$18),0*1))))</f>
        <v>0</v>
      </c>
      <c r="AB280" s="102">
        <f>IF(D280=DP!$L$22,(DP!$M$22),IF(D280=DP!$L$23,(DP!$M$23),IF(D280=DP!$L$24,(DP!$M$24),IF(D280=DP!$L$25,(DP!$M$25),((0*1))))))</f>
        <v>0</v>
      </c>
      <c r="AC280" s="93">
        <f t="shared" si="288"/>
        <v>0</v>
      </c>
      <c r="AD280" s="93">
        <f>IF(D280=DP!$L$15,F280*(1+DP!$O$15),IF(D280=DP!$L$16,F280*(1+DP!$O$16),IF(D280=DP!$L$17,F280*(1+DP!$O$17),IF(D280=DP!$L$18,F280*(1+DP!$O$18),0*1))))</f>
        <v>0</v>
      </c>
      <c r="AE280" s="102">
        <f>IF(D280=DP!$L$22,(DP!$N$22),IF(D280=DP!$L$23,(DP!$N$23),IF(D280=DP!$L$24,(DP!$N$24),IF(D280=DP!$L$25,(DP!$N$25),((0*1))))))</f>
        <v>0</v>
      </c>
      <c r="AF280" s="93">
        <f t="shared" si="289"/>
        <v>0</v>
      </c>
      <c r="AG280" s="93">
        <f>IF(D280=DP!$L$15,(F280/DP!$K$15)*(1+DP!$O$15),IF(D280=DP!$L$16,(F280/DP!$K$16)*(1+DP!$O$16),IF(D280=DP!$L$17,(F280/DP!$K$17)*(1+DP!$O$17),IF(D280=DP!$L$18,(F280/DP!$K$18)*(1+DP!$O$18),0*1))))</f>
        <v>0</v>
      </c>
      <c r="AH280" s="102">
        <f>IF(D280=DP!$L$22,(DP!$O$22),IF(D280=DP!$L$23,(DP!$O$23),IF(D280=DP!$L$24,(DP!$O$24),IF(D280=DP!$L$25,(DP!$O$25),((0*1))))))</f>
        <v>0</v>
      </c>
      <c r="AI280" s="93">
        <f t="shared" si="290"/>
        <v>0</v>
      </c>
      <c r="AJ280" s="93">
        <f>IF(D280=DP!$L$15,F280*(1+DP!$O$15),IF(D280=DP!$L$16,F280*(1+DP!$O$16),IF(D280=DP!$L$17,F280*(1+DP!$O$17),IF(D280=DP!$L$18,F280*(1+DP!$O$18),0*1))))</f>
        <v>0</v>
      </c>
      <c r="AK280" s="102">
        <f>IF(D280=DP!$L$22,(DP!$P$22),IF(D280=DP!$L$23,(DP!$P$23),IF(D280=DP!$L$24,(DP!$P$24),IF(D280=DP!$L$25,(DP!$P$25),((0*1))))))</f>
        <v>0</v>
      </c>
      <c r="AL280" s="93">
        <f t="shared" si="291"/>
        <v>0</v>
      </c>
      <c r="AM280" s="100"/>
      <c r="AN280" s="149">
        <f t="shared" si="276"/>
        <v>0</v>
      </c>
      <c r="AO280" s="149">
        <f>DP!$N$35*H280</f>
        <v>0</v>
      </c>
      <c r="AP280" s="149">
        <f>DP!$O$35*H280</f>
        <v>0</v>
      </c>
      <c r="AQ280" s="149">
        <f>DP!$P$35*H280</f>
        <v>0</v>
      </c>
      <c r="AV280" s="489" t="str">
        <f>DP!AV22</f>
        <v>PIÑA RODAJA 567</v>
      </c>
      <c r="AW280" s="489">
        <f>DP!AW22</f>
        <v>567</v>
      </c>
      <c r="AX280" s="489">
        <f>DP!AX22</f>
        <v>340</v>
      </c>
      <c r="AY280" s="412">
        <f t="shared" si="292"/>
        <v>270000</v>
      </c>
      <c r="AZ280" s="470">
        <f>DP!BG22</f>
        <v>0.5</v>
      </c>
      <c r="BA280" s="98">
        <f t="shared" si="293"/>
        <v>91800</v>
      </c>
      <c r="BB280" s="97"/>
      <c r="BC280" s="102">
        <f t="shared" si="277"/>
        <v>0.96041166831383962</v>
      </c>
      <c r="BD280" s="98">
        <f t="shared" si="278"/>
        <v>0.83461166831383959</v>
      </c>
      <c r="BE280" s="93">
        <f t="shared" si="294"/>
        <v>259311.1504447367</v>
      </c>
      <c r="BF280" s="99">
        <f t="shared" si="279"/>
        <v>225345.1504447367</v>
      </c>
      <c r="BG280" s="100"/>
      <c r="BH280" s="102">
        <f>IFERROR((BA280*100%)/DP!$AQ$29,(0*1))</f>
        <v>204000</v>
      </c>
      <c r="BI280" s="102">
        <f>IF(BH280&gt;0,(DP!$AQ$31),0*1)</f>
        <v>0.45</v>
      </c>
      <c r="BJ280" s="435">
        <f t="shared" si="295"/>
        <v>91800</v>
      </c>
      <c r="BK280" s="475">
        <f>BA280*DP!$BC$44</f>
        <v>229.5</v>
      </c>
      <c r="BL280" s="475">
        <f>IF(BA280&gt;0,DP!$BD$44,0*1)</f>
        <v>0.95</v>
      </c>
      <c r="BM280" s="475">
        <f t="shared" si="296"/>
        <v>218.02499999999998</v>
      </c>
      <c r="BN280" s="102">
        <f>BA280*DP!$BC$45</f>
        <v>15238.800000000001</v>
      </c>
      <c r="BO280" s="102">
        <f>IF(BA280&gt;0,DP!$BD$45,0*1)</f>
        <v>0.76919999999999999</v>
      </c>
      <c r="BP280" s="475">
        <f t="shared" si="297"/>
        <v>11721.684960000001</v>
      </c>
      <c r="BQ280" s="100"/>
      <c r="BR280" s="100"/>
      <c r="BS280" s="100"/>
      <c r="BT280" s="93">
        <f>IF(AW280=DP!$AN$15,AY280*(1+DP!$AQ$15),IF(AW280=DP!$AN$16,AY280*(1+DP!$AQ$16),IF(AW280=DP!$AN$17,AY280*(1+DP!$AQ$17),IF(AW280=DP!$AN$18,AY280*(1+DP!$AQ$18),0*1))))</f>
        <v>271350</v>
      </c>
      <c r="BU280" s="102">
        <f>IF(AW280=DP!$AN$22,(DP!$AO$22),IF(AW280=DP!$AN$23,(DP!$AO$23),IF(AW280=DP!$AN$24,(DP!$AO$24),IF(AW280=DP!$AN$25,(DP!$AO$25),((0*1))))))</f>
        <v>0.23</v>
      </c>
      <c r="BV280" s="93">
        <f t="shared" si="298"/>
        <v>62410.5</v>
      </c>
      <c r="BW280" s="93">
        <f>IF(AW280=DP!$AN$15,AY280*(1+DP!$AQ$15),IF(AW280=DP!$AN$16,AY280*(1+DP!$AQ$16),IF(AW280=DP!$AN$17,AY280*(1+DP!$AQ$17),IF(AW280=DP!$AN$18,AY280*(1+DP!$AQ$18),0*1))))</f>
        <v>271350</v>
      </c>
      <c r="BX280" s="102">
        <f>IF(AW280=DP!$AN$22,(DP!$AP$22),IF(AW280=DP!$AN$23,(DP!$AP$23),IF(AW280=DP!$AN$24,(DP!$AP$24),IF(AW280=DP!$AN$25,(DP!$AP$25),((0*1))))))</f>
        <v>5.5E-2</v>
      </c>
      <c r="BY280" s="93">
        <f t="shared" si="299"/>
        <v>14924.25</v>
      </c>
      <c r="BZ280" s="93">
        <f>IF(AW280=DP!$AN$15,(AY280/DP!$AM$15)*(1+DP!$AQ$15),IF(AW280=DP!$AN$16,(AY280/DP!$AM$16)*(1+DP!$AQ$16),IF(AW280=DP!$AN$17,(AY280/DP!$AM$17)*(1+DP!$AQ$17),IF(AW280=DP!$AN$18,(AY280/DP!$AM$18)*(1+DP!$AQ$18),0*1))))</f>
        <v>11306.249999999998</v>
      </c>
      <c r="CA280" s="102">
        <f>IF(AW280=DP!$AN$22,(DP!$AQ$22),IF(AW280=DP!$AN$23,(DP!$AQ$23),IF(AW280=DP!$AN$24,(DP!$AQ$24),IF(AW280=DP!$AN$25,(DP!$AQ$25),((0*1))))))</f>
        <v>0.51199999999999923</v>
      </c>
      <c r="CB280" s="93">
        <f t="shared" si="300"/>
        <v>5788.7999999999902</v>
      </c>
      <c r="CC280" s="93">
        <f>IF(AW280=DP!$AN$15,AY280*(1+DP!$AQ$15),IF(AW280=DP!$AN$16,AY280*(1+DP!$AQ$16),IF(AW280=DP!$AN$17,AY280*(1+DP!$AQ$17),IF(AW280=DP!$AN$18,AY280*(1+DP!$AQ$18),0*1))))</f>
        <v>271350</v>
      </c>
      <c r="CD280" s="102">
        <f>IF(AW280=DP!$AN$22,(DP!$AR$22),IF(AW280=DP!$AN$23,(DP!$AR$23),IF(AW280=DP!$AN$24,(DP!$AR$24),IF(AW280=DP!$AN$25,(DP!$AR$25),((0*1))))))</f>
        <v>3.3045977011494254E-2</v>
      </c>
      <c r="CE280" s="93">
        <f t="shared" si="301"/>
        <v>8967.0258620689656</v>
      </c>
      <c r="CF280" s="100"/>
      <c r="CG280" s="149">
        <f t="shared" si="280"/>
        <v>29514.864622667745</v>
      </c>
      <c r="CH280" s="149">
        <f>DP!$N$35*BA280</f>
        <v>1318.9655172413795</v>
      </c>
      <c r="CI280" s="149">
        <f>DP!$O$35*BA280</f>
        <v>5012.0689655172418</v>
      </c>
      <c r="CJ280" s="149">
        <f>DP!$P$35*BA280</f>
        <v>33966</v>
      </c>
    </row>
    <row r="281" spans="2:88" x14ac:dyDescent="0.35">
      <c r="B281" s="480">
        <f>DP!S23</f>
        <v>0</v>
      </c>
      <c r="C281" s="480" t="str">
        <f>DP!T23</f>
        <v>PALMITO TROZO 400</v>
      </c>
      <c r="D281" s="480">
        <f>DP!U23</f>
        <v>400</v>
      </c>
      <c r="E281" s="480">
        <f>DP!V23</f>
        <v>236</v>
      </c>
      <c r="F281" s="412">
        <f t="shared" si="281"/>
        <v>0</v>
      </c>
      <c r="G281" s="470">
        <f>DP!AE23</f>
        <v>0</v>
      </c>
      <c r="H281" s="98">
        <f t="shared" si="282"/>
        <v>0</v>
      </c>
      <c r="I281" s="97"/>
      <c r="J281" s="102">
        <f t="shared" si="272"/>
        <v>0</v>
      </c>
      <c r="K281" s="98">
        <f t="shared" si="273"/>
        <v>0</v>
      </c>
      <c r="L281" s="93">
        <f t="shared" si="274"/>
        <v>0</v>
      </c>
      <c r="M281" s="99">
        <f t="shared" si="275"/>
        <v>0</v>
      </c>
      <c r="N281" s="100"/>
      <c r="O281" s="102">
        <f>($E281/DP!$O$29)*F281</f>
        <v>0</v>
      </c>
      <c r="P281" s="102">
        <f>IF(O281&gt;0,(DP!$O$31),0*1)</f>
        <v>0</v>
      </c>
      <c r="Q281" s="102">
        <f t="shared" si="283"/>
        <v>0</v>
      </c>
      <c r="R281" s="102">
        <f t="shared" si="284"/>
        <v>0</v>
      </c>
      <c r="S281" s="418">
        <f t="shared" si="285"/>
        <v>0</v>
      </c>
      <c r="T281" s="475">
        <f>H281*DP!$AA$44</f>
        <v>0</v>
      </c>
      <c r="U281" s="475">
        <f>IF(H281&gt;0,DP!$AB$44,0*1)</f>
        <v>0</v>
      </c>
      <c r="V281" s="475">
        <f t="shared" si="286"/>
        <v>0</v>
      </c>
      <c r="W281" s="475">
        <f>H281*DP!$AA$45</f>
        <v>0</v>
      </c>
      <c r="X281" s="475">
        <f>IF(H281&gt;0,DP!$AB$45,0*1)</f>
        <v>0</v>
      </c>
      <c r="Y281" s="475">
        <f t="shared" si="287"/>
        <v>0</v>
      </c>
      <c r="Z281" s="100"/>
      <c r="AA281" s="93">
        <f>IF(D281=DP!$L$15,F281*(1+DP!$O$15),IF(D281=DP!$L$16,F281*(1+DP!$O$16),IF(D281=DP!$L$17,F281*(1+DP!$O$17),IF(D281=DP!$L$18,F281*(1+DP!$O$18),0*1))))</f>
        <v>0</v>
      </c>
      <c r="AB281" s="102">
        <f>IF(D281=DP!$L$22,(DP!$M$22),IF(D281=DP!$L$23,(DP!$M$23),IF(D281=DP!$L$24,(DP!$M$24),IF(D281=DP!$L$25,(DP!$M$25),((0*1))))))</f>
        <v>0</v>
      </c>
      <c r="AC281" s="93">
        <f t="shared" si="288"/>
        <v>0</v>
      </c>
      <c r="AD281" s="93">
        <f>IF(D281=DP!$L$15,F281*(1+DP!$O$15),IF(D281=DP!$L$16,F281*(1+DP!$O$16),IF(D281=DP!$L$17,F281*(1+DP!$O$17),IF(D281=DP!$L$18,F281*(1+DP!$O$18),0*1))))</f>
        <v>0</v>
      </c>
      <c r="AE281" s="102">
        <f>IF(D281=DP!$L$22,(DP!$N$22),IF(D281=DP!$L$23,(DP!$N$23),IF(D281=DP!$L$24,(DP!$N$24),IF(D281=DP!$L$25,(DP!$N$25),((0*1))))))</f>
        <v>0</v>
      </c>
      <c r="AF281" s="93">
        <f t="shared" si="289"/>
        <v>0</v>
      </c>
      <c r="AG281" s="93">
        <f>IF(D281=DP!$L$15,(F281/DP!$K$15)*(1+DP!$O$15),IF(D281=DP!$L$16,(F281/DP!$K$16)*(1+DP!$O$16),IF(D281=DP!$L$17,(F281/DP!$K$17)*(1+DP!$O$17),IF(D281=DP!$L$18,(F281/DP!$K$18)*(1+DP!$O$18),0*1))))</f>
        <v>0</v>
      </c>
      <c r="AH281" s="102">
        <f>IF(D281=DP!$L$22,(DP!$O$22),IF(D281=DP!$L$23,(DP!$O$23),IF(D281=DP!$L$24,(DP!$O$24),IF(D281=DP!$L$25,(DP!$O$25),((0*1))))))</f>
        <v>0</v>
      </c>
      <c r="AI281" s="93">
        <f t="shared" si="290"/>
        <v>0</v>
      </c>
      <c r="AJ281" s="93">
        <f>IF(D281=DP!$L$15,F281*(1+DP!$O$15),IF(D281=DP!$L$16,F281*(1+DP!$O$16),IF(D281=DP!$L$17,F281*(1+DP!$O$17),IF(D281=DP!$L$18,F281*(1+DP!$O$18),0*1))))</f>
        <v>0</v>
      </c>
      <c r="AK281" s="102">
        <f>IF(D281=DP!$L$22,(DP!$P$22),IF(D281=DP!$L$23,(DP!$P$23),IF(D281=DP!$L$24,(DP!$P$24),IF(D281=DP!$L$25,(DP!$P$25),((0*1))))))</f>
        <v>0</v>
      </c>
      <c r="AL281" s="93">
        <f t="shared" si="291"/>
        <v>0</v>
      </c>
      <c r="AM281" s="100"/>
      <c r="AN281" s="149">
        <f t="shared" si="276"/>
        <v>0</v>
      </c>
      <c r="AO281" s="149">
        <f>DP!$N$35*H281</f>
        <v>0</v>
      </c>
      <c r="AP281" s="149">
        <f>DP!$O$35*H281</f>
        <v>0</v>
      </c>
      <c r="AQ281" s="149">
        <f>DP!$P$35*H281</f>
        <v>0</v>
      </c>
      <c r="AV281" s="489" t="str">
        <f>DP!AV23</f>
        <v>PIÑA TROZO 567</v>
      </c>
      <c r="AW281" s="489">
        <f>DP!AW23</f>
        <v>567</v>
      </c>
      <c r="AX281" s="489">
        <f>DP!AX23</f>
        <v>340</v>
      </c>
      <c r="AY281" s="412">
        <f t="shared" si="292"/>
        <v>108000</v>
      </c>
      <c r="AZ281" s="470">
        <f>DP!BG23</f>
        <v>0.2</v>
      </c>
      <c r="BA281" s="98">
        <f t="shared" si="293"/>
        <v>36720</v>
      </c>
      <c r="BB281" s="97"/>
      <c r="BC281" s="102">
        <f t="shared" si="277"/>
        <v>0.9604116683138394</v>
      </c>
      <c r="BD281" s="98">
        <f t="shared" si="278"/>
        <v>0.83461166831383948</v>
      </c>
      <c r="BE281" s="93">
        <f t="shared" si="294"/>
        <v>103724.46017789465</v>
      </c>
      <c r="BF281" s="99">
        <f t="shared" si="279"/>
        <v>90138.060177894658</v>
      </c>
      <c r="BG281" s="100"/>
      <c r="BH281" s="102">
        <f>IFERROR((BA281*100%)/DP!$AQ$29,(0*1))</f>
        <v>81600</v>
      </c>
      <c r="BI281" s="102">
        <f>IF(BH281&gt;0,(DP!$AQ$31),0*1)</f>
        <v>0.45</v>
      </c>
      <c r="BJ281" s="435">
        <f t="shared" si="295"/>
        <v>36720</v>
      </c>
      <c r="BK281" s="475">
        <f>BA281*DP!$BC$44</f>
        <v>91.8</v>
      </c>
      <c r="BL281" s="475">
        <f>IF(BA281&gt;0,DP!$BD$44,0*1)</f>
        <v>0.95</v>
      </c>
      <c r="BM281" s="475">
        <f t="shared" si="296"/>
        <v>87.21</v>
      </c>
      <c r="BN281" s="102">
        <f>BA281*DP!$BC$45</f>
        <v>6095.52</v>
      </c>
      <c r="BO281" s="102">
        <f>IF(BA281&gt;0,DP!$BD$45,0*1)</f>
        <v>0.76919999999999999</v>
      </c>
      <c r="BP281" s="475">
        <f t="shared" si="297"/>
        <v>4688.673984</v>
      </c>
      <c r="BQ281" s="100"/>
      <c r="BR281" s="100"/>
      <c r="BS281" s="100"/>
      <c r="BT281" s="93">
        <f>IF(AW281=DP!$AN$15,AY281*(1+DP!$AQ$15),IF(AW281=DP!$AN$16,AY281*(1+DP!$AQ$16),IF(AW281=DP!$AN$17,AY281*(1+DP!$AQ$17),IF(AW281=DP!$AN$18,AY281*(1+DP!$AQ$18),0*1))))</f>
        <v>108539.99999999999</v>
      </c>
      <c r="BU281" s="102">
        <f>IF(AW281=DP!$AN$22,(DP!$AO$22),IF(AW281=DP!$AN$23,(DP!$AO$23),IF(AW281=DP!$AN$24,(DP!$AO$24),IF(AW281=DP!$AN$25,(DP!$AO$25),((0*1))))))</f>
        <v>0.23</v>
      </c>
      <c r="BV281" s="93">
        <f t="shared" si="298"/>
        <v>24964.199999999997</v>
      </c>
      <c r="BW281" s="93">
        <f>IF(AW281=DP!$AN$15,AY281*(1+DP!$AQ$15),IF(AW281=DP!$AN$16,AY281*(1+DP!$AQ$16),IF(AW281=DP!$AN$17,AY281*(1+DP!$AQ$17),IF(AW281=DP!$AN$18,AY281*(1+DP!$AQ$18),0*1))))</f>
        <v>108539.99999999999</v>
      </c>
      <c r="BX281" s="102">
        <f>IF(AW281=DP!$AN$22,(DP!$AP$22),IF(AW281=DP!$AN$23,(DP!$AP$23),IF(AW281=DP!$AN$24,(DP!$AP$24),IF(AW281=DP!$AN$25,(DP!$AP$25),((0*1))))))</f>
        <v>5.5E-2</v>
      </c>
      <c r="BY281" s="93">
        <f t="shared" si="299"/>
        <v>5969.6999999999989</v>
      </c>
      <c r="BZ281" s="93">
        <f>IF(AW281=DP!$AN$15,(AY281/DP!$AM$15)*(1+DP!$AQ$15),IF(AW281=DP!$AN$16,(AY281/DP!$AM$16)*(1+DP!$AQ$16),IF(AW281=DP!$AN$17,(AY281/DP!$AM$17)*(1+DP!$AQ$17),IF(AW281=DP!$AN$18,(AY281/DP!$AM$18)*(1+DP!$AQ$18),0*1))))</f>
        <v>4522.4999999999991</v>
      </c>
      <c r="CA281" s="102">
        <f>IF(AW281=DP!$AN$22,(DP!$AQ$22),IF(AW281=DP!$AN$23,(DP!$AQ$23),IF(AW281=DP!$AN$24,(DP!$AQ$24),IF(AW281=DP!$AN$25,(DP!$AQ$25),((0*1))))))</f>
        <v>0.51199999999999923</v>
      </c>
      <c r="CB281" s="93">
        <f t="shared" si="300"/>
        <v>2315.5199999999959</v>
      </c>
      <c r="CC281" s="93">
        <f>IF(AW281=DP!$AN$15,AY281*(1+DP!$AQ$15),IF(AW281=DP!$AN$16,AY281*(1+DP!$AQ$16),IF(AW281=DP!$AN$17,AY281*(1+DP!$AQ$17),IF(AW281=DP!$AN$18,AY281*(1+DP!$AQ$18),0*1))))</f>
        <v>108539.99999999999</v>
      </c>
      <c r="CD281" s="102">
        <f>IF(AW281=DP!$AN$22,(DP!$AR$22),IF(AW281=DP!$AN$23,(DP!$AR$23),IF(AW281=DP!$AN$24,(DP!$AR$24),IF(AW281=DP!$AN$25,(DP!$AR$25),((0*1))))))</f>
        <v>3.3045977011494254E-2</v>
      </c>
      <c r="CE281" s="93">
        <f t="shared" si="301"/>
        <v>3586.8103448275861</v>
      </c>
      <c r="CF281" s="100"/>
      <c r="CG281" s="149">
        <f t="shared" si="280"/>
        <v>11805.945849067097</v>
      </c>
      <c r="CH281" s="149">
        <f>DP!$N$35*BA281</f>
        <v>527.58620689655174</v>
      </c>
      <c r="CI281" s="149">
        <f>DP!$O$35*BA281</f>
        <v>2004.8275862068967</v>
      </c>
      <c r="CJ281" s="149">
        <f>DP!$P$35*BA281</f>
        <v>13586.4</v>
      </c>
    </row>
    <row r="282" spans="2:88" x14ac:dyDescent="0.35">
      <c r="B282" s="480">
        <f>DP!S24</f>
        <v>0</v>
      </c>
      <c r="C282" s="480" t="str">
        <f>DP!T24</f>
        <v>PALMITO TROZO  A-10</v>
      </c>
      <c r="D282" s="480">
        <f>DP!U24</f>
        <v>2920</v>
      </c>
      <c r="E282" s="480">
        <f>DP!V24</f>
        <v>1825</v>
      </c>
      <c r="F282" s="412">
        <f t="shared" si="281"/>
        <v>0</v>
      </c>
      <c r="G282" s="470">
        <f>DP!AE24</f>
        <v>0</v>
      </c>
      <c r="H282" s="98">
        <f t="shared" si="282"/>
        <v>0</v>
      </c>
      <c r="I282" s="97"/>
      <c r="J282" s="102">
        <f t="shared" si="272"/>
        <v>0</v>
      </c>
      <c r="K282" s="98">
        <f t="shared" si="273"/>
        <v>0</v>
      </c>
      <c r="L282" s="93">
        <f t="shared" si="274"/>
        <v>0</v>
      </c>
      <c r="M282" s="99">
        <f t="shared" si="275"/>
        <v>0</v>
      </c>
      <c r="N282" s="100"/>
      <c r="O282" s="102">
        <f>($E282/DP!$O$29)*F282</f>
        <v>0</v>
      </c>
      <c r="P282" s="102">
        <f>IF(O282&gt;0,(DP!$O$31),0*1)</f>
        <v>0</v>
      </c>
      <c r="Q282" s="102">
        <f t="shared" si="283"/>
        <v>0</v>
      </c>
      <c r="R282" s="102">
        <f t="shared" si="284"/>
        <v>0</v>
      </c>
      <c r="S282" s="418">
        <f t="shared" si="285"/>
        <v>0</v>
      </c>
      <c r="T282" s="475">
        <f>H282*DP!$AA$44</f>
        <v>0</v>
      </c>
      <c r="U282" s="475">
        <f>IF(H282&gt;0,DP!$AB$44,0*1)</f>
        <v>0</v>
      </c>
      <c r="V282" s="475">
        <f t="shared" si="286"/>
        <v>0</v>
      </c>
      <c r="W282" s="475">
        <f>H282*DP!$AA$45</f>
        <v>0</v>
      </c>
      <c r="X282" s="475">
        <f>IF(H282&gt;0,DP!$AB$45,0*1)</f>
        <v>0</v>
      </c>
      <c r="Y282" s="475">
        <f t="shared" si="287"/>
        <v>0</v>
      </c>
      <c r="Z282" s="100"/>
      <c r="AA282" s="93">
        <f>IF(D282=DP!$L$15,F282*(1+DP!$O$15),IF(D282=DP!$L$16,F282*(1+DP!$O$16),IF(D282=DP!$L$17,F282*(1+DP!$O$17),IF(D282=DP!$L$18,F282*(1+DP!$O$18),0*1))))</f>
        <v>0</v>
      </c>
      <c r="AB282" s="102">
        <f>IF(D282=DP!$L$22,(DP!$M$22),IF(D282=DP!$L$23,(DP!$M$23),IF(D282=DP!$L$24,(DP!$M$24),IF(D282=DP!$L$25,(DP!$M$25),((0*1))))))</f>
        <v>0</v>
      </c>
      <c r="AC282" s="93">
        <f t="shared" si="288"/>
        <v>0</v>
      </c>
      <c r="AD282" s="93">
        <f>IF(D282=DP!$L$15,F282*(1+DP!$O$15),IF(D282=DP!$L$16,F282*(1+DP!$O$16),IF(D282=DP!$L$17,F282*(1+DP!$O$17),IF(D282=DP!$L$18,F282*(1+DP!$O$18),0*1))))</f>
        <v>0</v>
      </c>
      <c r="AE282" s="102">
        <f>IF(D282=DP!$L$22,(DP!$N$22),IF(D282=DP!$L$23,(DP!$N$23),IF(D282=DP!$L$24,(DP!$N$24),IF(D282=DP!$L$25,(DP!$N$25),((0*1))))))</f>
        <v>0</v>
      </c>
      <c r="AF282" s="93">
        <f t="shared" si="289"/>
        <v>0</v>
      </c>
      <c r="AG282" s="93">
        <f>IF(D282=DP!$L$15,(F282/DP!$K$15)*(1+DP!$O$15),IF(D282=DP!$L$16,(F282/DP!$K$16)*(1+DP!$O$16),IF(D282=DP!$L$17,(F282/DP!$K$17)*(1+DP!$O$17),IF(D282=DP!$L$18,(F282/DP!$K$18)*(1+DP!$O$18),0*1))))</f>
        <v>0</v>
      </c>
      <c r="AH282" s="102">
        <f>IF(D282=DP!$L$22,(DP!$O$22),IF(D282=DP!$L$23,(DP!$O$23),IF(D282=DP!$L$24,(DP!$O$24),IF(D282=DP!$L$25,(DP!$O$25),((0*1))))))</f>
        <v>0</v>
      </c>
      <c r="AI282" s="93">
        <f t="shared" si="290"/>
        <v>0</v>
      </c>
      <c r="AJ282" s="93">
        <f>IF(D282=DP!$L$15,F282*(1+DP!$O$15),IF(D282=DP!$L$16,F282*(1+DP!$O$16),IF(D282=DP!$L$17,F282*(1+DP!$O$17),IF(D282=DP!$L$18,F282*(1+DP!$O$18),0*1))))</f>
        <v>0</v>
      </c>
      <c r="AK282" s="102">
        <f>IF(D282=DP!$L$22,(DP!$P$22),IF(D282=DP!$L$23,(DP!$P$23),IF(D282=DP!$L$24,(DP!$P$24),IF(D282=DP!$L$25,(DP!$P$25),((0*1))))))</f>
        <v>0</v>
      </c>
      <c r="AL282" s="93">
        <f t="shared" si="291"/>
        <v>0</v>
      </c>
      <c r="AM282" s="100"/>
      <c r="AN282" s="149">
        <f t="shared" si="276"/>
        <v>0</v>
      </c>
      <c r="AO282" s="149">
        <f>DP!$N$35*H282</f>
        <v>0</v>
      </c>
      <c r="AP282" s="149">
        <f>DP!$O$35*H282</f>
        <v>0</v>
      </c>
      <c r="AQ282" s="149">
        <f>DP!$P$35*H282</f>
        <v>0</v>
      </c>
      <c r="AV282" s="489" t="str">
        <f>DP!AV24</f>
        <v>PIÑA RODAJA 822</v>
      </c>
      <c r="AW282" s="489">
        <f>DP!AW24</f>
        <v>822</v>
      </c>
      <c r="AX282" s="489">
        <f>DP!AX24</f>
        <v>500</v>
      </c>
      <c r="AY282" s="412">
        <f t="shared" si="292"/>
        <v>73440</v>
      </c>
      <c r="AZ282" s="470">
        <f>DP!BG24</f>
        <v>0.2</v>
      </c>
      <c r="BA282" s="98">
        <f t="shared" si="293"/>
        <v>36720</v>
      </c>
      <c r="BB282" s="97"/>
      <c r="BC282" s="102">
        <f t="shared" si="277"/>
        <v>1.2984286501572693</v>
      </c>
      <c r="BD282" s="98">
        <f t="shared" si="278"/>
        <v>1.1134286501572692</v>
      </c>
      <c r="BE282" s="93">
        <f t="shared" si="294"/>
        <v>95356.600067549851</v>
      </c>
      <c r="BF282" s="99">
        <f t="shared" si="279"/>
        <v>81770.200067549857</v>
      </c>
      <c r="BG282" s="100"/>
      <c r="BH282" s="102">
        <f>IFERROR((BA282*100%)/DP!$AQ$29,(0*1))</f>
        <v>81600</v>
      </c>
      <c r="BI282" s="102">
        <f>IF(BH282&gt;0,(DP!$AQ$31),0*1)</f>
        <v>0.45</v>
      </c>
      <c r="BJ282" s="435">
        <f t="shared" si="295"/>
        <v>36720</v>
      </c>
      <c r="BK282" s="475">
        <f>BA282*DP!$BC$44</f>
        <v>91.8</v>
      </c>
      <c r="BL282" s="475">
        <f>IF(BA282&gt;0,DP!$BD$44,0*1)</f>
        <v>0.95</v>
      </c>
      <c r="BM282" s="475">
        <f t="shared" si="296"/>
        <v>87.21</v>
      </c>
      <c r="BN282" s="102">
        <f>BA282*DP!$BC$45</f>
        <v>6095.52</v>
      </c>
      <c r="BO282" s="102">
        <f>IF(BA282&gt;0,DP!$BD$45,0*1)</f>
        <v>0.76919999999999999</v>
      </c>
      <c r="BP282" s="475">
        <f t="shared" si="297"/>
        <v>4688.673984</v>
      </c>
      <c r="BQ282" s="100"/>
      <c r="BR282" s="100"/>
      <c r="BS282" s="100"/>
      <c r="BT282" s="93">
        <f>IF(AW282=DP!$AN$15,AY282*(1+DP!$AQ$15),IF(AW282=DP!$AN$16,AY282*(1+DP!$AQ$16),IF(AW282=DP!$AN$17,AY282*(1+DP!$AQ$17),IF(AW282=DP!$AN$18,AY282*(1+DP!$AQ$18),0*1))))</f>
        <v>73807.199999999997</v>
      </c>
      <c r="BU282" s="102">
        <f>IF(AW282=DP!$AN$22,(DP!$AO$22),IF(AW282=DP!$AN$23,(DP!$AO$23),IF(AW282=DP!$AN$24,(DP!$AO$24),IF(AW282=DP!$AN$25,(DP!$AO$25),((0*1))))))</f>
        <v>0.24</v>
      </c>
      <c r="BV282" s="93">
        <f t="shared" si="298"/>
        <v>17713.727999999999</v>
      </c>
      <c r="BW282" s="93">
        <f>IF(AW282=DP!$AN$15,AY282*(1+DP!$AQ$15),IF(AW282=DP!$AN$16,AY282*(1+DP!$AQ$16),IF(AW282=DP!$AN$17,AY282*(1+DP!$AQ$17),IF(AW282=DP!$AN$18,AY282*(1+DP!$AQ$18),0*1))))</f>
        <v>73807.199999999997</v>
      </c>
      <c r="BX282" s="102">
        <f>IF(AW282=DP!$AN$22,(DP!$AP$22),IF(AW282=DP!$AN$23,(DP!$AP$23),IF(AW282=DP!$AN$24,(DP!$AP$24),IF(AW282=DP!$AN$25,(DP!$AP$25),((0*1))))))</f>
        <v>7.0000000000000007E-2</v>
      </c>
      <c r="BY282" s="93">
        <f t="shared" si="299"/>
        <v>5166.5039999999999</v>
      </c>
      <c r="BZ282" s="93">
        <f>IF(AW282=DP!$AN$15,(AY282/DP!$AM$15)*(1+DP!$AQ$15),IF(AW282=DP!$AN$16,(AY282/DP!$AM$16)*(1+DP!$AQ$16),IF(AW282=DP!$AN$17,(AY282/DP!$AM$17)*(1+DP!$AQ$17),IF(AW282=DP!$AN$18,(AY282/DP!$AM$18)*(1+DP!$AQ$18),0*1))))</f>
        <v>6150.5999999999995</v>
      </c>
      <c r="CA282" s="102">
        <f>IF(AW282=DP!$AN$22,(DP!$AQ$22),IF(AW282=DP!$AN$23,(DP!$AQ$23),IF(AW282=DP!$AN$24,(DP!$AQ$24),IF(AW282=DP!$AN$25,(DP!$AQ$25),((0*1))))))</f>
        <v>0.51200000000000045</v>
      </c>
      <c r="CB282" s="93">
        <f t="shared" si="300"/>
        <v>3149.1072000000026</v>
      </c>
      <c r="CC282" s="93">
        <f>IF(AW282=DP!$AN$15,AY282*(1+DP!$AQ$15),IF(AW282=DP!$AN$16,AY282*(1+DP!$AQ$16),IF(AW282=DP!$AN$17,AY282*(1+DP!$AQ$17),IF(AW282=DP!$AN$18,AY282*(1+DP!$AQ$18),0*1))))</f>
        <v>73807.199999999997</v>
      </c>
      <c r="CD282" s="102">
        <f>IF(AW282=DP!$AN$22,(DP!$AR$22),IF(AW282=DP!$AN$23,(DP!$AR$23),IF(AW282=DP!$AN$24,(DP!$AR$24),IF(AW282=DP!$AN$25,(DP!$AR$25),((0*1))))))</f>
        <v>3.3045977011494254E-2</v>
      </c>
      <c r="CE282" s="93">
        <f t="shared" si="301"/>
        <v>2439.0310344827585</v>
      </c>
      <c r="CF282" s="100"/>
      <c r="CG282" s="149">
        <f t="shared" si="280"/>
        <v>11805.945849067097</v>
      </c>
      <c r="CH282" s="149">
        <f>DP!$N$35*BA282</f>
        <v>527.58620689655174</v>
      </c>
      <c r="CI282" s="149">
        <f>DP!$O$35*BA282</f>
        <v>2004.8275862068967</v>
      </c>
      <c r="CJ282" s="149">
        <f>DP!$P$35*BA282</f>
        <v>13586.4</v>
      </c>
    </row>
    <row r="283" spans="2:88" x14ac:dyDescent="0.35">
      <c r="B283" s="480">
        <f>DP!S25</f>
        <v>0</v>
      </c>
      <c r="C283" s="480" t="str">
        <f>DP!T25</f>
        <v>PALMITO RODAJA  A-10</v>
      </c>
      <c r="D283" s="480">
        <f>DP!U25</f>
        <v>2920</v>
      </c>
      <c r="E283" s="480">
        <f>DP!V25</f>
        <v>1825</v>
      </c>
      <c r="F283" s="412">
        <f t="shared" si="281"/>
        <v>0</v>
      </c>
      <c r="G283" s="470">
        <f>DP!AE25</f>
        <v>0</v>
      </c>
      <c r="H283" s="98">
        <f t="shared" si="282"/>
        <v>0</v>
      </c>
      <c r="I283" s="97"/>
      <c r="J283" s="102">
        <f t="shared" si="272"/>
        <v>0</v>
      </c>
      <c r="K283" s="98">
        <f t="shared" si="273"/>
        <v>0</v>
      </c>
      <c r="L283" s="93">
        <f t="shared" si="274"/>
        <v>0</v>
      </c>
      <c r="M283" s="99">
        <f t="shared" si="275"/>
        <v>0</v>
      </c>
      <c r="N283" s="100"/>
      <c r="O283" s="102">
        <f>($E283/DP!$O$29)*F283</f>
        <v>0</v>
      </c>
      <c r="P283" s="102">
        <f>IF(O283&gt;0,(DP!$O$31),0*1)</f>
        <v>0</v>
      </c>
      <c r="Q283" s="102">
        <f t="shared" si="283"/>
        <v>0</v>
      </c>
      <c r="R283" s="102">
        <f t="shared" si="284"/>
        <v>0</v>
      </c>
      <c r="S283" s="418">
        <f t="shared" si="285"/>
        <v>0</v>
      </c>
      <c r="T283" s="475">
        <f>H283*DP!$AA$44</f>
        <v>0</v>
      </c>
      <c r="U283" s="475">
        <f>IF(H283&gt;0,DP!$AB$44,0*1)</f>
        <v>0</v>
      </c>
      <c r="V283" s="475">
        <f t="shared" si="286"/>
        <v>0</v>
      </c>
      <c r="W283" s="475">
        <f>H283*DP!$AA$45</f>
        <v>0</v>
      </c>
      <c r="X283" s="475">
        <f>IF(H283&gt;0,DP!$AB$45,0*1)</f>
        <v>0</v>
      </c>
      <c r="Y283" s="475">
        <f t="shared" si="287"/>
        <v>0</v>
      </c>
      <c r="Z283" s="100"/>
      <c r="AA283" s="93">
        <f>IF(D283=DP!$L$15,F283*(1+DP!$O$15),IF(D283=DP!$L$16,F283*(1+DP!$O$16),IF(D283=DP!$L$17,F283*(1+DP!$O$17),IF(D283=DP!$L$18,F283*(1+DP!$O$18),0*1))))</f>
        <v>0</v>
      </c>
      <c r="AB283" s="102">
        <f>IF(D283=DP!$L$22,(DP!$M$22),IF(D283=DP!$L$23,(DP!$M$23),IF(D283=DP!$L$24,(DP!$M$24),IF(D283=DP!$L$25,(DP!$M$25),((0*1))))))</f>
        <v>0</v>
      </c>
      <c r="AC283" s="93">
        <f t="shared" si="288"/>
        <v>0</v>
      </c>
      <c r="AD283" s="93">
        <f>IF(D283=DP!$L$15,F283*(1+DP!$O$15),IF(D283=DP!$L$16,F283*(1+DP!$O$16),IF(D283=DP!$L$17,F283*(1+DP!$O$17),IF(D283=DP!$L$18,F283*(1+DP!$O$18),0*1))))</f>
        <v>0</v>
      </c>
      <c r="AE283" s="102">
        <f>IF(D283=DP!$L$22,(DP!$N$22),IF(D283=DP!$L$23,(DP!$N$23),IF(D283=DP!$L$24,(DP!$N$24),IF(D283=DP!$L$25,(DP!$N$25),((0*1))))))</f>
        <v>0</v>
      </c>
      <c r="AF283" s="93">
        <f t="shared" si="289"/>
        <v>0</v>
      </c>
      <c r="AG283" s="93">
        <f>IF(D283=DP!$L$15,(F283/DP!$K$15)*(1+DP!$O$15),IF(D283=DP!$L$16,(F283/DP!$K$16)*(1+DP!$O$16),IF(D283=DP!$L$17,(F283/DP!$K$17)*(1+DP!$O$17),IF(D283=DP!$L$18,(F283/DP!$K$18)*(1+DP!$O$18),0*1))))</f>
        <v>0</v>
      </c>
      <c r="AH283" s="102">
        <f>IF(D283=DP!$L$22,(DP!$O$22),IF(D283=DP!$L$23,(DP!$O$23),IF(D283=DP!$L$24,(DP!$O$24),IF(D283=DP!$L$25,(DP!$O$25),((0*1))))))</f>
        <v>0</v>
      </c>
      <c r="AI283" s="93">
        <f t="shared" si="290"/>
        <v>0</v>
      </c>
      <c r="AJ283" s="93">
        <f>IF(D283=DP!$L$15,F283*(1+DP!$O$15),IF(D283=DP!$L$16,F283*(1+DP!$O$16),IF(D283=DP!$L$17,F283*(1+DP!$O$17),IF(D283=DP!$L$18,F283*(1+DP!$O$18),0*1))))</f>
        <v>0</v>
      </c>
      <c r="AK283" s="102">
        <f>IF(D283=DP!$L$22,(DP!$P$22),IF(D283=DP!$L$23,(DP!$P$23),IF(D283=DP!$L$24,(DP!$P$24),IF(D283=DP!$L$25,(DP!$P$25),((0*1))))))</f>
        <v>0</v>
      </c>
      <c r="AL283" s="93">
        <f t="shared" si="291"/>
        <v>0</v>
      </c>
      <c r="AM283" s="100"/>
      <c r="AN283" s="149">
        <f t="shared" si="276"/>
        <v>0</v>
      </c>
      <c r="AO283" s="149">
        <f>DP!$N$35*H283</f>
        <v>0</v>
      </c>
      <c r="AP283" s="149">
        <f>DP!$O$35*H283</f>
        <v>0</v>
      </c>
      <c r="AQ283" s="149">
        <f>DP!$P$35*H283</f>
        <v>0</v>
      </c>
      <c r="AV283" s="489" t="str">
        <f>DP!AV25</f>
        <v>PIÑA TROZO 822</v>
      </c>
      <c r="AW283" s="489">
        <f>DP!AW25</f>
        <v>822</v>
      </c>
      <c r="AX283" s="489">
        <f>DP!AX25</f>
        <v>500</v>
      </c>
      <c r="AY283" s="412">
        <f t="shared" si="292"/>
        <v>36720</v>
      </c>
      <c r="AZ283" s="470">
        <f>DP!BG25</f>
        <v>0.1</v>
      </c>
      <c r="BA283" s="98">
        <f t="shared" si="293"/>
        <v>18360</v>
      </c>
      <c r="BB283" s="97"/>
      <c r="BC283" s="102">
        <f t="shared" si="277"/>
        <v>1.2984286501572693</v>
      </c>
      <c r="BD283" s="98">
        <f t="shared" si="278"/>
        <v>1.1134286501572692</v>
      </c>
      <c r="BE283" s="93">
        <f t="shared" si="294"/>
        <v>47678.300033774925</v>
      </c>
      <c r="BF283" s="99">
        <f t="shared" si="279"/>
        <v>40885.100033774928</v>
      </c>
      <c r="BG283" s="100"/>
      <c r="BH283" s="102">
        <f>IFERROR((BA283*100%)/DP!$AQ$29,(0*1))</f>
        <v>40800</v>
      </c>
      <c r="BI283" s="102">
        <f>IF(BH283&gt;0,(DP!$AQ$31),0*1)</f>
        <v>0.45</v>
      </c>
      <c r="BJ283" s="435">
        <f t="shared" si="295"/>
        <v>18360</v>
      </c>
      <c r="BK283" s="475">
        <f>BA283*DP!$BC$44</f>
        <v>45.9</v>
      </c>
      <c r="BL283" s="475">
        <f>IF(BA283&gt;0,DP!$BD$44,0*1)</f>
        <v>0.95</v>
      </c>
      <c r="BM283" s="475">
        <f t="shared" si="296"/>
        <v>43.604999999999997</v>
      </c>
      <c r="BN283" s="102">
        <f>BA283*DP!$BC$45</f>
        <v>3047.76</v>
      </c>
      <c r="BO283" s="102">
        <f>IF(BA283&gt;0,DP!$BD$45,0*1)</f>
        <v>0.76919999999999999</v>
      </c>
      <c r="BP283" s="475">
        <f t="shared" si="297"/>
        <v>2344.336992</v>
      </c>
      <c r="BQ283" s="100"/>
      <c r="BR283" s="100"/>
      <c r="BS283" s="100"/>
      <c r="BT283" s="93">
        <f>IF(AW283=DP!$AN$15,AY283*(1+DP!$AQ$15),IF(AW283=DP!$AN$16,AY283*(1+DP!$AQ$16),IF(AW283=DP!$AN$17,AY283*(1+DP!$AQ$17),IF(AW283=DP!$AN$18,AY283*(1+DP!$AQ$18),0*1))))</f>
        <v>36903.599999999999</v>
      </c>
      <c r="BU283" s="102">
        <f>IF(AW283=DP!$AN$22,(DP!$AO$22),IF(AW283=DP!$AN$23,(DP!$AO$23),IF(AW283=DP!$AN$24,(DP!$AO$24),IF(AW283=DP!$AN$25,(DP!$AO$25),((0*1))))))</f>
        <v>0.24</v>
      </c>
      <c r="BV283" s="93">
        <f t="shared" si="298"/>
        <v>8856.8639999999996</v>
      </c>
      <c r="BW283" s="93">
        <f>IF(AW283=DP!$AN$15,AY283*(1+DP!$AQ$15),IF(AW283=DP!$AN$16,AY283*(1+DP!$AQ$16),IF(AW283=DP!$AN$17,AY283*(1+DP!$AQ$17),IF(AW283=DP!$AN$18,AY283*(1+DP!$AQ$18),0*1))))</f>
        <v>36903.599999999999</v>
      </c>
      <c r="BX283" s="102">
        <f>IF(AW283=DP!$AN$22,(DP!$AP$22),IF(AW283=DP!$AN$23,(DP!$AP$23),IF(AW283=DP!$AN$24,(DP!$AP$24),IF(AW283=DP!$AN$25,(DP!$AP$25),((0*1))))))</f>
        <v>7.0000000000000007E-2</v>
      </c>
      <c r="BY283" s="93">
        <f t="shared" si="299"/>
        <v>2583.252</v>
      </c>
      <c r="BZ283" s="93">
        <f>IF(AW283=DP!$AN$15,(AY283/DP!$AM$15)*(1+DP!$AQ$15),IF(AW283=DP!$AN$16,(AY283/DP!$AM$16)*(1+DP!$AQ$16),IF(AW283=DP!$AN$17,(AY283/DP!$AM$17)*(1+DP!$AQ$17),IF(AW283=DP!$AN$18,(AY283/DP!$AM$18)*(1+DP!$AQ$18),0*1))))</f>
        <v>3075.2999999999997</v>
      </c>
      <c r="CA283" s="102">
        <f>IF(AW283=DP!$AN$22,(DP!$AQ$22),IF(AW283=DP!$AN$23,(DP!$AQ$23),IF(AW283=DP!$AN$24,(DP!$AQ$24),IF(AW283=DP!$AN$25,(DP!$AQ$25),((0*1))))))</f>
        <v>0.51200000000000045</v>
      </c>
      <c r="CB283" s="93">
        <f t="shared" si="300"/>
        <v>1574.5536000000013</v>
      </c>
      <c r="CC283" s="93">
        <f>IF(AW283=DP!$AN$15,AY283*(1+DP!$AQ$15),IF(AW283=DP!$AN$16,AY283*(1+DP!$AQ$16),IF(AW283=DP!$AN$17,AY283*(1+DP!$AQ$17),IF(AW283=DP!$AN$18,AY283*(1+DP!$AQ$18),0*1))))</f>
        <v>36903.599999999999</v>
      </c>
      <c r="CD283" s="102">
        <f>IF(AW283=DP!$AN$22,(DP!$AR$22),IF(AW283=DP!$AN$23,(DP!$AR$23),IF(AW283=DP!$AN$24,(DP!$AR$24),IF(AW283=DP!$AN$25,(DP!$AR$25),((0*1))))))</f>
        <v>3.3045977011494254E-2</v>
      </c>
      <c r="CE283" s="93">
        <f t="shared" si="301"/>
        <v>1219.5155172413793</v>
      </c>
      <c r="CF283" s="100"/>
      <c r="CG283" s="149">
        <f t="shared" si="280"/>
        <v>5902.9729245335484</v>
      </c>
      <c r="CH283" s="149">
        <f>DP!$N$35*BA283</f>
        <v>263.79310344827587</v>
      </c>
      <c r="CI283" s="149">
        <f>DP!$O$35*BA283</f>
        <v>1002.4137931034484</v>
      </c>
      <c r="CJ283" s="149">
        <f>DP!$P$35*BA283</f>
        <v>6793.2</v>
      </c>
    </row>
    <row r="284" spans="2:88" x14ac:dyDescent="0.35">
      <c r="B284" s="480">
        <f>DP!S26</f>
        <v>0</v>
      </c>
      <c r="C284" s="480">
        <f>DP!T26</f>
        <v>0</v>
      </c>
      <c r="D284" s="480">
        <f>DP!U26</f>
        <v>0</v>
      </c>
      <c r="E284" s="480">
        <f>DP!V26</f>
        <v>0</v>
      </c>
      <c r="F284" s="412">
        <f t="shared" si="281"/>
        <v>0</v>
      </c>
      <c r="G284" s="470">
        <f>DP!AE26</f>
        <v>0</v>
      </c>
      <c r="H284" s="98">
        <f t="shared" si="282"/>
        <v>0</v>
      </c>
      <c r="I284" s="97"/>
      <c r="J284" s="102">
        <f t="shared" si="272"/>
        <v>0</v>
      </c>
      <c r="K284" s="98">
        <f t="shared" si="273"/>
        <v>0</v>
      </c>
      <c r="L284" s="93">
        <f t="shared" si="274"/>
        <v>0</v>
      </c>
      <c r="M284" s="99">
        <f t="shared" si="275"/>
        <v>0</v>
      </c>
      <c r="N284" s="100"/>
      <c r="O284" s="102">
        <f>($E284/DP!$O$29)*F284</f>
        <v>0</v>
      </c>
      <c r="P284" s="102">
        <f>IF(O284&gt;0,(DP!$O$31),0*1)</f>
        <v>0</v>
      </c>
      <c r="Q284" s="102">
        <f t="shared" si="283"/>
        <v>0</v>
      </c>
      <c r="R284" s="102">
        <f t="shared" si="284"/>
        <v>0</v>
      </c>
      <c r="S284" s="418">
        <f t="shared" si="285"/>
        <v>0</v>
      </c>
      <c r="T284" s="475">
        <f>H284*DP!$AA$44</f>
        <v>0</v>
      </c>
      <c r="U284" s="475">
        <f>IF(H284&gt;0,DP!$AB$44,0*1)</f>
        <v>0</v>
      </c>
      <c r="V284" s="475">
        <f t="shared" si="286"/>
        <v>0</v>
      </c>
      <c r="W284" s="475">
        <f>H284*DP!$AA$45</f>
        <v>0</v>
      </c>
      <c r="X284" s="475">
        <f>IF(H284&gt;0,DP!$AB$45,0*1)</f>
        <v>0</v>
      </c>
      <c r="Y284" s="475">
        <f t="shared" si="287"/>
        <v>0</v>
      </c>
      <c r="Z284" s="100"/>
      <c r="AA284" s="93">
        <f>IF(D284=DP!$L$15,F284*(1+DP!$O$15),IF(D284=DP!$L$16,F284*(1+DP!$O$16),IF(D284=DP!$L$17,F284*(1+DP!$O$17),IF(D284=DP!$L$18,F284*(1+DP!$O$18),0*1))))</f>
        <v>0</v>
      </c>
      <c r="AB284" s="102">
        <f>IF(D284=DP!$L$22,(DP!$M$22),IF(D284=DP!$L$23,(DP!$M$23),IF(D284=DP!$L$24,(DP!$M$24),IF(D284=DP!$L$25,(DP!$M$25),((0*1))))))</f>
        <v>0</v>
      </c>
      <c r="AC284" s="93">
        <f t="shared" si="288"/>
        <v>0</v>
      </c>
      <c r="AD284" s="93">
        <f>IF(D284=DP!$L$15,F284*(1+DP!$O$15),IF(D284=DP!$L$16,F284*(1+DP!$O$16),IF(D284=DP!$L$17,F284*(1+DP!$O$17),IF(D284=DP!$L$18,F284*(1+DP!$O$18),0*1))))</f>
        <v>0</v>
      </c>
      <c r="AE284" s="102">
        <f>IF(D284=DP!$L$22,(DP!$N$22),IF(D284=DP!$L$23,(DP!$N$23),IF(D284=DP!$L$24,(DP!$N$24),IF(D284=DP!$L$25,(DP!$N$25),((0*1))))))</f>
        <v>0</v>
      </c>
      <c r="AF284" s="93">
        <f t="shared" si="289"/>
        <v>0</v>
      </c>
      <c r="AG284" s="93">
        <f>IF(D284=DP!$L$15,(F284/DP!$K$15)*(1+DP!$O$15),IF(D284=DP!$L$16,(F284/DP!$K$16)*(1+DP!$O$16),IF(D284=DP!$L$17,(F284/DP!$K$17)*(1+DP!$O$17),IF(D284=DP!$L$18,(F284/DP!$K$18)*(1+DP!$O$18),0*1))))</f>
        <v>0</v>
      </c>
      <c r="AH284" s="102">
        <f>IF(D284=DP!$L$22,(DP!$O$22),IF(D284=DP!$L$23,(DP!$O$23),IF(D284=DP!$L$24,(DP!$O$24),IF(D284=DP!$L$25,(DP!$O$25),((0*1))))))</f>
        <v>0</v>
      </c>
      <c r="AI284" s="93">
        <f t="shared" si="290"/>
        <v>0</v>
      </c>
      <c r="AJ284" s="93">
        <f>IF(D284=DP!$L$15,F284*(1+DP!$O$15),IF(D284=DP!$L$16,F284*(1+DP!$O$16),IF(D284=DP!$L$17,F284*(1+DP!$O$17),IF(D284=DP!$L$18,F284*(1+DP!$O$18),0*1))))</f>
        <v>0</v>
      </c>
      <c r="AK284" s="102">
        <f>IF(D284=DP!$L$22,(DP!$P$22),IF(D284=DP!$L$23,(DP!$P$23),IF(D284=DP!$L$24,(DP!$P$24),IF(D284=DP!$L$25,(DP!$P$25),((0*1))))))</f>
        <v>0</v>
      </c>
      <c r="AL284" s="93">
        <f t="shared" si="291"/>
        <v>0</v>
      </c>
      <c r="AM284" s="100"/>
      <c r="AN284" s="149">
        <f t="shared" si="276"/>
        <v>0</v>
      </c>
      <c r="AO284" s="149">
        <f>DP!$N$35*H284</f>
        <v>0</v>
      </c>
      <c r="AP284" s="149">
        <f>DP!$O$35*H284</f>
        <v>0</v>
      </c>
      <c r="AQ284" s="149">
        <f>DP!$P$35*H284</f>
        <v>0</v>
      </c>
      <c r="AV284" s="489">
        <f>DP!AV26</f>
        <v>0</v>
      </c>
      <c r="AW284" s="489">
        <f>DP!AW26</f>
        <v>0</v>
      </c>
      <c r="AX284" s="489">
        <f>DP!AX26</f>
        <v>0</v>
      </c>
      <c r="AY284" s="412">
        <f t="shared" si="292"/>
        <v>0</v>
      </c>
      <c r="AZ284" s="470">
        <f>DP!BG26</f>
        <v>0</v>
      </c>
      <c r="BA284" s="98">
        <f t="shared" si="293"/>
        <v>0</v>
      </c>
      <c r="BB284" s="97"/>
      <c r="BC284" s="102">
        <f t="shared" si="277"/>
        <v>0</v>
      </c>
      <c r="BD284" s="98">
        <f t="shared" si="278"/>
        <v>0</v>
      </c>
      <c r="BE284" s="93">
        <f t="shared" si="294"/>
        <v>0</v>
      </c>
      <c r="BF284" s="99">
        <f t="shared" si="279"/>
        <v>0</v>
      </c>
      <c r="BG284" s="100"/>
      <c r="BH284" s="102">
        <f>IFERROR((BA284*100%)/DP!$AQ$29,(0*1))</f>
        <v>0</v>
      </c>
      <c r="BI284" s="102">
        <f>IF(BH284&gt;0,(DP!$AQ$31),0*1)</f>
        <v>0</v>
      </c>
      <c r="BJ284" s="435">
        <f t="shared" si="295"/>
        <v>0</v>
      </c>
      <c r="BK284" s="475">
        <f>BA284*DP!$BC$44</f>
        <v>0</v>
      </c>
      <c r="BL284" s="475">
        <f>IF(BA284&gt;0,DP!$BD$44,0*1)</f>
        <v>0</v>
      </c>
      <c r="BM284" s="475">
        <f t="shared" si="296"/>
        <v>0</v>
      </c>
      <c r="BN284" s="102">
        <f>BA284*DP!$BC$45</f>
        <v>0</v>
      </c>
      <c r="BO284" s="102">
        <f>IF(BA284&gt;0,DP!$BD$45,0*1)</f>
        <v>0</v>
      </c>
      <c r="BP284" s="475">
        <f t="shared" si="297"/>
        <v>0</v>
      </c>
      <c r="BQ284" s="100"/>
      <c r="BR284" s="100"/>
      <c r="BS284" s="100"/>
      <c r="BT284" s="93">
        <f>IF(AW284=DP!$AN$15,AY284*(1+DP!$AQ$15),IF(AW284=DP!$AN$16,AY284*(1+DP!$AQ$16),IF(AW284=DP!$AN$17,AY284*(1+DP!$AQ$17),IF(AW284=DP!$AN$18,AY284*(1+DP!$AQ$18),0*1))))</f>
        <v>0</v>
      </c>
      <c r="BU284" s="102">
        <f>IF(AW284=DP!$AN$22,(DP!$AO$22),IF(AW284=DP!$AN$23,(DP!$AO$23),IF(AW284=DP!$AN$24,(DP!$AO$24),IF(AW284=DP!$AN$25,(DP!$AO$25),((0*1))))))</f>
        <v>0</v>
      </c>
      <c r="BV284" s="93">
        <f t="shared" si="298"/>
        <v>0</v>
      </c>
      <c r="BW284" s="93">
        <f>IF(AW284=DP!$AN$15,AY284*(1+DP!$AQ$15),IF(AW284=DP!$AN$16,AY284*(1+DP!$AQ$16),IF(AW284=DP!$AN$17,AY284*(1+DP!$AQ$17),IF(AW284=DP!$AN$18,AY284*(1+DP!$AQ$18),0*1))))</f>
        <v>0</v>
      </c>
      <c r="BX284" s="102">
        <f>IF(AW284=DP!$AN$22,(DP!$AP$22),IF(AW284=DP!$AN$23,(DP!$AP$23),IF(AW284=DP!$AN$24,(DP!$AP$24),IF(AW284=DP!$AN$25,(DP!$AP$25),((0*1))))))</f>
        <v>0</v>
      </c>
      <c r="BY284" s="93">
        <f t="shared" si="299"/>
        <v>0</v>
      </c>
      <c r="BZ284" s="93">
        <f>IF(AW284=DP!$AN$15,(AY284/DP!$AM$15)*(1+DP!$AQ$15),IF(AW284=DP!$AN$16,(AY284/DP!$AM$16)*(1+DP!$AQ$16),IF(AW284=DP!$AN$17,(AY284/DP!$AM$17)*(1+DP!$AQ$17),IF(AW284=DP!$AN$18,(AY284/DP!$AM$18)*(1+DP!$AQ$18),0*1))))</f>
        <v>0</v>
      </c>
      <c r="CA284" s="102">
        <f>IF(AW284=DP!$AN$22,(DP!$AQ$22),IF(AW284=DP!$AN$23,(DP!$AQ$23),IF(AW284=DP!$AN$24,(DP!$AQ$24),IF(AW284=DP!$AN$25,(DP!$AQ$25),((0*1))))))</f>
        <v>0</v>
      </c>
      <c r="CB284" s="93">
        <f t="shared" si="300"/>
        <v>0</v>
      </c>
      <c r="CC284" s="93">
        <f>IF(AW284=DP!$AN$15,AY284*(1+DP!$AQ$15),IF(AW284=DP!$AN$16,AY284*(1+DP!$AQ$16),IF(AW284=DP!$AN$17,AY284*(1+DP!$AQ$17),IF(AW284=DP!$AN$18,AY284*(1+DP!$AQ$18),0*1))))</f>
        <v>0</v>
      </c>
      <c r="CD284" s="102">
        <f>IF(AW284=DP!$AN$22,(DP!$AR$22),IF(AW284=DP!$AN$23,(DP!$AR$23),IF(AW284=DP!$AN$24,(DP!$AR$24),IF(AW284=DP!$AN$25,(DP!$AR$25),((0*1))))))</f>
        <v>0</v>
      </c>
      <c r="CE284" s="93">
        <f t="shared" si="301"/>
        <v>0</v>
      </c>
      <c r="CF284" s="100"/>
      <c r="CG284" s="149">
        <f t="shared" si="280"/>
        <v>0</v>
      </c>
      <c r="CH284" s="149">
        <f>DP!$N$35*BA284</f>
        <v>0</v>
      </c>
      <c r="CI284" s="149">
        <f>DP!$O$35*BA284</f>
        <v>0</v>
      </c>
      <c r="CJ284" s="149">
        <f>DP!$P$35*BA284</f>
        <v>0</v>
      </c>
    </row>
    <row r="285" spans="2:88" x14ac:dyDescent="0.35">
      <c r="B285" s="480">
        <f>DP!S27</f>
        <v>0</v>
      </c>
      <c r="C285" s="480">
        <f>DP!T27</f>
        <v>0</v>
      </c>
      <c r="D285" s="480">
        <f>DP!U27</f>
        <v>0</v>
      </c>
      <c r="E285" s="480">
        <f>DP!V27</f>
        <v>0</v>
      </c>
      <c r="F285" s="412">
        <f t="shared" si="281"/>
        <v>0</v>
      </c>
      <c r="G285" s="470">
        <f>DP!AE27</f>
        <v>0</v>
      </c>
      <c r="H285" s="98">
        <f t="shared" si="282"/>
        <v>0</v>
      </c>
      <c r="I285" s="97"/>
      <c r="J285" s="102">
        <f t="shared" si="272"/>
        <v>0</v>
      </c>
      <c r="K285" s="98">
        <f t="shared" si="273"/>
        <v>0</v>
      </c>
      <c r="L285" s="93">
        <f t="shared" si="274"/>
        <v>0</v>
      </c>
      <c r="M285" s="99">
        <f t="shared" si="275"/>
        <v>0</v>
      </c>
      <c r="N285" s="100"/>
      <c r="O285" s="102">
        <f>($E285/DP!$O$29)*F285</f>
        <v>0</v>
      </c>
      <c r="P285" s="102">
        <f>IF(O285&gt;0,(DP!$O$31),0*1)</f>
        <v>0</v>
      </c>
      <c r="Q285" s="102">
        <f t="shared" si="283"/>
        <v>0</v>
      </c>
      <c r="R285" s="102">
        <f t="shared" si="284"/>
        <v>0</v>
      </c>
      <c r="S285" s="418">
        <f t="shared" si="285"/>
        <v>0</v>
      </c>
      <c r="T285" s="475">
        <f>H285*DP!$AA$44</f>
        <v>0</v>
      </c>
      <c r="U285" s="475">
        <f>IF(H285&gt;0,DP!$AB$44,0*1)</f>
        <v>0</v>
      </c>
      <c r="V285" s="475">
        <f t="shared" si="286"/>
        <v>0</v>
      </c>
      <c r="W285" s="475">
        <f>H285*DP!$AA$45</f>
        <v>0</v>
      </c>
      <c r="X285" s="475">
        <f>IF(H285&gt;0,DP!$AB$45,0*1)</f>
        <v>0</v>
      </c>
      <c r="Y285" s="475">
        <f t="shared" si="287"/>
        <v>0</v>
      </c>
      <c r="Z285" s="100"/>
      <c r="AA285" s="93">
        <f>IF(D285=DP!$L$15,F285*(1+DP!$O$15),IF(D285=DP!$L$16,F285*(1+DP!$O$16),IF(D285=DP!$L$17,F285*(1+DP!$O$17),IF(D285=DP!$L$18,F285*(1+DP!$O$18),0*1))))</f>
        <v>0</v>
      </c>
      <c r="AB285" s="102">
        <f>IF(D285=DP!$L$22,(DP!$M$22),IF(D285=DP!$L$23,(DP!$M$23),IF(D285=DP!$L$24,(DP!$M$24),IF(D285=DP!$L$25,(DP!$M$25),((0*1))))))</f>
        <v>0</v>
      </c>
      <c r="AC285" s="93">
        <f t="shared" si="288"/>
        <v>0</v>
      </c>
      <c r="AD285" s="93">
        <f>IF(D285=DP!$L$15,F285*(1+DP!$O$15),IF(D285=DP!$L$16,F285*(1+DP!$O$16),IF(D285=DP!$L$17,F285*(1+DP!$O$17),IF(D285=DP!$L$18,F285*(1+DP!$O$18),0*1))))</f>
        <v>0</v>
      </c>
      <c r="AE285" s="102">
        <f>IF(D285=DP!$L$22,(DP!$N$22),IF(D285=DP!$L$23,(DP!$N$23),IF(D285=DP!$L$24,(DP!$N$24),IF(D285=DP!$L$25,(DP!$N$25),((0*1))))))</f>
        <v>0</v>
      </c>
      <c r="AF285" s="93">
        <f t="shared" si="289"/>
        <v>0</v>
      </c>
      <c r="AG285" s="93">
        <f>IF(D285=DP!$L$15,(F285/DP!$K$15)*(1+DP!$O$15),IF(D285=DP!$L$16,(F285/DP!$K$16)*(1+DP!$O$16),IF(D285=DP!$L$17,(F285/DP!$K$17)*(1+DP!$O$17),IF(D285=DP!$L$18,(F285/DP!$K$18)*(1+DP!$O$18),0*1))))</f>
        <v>0</v>
      </c>
      <c r="AH285" s="102">
        <f>IF(D285=DP!$L$22,(DP!$O$22),IF(D285=DP!$L$23,(DP!$O$23),IF(D285=DP!$L$24,(DP!$O$24),IF(D285=DP!$L$25,(DP!$O$25),((0*1))))))</f>
        <v>0</v>
      </c>
      <c r="AI285" s="93">
        <f t="shared" si="290"/>
        <v>0</v>
      </c>
      <c r="AJ285" s="93">
        <f>IF(D285=DP!$L$15,F285*(1+DP!$O$15),IF(D285=DP!$L$16,F285*(1+DP!$O$16),IF(D285=DP!$L$17,F285*(1+DP!$O$17),IF(D285=DP!$L$18,F285*(1+DP!$O$18),0*1))))</f>
        <v>0</v>
      </c>
      <c r="AK285" s="102">
        <f>IF(D285=DP!$L$22,(DP!$P$22),IF(D285=DP!$L$23,(DP!$P$23),IF(D285=DP!$L$24,(DP!$P$24),IF(D285=DP!$L$25,(DP!$P$25),((0*1))))))</f>
        <v>0</v>
      </c>
      <c r="AL285" s="93">
        <f t="shared" si="291"/>
        <v>0</v>
      </c>
      <c r="AM285" s="100"/>
      <c r="AN285" s="149">
        <f t="shared" si="276"/>
        <v>0</v>
      </c>
      <c r="AO285" s="149">
        <f>DP!$N$35*H285</f>
        <v>0</v>
      </c>
      <c r="AP285" s="149">
        <f>DP!$O$35*H285</f>
        <v>0</v>
      </c>
      <c r="AQ285" s="149">
        <f>DP!$P$35*H285</f>
        <v>0</v>
      </c>
      <c r="AV285" s="489">
        <f>DP!AV27</f>
        <v>0</v>
      </c>
      <c r="AW285" s="489">
        <f>DP!AW27</f>
        <v>0</v>
      </c>
      <c r="AX285" s="489">
        <f>DP!AX27</f>
        <v>0</v>
      </c>
      <c r="AY285" s="412">
        <f t="shared" si="292"/>
        <v>0</v>
      </c>
      <c r="AZ285" s="470">
        <f>DP!BG27</f>
        <v>0</v>
      </c>
      <c r="BA285" s="98">
        <f t="shared" si="293"/>
        <v>0</v>
      </c>
      <c r="BB285" s="97"/>
      <c r="BC285" s="102">
        <f t="shared" si="277"/>
        <v>0</v>
      </c>
      <c r="BD285" s="98">
        <f t="shared" si="278"/>
        <v>0</v>
      </c>
      <c r="BE285" s="93">
        <f t="shared" si="294"/>
        <v>0</v>
      </c>
      <c r="BF285" s="99">
        <f t="shared" si="279"/>
        <v>0</v>
      </c>
      <c r="BG285" s="100"/>
      <c r="BH285" s="102">
        <f>IFERROR((BA285*100%)/DP!$AQ$29,(0*1))</f>
        <v>0</v>
      </c>
      <c r="BI285" s="102">
        <f>IF(BH285&gt;0,(DP!$AQ$31),0*1)</f>
        <v>0</v>
      </c>
      <c r="BJ285" s="435">
        <f t="shared" si="295"/>
        <v>0</v>
      </c>
      <c r="BK285" s="475">
        <f>BA285*DP!$BC$44</f>
        <v>0</v>
      </c>
      <c r="BL285" s="475">
        <f>IF(BA285&gt;0,DP!$BD$44,0*1)</f>
        <v>0</v>
      </c>
      <c r="BM285" s="475">
        <f t="shared" si="296"/>
        <v>0</v>
      </c>
      <c r="BN285" s="102">
        <f>BA285*DP!$BC$45</f>
        <v>0</v>
      </c>
      <c r="BO285" s="102">
        <f>IF(BA285&gt;0,DP!$BD$45,0*1)</f>
        <v>0</v>
      </c>
      <c r="BP285" s="475">
        <f t="shared" si="297"/>
        <v>0</v>
      </c>
      <c r="BQ285" s="100"/>
      <c r="BR285" s="100"/>
      <c r="BS285" s="100"/>
      <c r="BT285" s="93">
        <f>IF(AW285=DP!$AN$15,AY285*(1+DP!$AQ$15),IF(AW285=DP!$AN$16,AY285*(1+DP!$AQ$16),IF(AW285=DP!$AN$17,AY285*(1+DP!$AQ$17),IF(AW285=DP!$AN$18,AY285*(1+DP!$AQ$18),0*1))))</f>
        <v>0</v>
      </c>
      <c r="BU285" s="102">
        <f>IF(AW285=DP!$AN$22,(DP!$AO$22),IF(AW285=DP!$AN$23,(DP!$AO$23),IF(AW285=DP!$AN$24,(DP!$AO$24),IF(AW285=DP!$AN$25,(DP!$AO$25),((0*1))))))</f>
        <v>0</v>
      </c>
      <c r="BV285" s="93">
        <f t="shared" si="298"/>
        <v>0</v>
      </c>
      <c r="BW285" s="93">
        <f>IF(AW285=DP!$AN$15,AY285*(1+DP!$AQ$15),IF(AW285=DP!$AN$16,AY285*(1+DP!$AQ$16),IF(AW285=DP!$AN$17,AY285*(1+DP!$AQ$17),IF(AW285=DP!$AN$18,AY285*(1+DP!$AQ$18),0*1))))</f>
        <v>0</v>
      </c>
      <c r="BX285" s="102">
        <f>IF(AW285=DP!$AN$22,(DP!$AP$22),IF(AW285=DP!$AN$23,(DP!$AP$23),IF(AW285=DP!$AN$24,(DP!$AP$24),IF(AW285=DP!$AN$25,(DP!$AP$25),((0*1))))))</f>
        <v>0</v>
      </c>
      <c r="BY285" s="93">
        <f t="shared" si="299"/>
        <v>0</v>
      </c>
      <c r="BZ285" s="93">
        <f>IF(AW285=DP!$AN$15,(AY285/DP!$AM$15)*(1+DP!$AQ$15),IF(AW285=DP!$AN$16,(AY285/DP!$AM$16)*(1+DP!$AQ$16),IF(AW285=DP!$AN$17,(AY285/DP!$AM$17)*(1+DP!$AQ$17),IF(AW285=DP!$AN$18,(AY285/DP!$AM$18)*(1+DP!$AQ$18),0*1))))</f>
        <v>0</v>
      </c>
      <c r="CA285" s="102">
        <f>IF(AW285=DP!$AN$22,(DP!$AQ$22),IF(AW285=DP!$AN$23,(DP!$AQ$23),IF(AW285=DP!$AN$24,(DP!$AQ$24),IF(AW285=DP!$AN$25,(DP!$AQ$25),((0*1))))))</f>
        <v>0</v>
      </c>
      <c r="CB285" s="93">
        <f t="shared" si="300"/>
        <v>0</v>
      </c>
      <c r="CC285" s="93">
        <f>IF(AW285=DP!$AN$15,AY285*(1+DP!$AQ$15),IF(AW285=DP!$AN$16,AY285*(1+DP!$AQ$16),IF(AW285=DP!$AN$17,AY285*(1+DP!$AQ$17),IF(AW285=DP!$AN$18,AY285*(1+DP!$AQ$18),0*1))))</f>
        <v>0</v>
      </c>
      <c r="CD285" s="102">
        <f>IF(AW285=DP!$AN$22,(DP!$AR$22),IF(AW285=DP!$AN$23,(DP!$AR$23),IF(AW285=DP!$AN$24,(DP!$AR$24),IF(AW285=DP!$AN$25,(DP!$AR$25),((0*1))))))</f>
        <v>0</v>
      </c>
      <c r="CE285" s="93">
        <f t="shared" si="301"/>
        <v>0</v>
      </c>
      <c r="CF285" s="100"/>
      <c r="CG285" s="149">
        <f t="shared" si="280"/>
        <v>0</v>
      </c>
      <c r="CH285" s="149">
        <f>DP!$N$35*BA285</f>
        <v>0</v>
      </c>
      <c r="CI285" s="149">
        <f>DP!$O$35*BA285</f>
        <v>0</v>
      </c>
      <c r="CJ285" s="149">
        <f>DP!$P$35*BA285</f>
        <v>0</v>
      </c>
    </row>
    <row r="286" spans="2:88" x14ac:dyDescent="0.35">
      <c r="B286" s="480">
        <f>DP!S28</f>
        <v>0</v>
      </c>
      <c r="C286" s="480">
        <f>DP!T28</f>
        <v>0</v>
      </c>
      <c r="D286" s="480">
        <f>DP!U28</f>
        <v>0</v>
      </c>
      <c r="E286" s="480">
        <f>DP!V28</f>
        <v>0</v>
      </c>
      <c r="F286" s="412">
        <f t="shared" si="281"/>
        <v>0</v>
      </c>
      <c r="G286" s="470">
        <f>DP!AE28</f>
        <v>0</v>
      </c>
      <c r="H286" s="98">
        <f t="shared" si="282"/>
        <v>0</v>
      </c>
      <c r="I286" s="97"/>
      <c r="J286" s="102">
        <f t="shared" si="272"/>
        <v>0</v>
      </c>
      <c r="K286" s="98">
        <f t="shared" si="273"/>
        <v>0</v>
      </c>
      <c r="L286" s="93">
        <f t="shared" si="274"/>
        <v>0</v>
      </c>
      <c r="M286" s="99">
        <f t="shared" si="275"/>
        <v>0</v>
      </c>
      <c r="N286" s="100"/>
      <c r="O286" s="102">
        <f>($E286/DP!$O$29)*F286</f>
        <v>0</v>
      </c>
      <c r="P286" s="102">
        <f>IF(O286&gt;0,(DP!$O$31),0*1)</f>
        <v>0</v>
      </c>
      <c r="Q286" s="102">
        <f t="shared" si="283"/>
        <v>0</v>
      </c>
      <c r="R286" s="102">
        <f t="shared" si="284"/>
        <v>0</v>
      </c>
      <c r="S286" s="418">
        <f t="shared" si="285"/>
        <v>0</v>
      </c>
      <c r="T286" s="475">
        <f>H286*DP!$AA$44</f>
        <v>0</v>
      </c>
      <c r="U286" s="475">
        <f>IF(H286&gt;0,DP!$AB$44,0*1)</f>
        <v>0</v>
      </c>
      <c r="V286" s="475">
        <f t="shared" si="286"/>
        <v>0</v>
      </c>
      <c r="W286" s="475">
        <f>H286*DP!$AA$45</f>
        <v>0</v>
      </c>
      <c r="X286" s="475">
        <f>IF(H286&gt;0,DP!$AB$45,0*1)</f>
        <v>0</v>
      </c>
      <c r="Y286" s="475">
        <f t="shared" si="287"/>
        <v>0</v>
      </c>
      <c r="Z286" s="100"/>
      <c r="AA286" s="93">
        <f>IF(D286=DP!$L$15,F286*(1+DP!$O$15),IF(D286=DP!$L$16,F286*(1+DP!$O$16),IF(D286=DP!$L$17,F286*(1+DP!$O$17),IF(D286=DP!$L$18,F286*(1+DP!$O$18),0*1))))</f>
        <v>0</v>
      </c>
      <c r="AB286" s="102">
        <f>IF(D286=DP!$L$22,(DP!$M$22),IF(D286=DP!$L$23,(DP!$M$23),IF(D286=DP!$L$24,(DP!$M$24),IF(D286=DP!$L$25,(DP!$M$25),((0*1))))))</f>
        <v>0</v>
      </c>
      <c r="AC286" s="93">
        <f t="shared" si="288"/>
        <v>0</v>
      </c>
      <c r="AD286" s="93">
        <f>IF(D286=DP!$L$15,F286*(1+DP!$O$15),IF(D286=DP!$L$16,F286*(1+DP!$O$16),IF(D286=DP!$L$17,F286*(1+DP!$O$17),IF(D286=DP!$L$18,F286*(1+DP!$O$18),0*1))))</f>
        <v>0</v>
      </c>
      <c r="AE286" s="102">
        <f>IF(D286=DP!$L$22,(DP!$N$22),IF(D286=DP!$L$23,(DP!$N$23),IF(D286=DP!$L$24,(DP!$N$24),IF(D286=DP!$L$25,(DP!$N$25),((0*1))))))</f>
        <v>0</v>
      </c>
      <c r="AF286" s="93">
        <f t="shared" si="289"/>
        <v>0</v>
      </c>
      <c r="AG286" s="93">
        <f>IF(D286=DP!$L$15,(F286/DP!$K$15)*(1+DP!$O$15),IF(D286=DP!$L$16,(F286/DP!$K$16)*(1+DP!$O$16),IF(D286=DP!$L$17,(F286/DP!$K$17)*(1+DP!$O$17),IF(D286=DP!$L$18,(F286/DP!$K$18)*(1+DP!$O$18),0*1))))</f>
        <v>0</v>
      </c>
      <c r="AH286" s="102">
        <f>IF(D286=DP!$L$22,(DP!$O$22),IF(D286=DP!$L$23,(DP!$O$23),IF(D286=DP!$L$24,(DP!$O$24),IF(D286=DP!$L$25,(DP!$O$25),((0*1))))))</f>
        <v>0</v>
      </c>
      <c r="AI286" s="93">
        <f t="shared" si="290"/>
        <v>0</v>
      </c>
      <c r="AJ286" s="93">
        <f>IF(D286=DP!$L$15,F286*(1+DP!$O$15),IF(D286=DP!$L$16,F286*(1+DP!$O$16),IF(D286=DP!$L$17,F286*(1+DP!$O$17),IF(D286=DP!$L$18,F286*(1+DP!$O$18),0*1))))</f>
        <v>0</v>
      </c>
      <c r="AK286" s="102">
        <f>IF(D286=DP!$L$22,(DP!$P$22),IF(D286=DP!$L$23,(DP!$P$23),IF(D286=DP!$L$24,(DP!$P$24),IF(D286=DP!$L$25,(DP!$P$25),((0*1))))))</f>
        <v>0</v>
      </c>
      <c r="AL286" s="93">
        <f t="shared" si="291"/>
        <v>0</v>
      </c>
      <c r="AM286" s="100"/>
      <c r="AN286" s="149">
        <f t="shared" si="276"/>
        <v>0</v>
      </c>
      <c r="AO286" s="149">
        <f>DP!$N$35*H286</f>
        <v>0</v>
      </c>
      <c r="AP286" s="149">
        <f>DP!$O$35*H286</f>
        <v>0</v>
      </c>
      <c r="AQ286" s="149">
        <f>DP!$P$35*H286</f>
        <v>0</v>
      </c>
      <c r="AV286" s="489">
        <f>DP!AV28</f>
        <v>0</v>
      </c>
      <c r="AW286" s="489">
        <f>DP!AW28</f>
        <v>0</v>
      </c>
      <c r="AX286" s="489">
        <f>DP!AX28</f>
        <v>0</v>
      </c>
      <c r="AY286" s="412">
        <f t="shared" si="292"/>
        <v>0</v>
      </c>
      <c r="AZ286" s="470">
        <f>DP!BG28</f>
        <v>0</v>
      </c>
      <c r="BA286" s="98">
        <f t="shared" si="293"/>
        <v>0</v>
      </c>
      <c r="BB286" s="97"/>
      <c r="BC286" s="102">
        <f t="shared" si="277"/>
        <v>0</v>
      </c>
      <c r="BD286" s="98">
        <f t="shared" si="278"/>
        <v>0</v>
      </c>
      <c r="BE286" s="93">
        <f t="shared" si="294"/>
        <v>0</v>
      </c>
      <c r="BF286" s="99">
        <f t="shared" si="279"/>
        <v>0</v>
      </c>
      <c r="BG286" s="100"/>
      <c r="BH286" s="102">
        <f>IFERROR((BA286*100%)/DP!$AQ$29,(0*1))</f>
        <v>0</v>
      </c>
      <c r="BI286" s="102">
        <f>IF(BH286&gt;0,(DP!$AQ$31),0*1)</f>
        <v>0</v>
      </c>
      <c r="BJ286" s="435">
        <f t="shared" si="295"/>
        <v>0</v>
      </c>
      <c r="BK286" s="475">
        <f>BA286*DP!$BC$44</f>
        <v>0</v>
      </c>
      <c r="BL286" s="475">
        <f>IF(BA286&gt;0,DP!$BD$44,0*1)</f>
        <v>0</v>
      </c>
      <c r="BM286" s="475">
        <f t="shared" si="296"/>
        <v>0</v>
      </c>
      <c r="BN286" s="102">
        <f>BA286*DP!$BC$45</f>
        <v>0</v>
      </c>
      <c r="BO286" s="102">
        <f>IF(BA286&gt;0,DP!$BD$45,0*1)</f>
        <v>0</v>
      </c>
      <c r="BP286" s="475">
        <f t="shared" si="297"/>
        <v>0</v>
      </c>
      <c r="BQ286" s="100"/>
      <c r="BR286" s="100"/>
      <c r="BS286" s="100"/>
      <c r="BT286" s="93">
        <f>IF(AW286=DP!$AN$15,AY286*(1+DP!$AQ$15),IF(AW286=DP!$AN$16,AY286*(1+DP!$AQ$16),IF(AW286=DP!$AN$17,AY286*(1+DP!$AQ$17),IF(AW286=DP!$AN$18,AY286*(1+DP!$AQ$18),0*1))))</f>
        <v>0</v>
      </c>
      <c r="BU286" s="102">
        <f>IF(AW286=DP!$AN$22,(DP!$AO$22),IF(AW286=DP!$AN$23,(DP!$AO$23),IF(AW286=DP!$AN$24,(DP!$AO$24),IF(AW286=DP!$AN$25,(DP!$AO$25),((0*1))))))</f>
        <v>0</v>
      </c>
      <c r="BV286" s="93">
        <f t="shared" si="298"/>
        <v>0</v>
      </c>
      <c r="BW286" s="93">
        <f>IF(AW286=DP!$AN$15,AY286*(1+DP!$AQ$15),IF(AW286=DP!$AN$16,AY286*(1+DP!$AQ$16),IF(AW286=DP!$AN$17,AY286*(1+DP!$AQ$17),IF(AW286=DP!$AN$18,AY286*(1+DP!$AQ$18),0*1))))</f>
        <v>0</v>
      </c>
      <c r="BX286" s="102">
        <f>IF(AW286=DP!$AN$22,(DP!$AP$22),IF(AW286=DP!$AN$23,(DP!$AP$23),IF(AW286=DP!$AN$24,(DP!$AP$24),IF(AW286=DP!$AN$25,(DP!$AP$25),((0*1))))))</f>
        <v>0</v>
      </c>
      <c r="BY286" s="93">
        <f t="shared" si="299"/>
        <v>0</v>
      </c>
      <c r="BZ286" s="93">
        <f>IF(AW286=DP!$AN$15,(AY286/DP!$AM$15)*(1+DP!$AQ$15),IF(AW286=DP!$AN$16,(AY286/DP!$AM$16)*(1+DP!$AQ$16),IF(AW286=DP!$AN$17,(AY286/DP!$AM$17)*(1+DP!$AQ$17),IF(AW286=DP!$AN$18,(AY286/DP!$AM$18)*(1+DP!$AQ$18),0*1))))</f>
        <v>0</v>
      </c>
      <c r="CA286" s="102">
        <f>IF(AW286=DP!$AN$22,(DP!$AQ$22),IF(AW286=DP!$AN$23,(DP!$AQ$23),IF(AW286=DP!$AN$24,(DP!$AQ$24),IF(AW286=DP!$AN$25,(DP!$AQ$25),((0*1))))))</f>
        <v>0</v>
      </c>
      <c r="CB286" s="93">
        <f t="shared" si="300"/>
        <v>0</v>
      </c>
      <c r="CC286" s="93">
        <f>IF(AW286=DP!$AN$15,AY286*(1+DP!$AQ$15),IF(AW286=DP!$AN$16,AY286*(1+DP!$AQ$16),IF(AW286=DP!$AN$17,AY286*(1+DP!$AQ$17),IF(AW286=DP!$AN$18,AY286*(1+DP!$AQ$18),0*1))))</f>
        <v>0</v>
      </c>
      <c r="CD286" s="102">
        <f>IF(AW286=DP!$AN$22,(DP!$AR$22),IF(AW286=DP!$AN$23,(DP!$AR$23),IF(AW286=DP!$AN$24,(DP!$AR$24),IF(AW286=DP!$AN$25,(DP!$AR$25),((0*1))))))</f>
        <v>0</v>
      </c>
      <c r="CE286" s="93">
        <f t="shared" si="301"/>
        <v>0</v>
      </c>
      <c r="CF286" s="100"/>
      <c r="CG286" s="149">
        <f t="shared" si="280"/>
        <v>0</v>
      </c>
      <c r="CH286" s="149">
        <f>DP!$N$35*BA286</f>
        <v>0</v>
      </c>
      <c r="CI286" s="149">
        <f>DP!$O$35*BA286</f>
        <v>0</v>
      </c>
      <c r="CJ286" s="149">
        <f>DP!$P$35*BA286</f>
        <v>0</v>
      </c>
    </row>
    <row r="287" spans="2:88" x14ac:dyDescent="0.35">
      <c r="B287" s="480">
        <f>DP!S29</f>
        <v>0</v>
      </c>
      <c r="C287" s="480">
        <f>DP!T29</f>
        <v>0</v>
      </c>
      <c r="D287" s="480">
        <f>DP!U29</f>
        <v>0</v>
      </c>
      <c r="E287" s="480">
        <f>DP!V29</f>
        <v>0</v>
      </c>
      <c r="F287" s="412">
        <f t="shared" si="281"/>
        <v>0</v>
      </c>
      <c r="G287" s="470">
        <f>DP!AE29</f>
        <v>0</v>
      </c>
      <c r="H287" s="98">
        <f t="shared" si="282"/>
        <v>0</v>
      </c>
      <c r="I287" s="97"/>
      <c r="J287" s="102">
        <f t="shared" si="272"/>
        <v>0</v>
      </c>
      <c r="K287" s="98">
        <f t="shared" si="273"/>
        <v>0</v>
      </c>
      <c r="L287" s="93">
        <f t="shared" si="274"/>
        <v>0</v>
      </c>
      <c r="M287" s="99">
        <f t="shared" si="275"/>
        <v>0</v>
      </c>
      <c r="N287" s="100"/>
      <c r="O287" s="102">
        <f>($E287/DP!$O$29)*F287</f>
        <v>0</v>
      </c>
      <c r="P287" s="102">
        <f>IF(O287&gt;0,(DP!$O$31),0*1)</f>
        <v>0</v>
      </c>
      <c r="Q287" s="102">
        <f t="shared" si="283"/>
        <v>0</v>
      </c>
      <c r="R287" s="102">
        <f t="shared" si="284"/>
        <v>0</v>
      </c>
      <c r="S287" s="418">
        <f t="shared" si="285"/>
        <v>0</v>
      </c>
      <c r="T287" s="475">
        <f>H287*DP!$AA$44</f>
        <v>0</v>
      </c>
      <c r="U287" s="475">
        <f>IF(H287&gt;0,DP!$AB$44,0*1)</f>
        <v>0</v>
      </c>
      <c r="V287" s="475">
        <f t="shared" si="286"/>
        <v>0</v>
      </c>
      <c r="W287" s="475">
        <f>H287*DP!$AA$45</f>
        <v>0</v>
      </c>
      <c r="X287" s="475">
        <f>IF(H287&gt;0,DP!$AB$45,0*1)</f>
        <v>0</v>
      </c>
      <c r="Y287" s="475">
        <f t="shared" si="287"/>
        <v>0</v>
      </c>
      <c r="Z287" s="100"/>
      <c r="AA287" s="93">
        <f>IF(D287=DP!$L$15,F287*(1+DP!$O$15),IF(D287=DP!$L$16,F287*(1+DP!$O$16),IF(D287=DP!$L$17,F287*(1+DP!$O$17),IF(D287=DP!$L$18,F287*(1+DP!$O$18),0*1))))</f>
        <v>0</v>
      </c>
      <c r="AB287" s="102">
        <f>IF(D287=DP!$L$22,(DP!$M$22),IF(D287=DP!$L$23,(DP!$M$23),IF(D287=DP!$L$24,(DP!$M$24),IF(D287=DP!$L$25,(DP!$M$25),((0*1))))))</f>
        <v>0</v>
      </c>
      <c r="AC287" s="93">
        <f t="shared" si="288"/>
        <v>0</v>
      </c>
      <c r="AD287" s="93">
        <f>IF(D287=DP!$L$15,F287*(1+DP!$O$15),IF(D287=DP!$L$16,F287*(1+DP!$O$16),IF(D287=DP!$L$17,F287*(1+DP!$O$17),IF(D287=DP!$L$18,F287*(1+DP!$O$18),0*1))))</f>
        <v>0</v>
      </c>
      <c r="AE287" s="102">
        <f>IF(D287=DP!$L$22,(DP!$N$22),IF(D287=DP!$L$23,(DP!$N$23),IF(D287=DP!$L$24,(DP!$N$24),IF(D287=DP!$L$25,(DP!$N$25),((0*1))))))</f>
        <v>0</v>
      </c>
      <c r="AF287" s="93">
        <f t="shared" si="289"/>
        <v>0</v>
      </c>
      <c r="AG287" s="93">
        <f>IF(D287=DP!$L$15,(F287/DP!$K$15)*(1+DP!$O$15),IF(D287=DP!$L$16,(F287/DP!$K$16)*(1+DP!$O$16),IF(D287=DP!$L$17,(F287/DP!$K$17)*(1+DP!$O$17),IF(D287=DP!$L$18,(F287/DP!$K$18)*(1+DP!$O$18),0*1))))</f>
        <v>0</v>
      </c>
      <c r="AH287" s="102">
        <f>IF(D287=DP!$L$22,(DP!$O$22),IF(D287=DP!$L$23,(DP!$O$23),IF(D287=DP!$L$24,(DP!$O$24),IF(D287=DP!$L$25,(DP!$O$25),((0*1))))))</f>
        <v>0</v>
      </c>
      <c r="AI287" s="93">
        <f t="shared" si="290"/>
        <v>0</v>
      </c>
      <c r="AJ287" s="93">
        <f>IF(D287=DP!$L$15,F287*(1+DP!$O$15),IF(D287=DP!$L$16,F287*(1+DP!$O$16),IF(D287=DP!$L$17,F287*(1+DP!$O$17),IF(D287=DP!$L$18,F287*(1+DP!$O$18),0*1))))</f>
        <v>0</v>
      </c>
      <c r="AK287" s="102">
        <f>IF(D287=DP!$L$22,(DP!$P$22),IF(D287=DP!$L$23,(DP!$P$23),IF(D287=DP!$L$24,(DP!$P$24),IF(D287=DP!$L$25,(DP!$P$25),((0*1))))))</f>
        <v>0</v>
      </c>
      <c r="AL287" s="93">
        <f t="shared" si="291"/>
        <v>0</v>
      </c>
      <c r="AM287" s="100"/>
      <c r="AN287" s="149">
        <f t="shared" si="276"/>
        <v>0</v>
      </c>
      <c r="AO287" s="149">
        <f>DP!$N$35*H287</f>
        <v>0</v>
      </c>
      <c r="AP287" s="149">
        <f>DP!$O$35*H287</f>
        <v>0</v>
      </c>
      <c r="AQ287" s="149">
        <f>DP!$P$35*H287</f>
        <v>0</v>
      </c>
      <c r="AV287" s="489">
        <f>DP!AV29</f>
        <v>0</v>
      </c>
      <c r="AW287" s="489">
        <f>DP!AW29</f>
        <v>0</v>
      </c>
      <c r="AX287" s="489">
        <f>DP!AX29</f>
        <v>0</v>
      </c>
      <c r="AY287" s="412">
        <f t="shared" si="292"/>
        <v>0</v>
      </c>
      <c r="AZ287" s="470">
        <f>DP!BG29</f>
        <v>0</v>
      </c>
      <c r="BA287" s="98">
        <f t="shared" si="293"/>
        <v>0</v>
      </c>
      <c r="BB287" s="97"/>
      <c r="BC287" s="102">
        <f t="shared" si="277"/>
        <v>0</v>
      </c>
      <c r="BD287" s="98">
        <f t="shared" si="278"/>
        <v>0</v>
      </c>
      <c r="BE287" s="93">
        <f t="shared" si="294"/>
        <v>0</v>
      </c>
      <c r="BF287" s="99">
        <f t="shared" si="279"/>
        <v>0</v>
      </c>
      <c r="BG287" s="100"/>
      <c r="BH287" s="102">
        <f>IFERROR((BA287*100%)/DP!$AQ$29,(0*1))</f>
        <v>0</v>
      </c>
      <c r="BI287" s="102">
        <f>IF(BH287&gt;0,(DP!$AQ$31),0*1)</f>
        <v>0</v>
      </c>
      <c r="BJ287" s="435">
        <f t="shared" si="295"/>
        <v>0</v>
      </c>
      <c r="BK287" s="475">
        <f>BA287*DP!$BC$44</f>
        <v>0</v>
      </c>
      <c r="BL287" s="475">
        <f>IF(BA287&gt;0,DP!$BD$44,0*1)</f>
        <v>0</v>
      </c>
      <c r="BM287" s="475">
        <f t="shared" si="296"/>
        <v>0</v>
      </c>
      <c r="BN287" s="102">
        <f>BA287*DP!$BC$45</f>
        <v>0</v>
      </c>
      <c r="BO287" s="102">
        <f>IF(BA287&gt;0,DP!$BD$45,0*1)</f>
        <v>0</v>
      </c>
      <c r="BP287" s="475">
        <f t="shared" si="297"/>
        <v>0</v>
      </c>
      <c r="BQ287" s="100"/>
      <c r="BR287" s="100"/>
      <c r="BS287" s="100"/>
      <c r="BT287" s="93">
        <f>IF(AW287=DP!$AN$15,AY287*(1+DP!$AQ$15),IF(AW287=DP!$AN$16,AY287*(1+DP!$AQ$16),IF(AW287=DP!$AN$17,AY287*(1+DP!$AQ$17),IF(AW287=DP!$AN$18,AY287*(1+DP!$AQ$18),0*1))))</f>
        <v>0</v>
      </c>
      <c r="BU287" s="102">
        <f>IF(AW287=DP!$AN$22,(DP!$AO$22),IF(AW287=DP!$AN$23,(DP!$AO$23),IF(AW287=DP!$AN$24,(DP!$AO$24),IF(AW287=DP!$AN$25,(DP!$AO$25),((0*1))))))</f>
        <v>0</v>
      </c>
      <c r="BV287" s="93">
        <f t="shared" si="298"/>
        <v>0</v>
      </c>
      <c r="BW287" s="93">
        <f>IF(AW287=DP!$AN$15,AY287*(1+DP!$AQ$15),IF(AW287=DP!$AN$16,AY287*(1+DP!$AQ$16),IF(AW287=DP!$AN$17,AY287*(1+DP!$AQ$17),IF(AW287=DP!$AN$18,AY287*(1+DP!$AQ$18),0*1))))</f>
        <v>0</v>
      </c>
      <c r="BX287" s="102">
        <f>IF(AW287=DP!$AN$22,(DP!$AP$22),IF(AW287=DP!$AN$23,(DP!$AP$23),IF(AW287=DP!$AN$24,(DP!$AP$24),IF(AW287=DP!$AN$25,(DP!$AP$25),((0*1))))))</f>
        <v>0</v>
      </c>
      <c r="BY287" s="93">
        <f t="shared" si="299"/>
        <v>0</v>
      </c>
      <c r="BZ287" s="93">
        <f>IF(AW287=DP!$AN$15,(AY287/DP!$AM$15)*(1+DP!$AQ$15),IF(AW287=DP!$AN$16,(AY287/DP!$AM$16)*(1+DP!$AQ$16),IF(AW287=DP!$AN$17,(AY287/DP!$AM$17)*(1+DP!$AQ$17),IF(AW287=DP!$AN$18,(AY287/DP!$AM$18)*(1+DP!$AQ$18),0*1))))</f>
        <v>0</v>
      </c>
      <c r="CA287" s="102">
        <f>IF(AW287=DP!$AN$22,(DP!$AQ$22),IF(AW287=DP!$AN$23,(DP!$AQ$23),IF(AW287=DP!$AN$24,(DP!$AQ$24),IF(AW287=DP!$AN$25,(DP!$AQ$25),((0*1))))))</f>
        <v>0</v>
      </c>
      <c r="CB287" s="93">
        <f t="shared" si="300"/>
        <v>0</v>
      </c>
      <c r="CC287" s="93">
        <f>IF(AW287=DP!$AN$15,AY287*(1+DP!$AQ$15),IF(AW287=DP!$AN$16,AY287*(1+DP!$AQ$16),IF(AW287=DP!$AN$17,AY287*(1+DP!$AQ$17),IF(AW287=DP!$AN$18,AY287*(1+DP!$AQ$18),0*1))))</f>
        <v>0</v>
      </c>
      <c r="CD287" s="102">
        <f>IF(AW287=DP!$AN$22,(DP!$AR$22),IF(AW287=DP!$AN$23,(DP!$AR$23),IF(AW287=DP!$AN$24,(DP!$AR$24),IF(AW287=DP!$AN$25,(DP!$AR$25),((0*1))))))</f>
        <v>0</v>
      </c>
      <c r="CE287" s="93">
        <f t="shared" si="301"/>
        <v>0</v>
      </c>
      <c r="CF287" s="100"/>
      <c r="CG287" s="149">
        <f t="shared" si="280"/>
        <v>0</v>
      </c>
      <c r="CH287" s="149">
        <f>DP!$N$35*BA287</f>
        <v>0</v>
      </c>
      <c r="CI287" s="149">
        <f>DP!$O$35*BA287</f>
        <v>0</v>
      </c>
      <c r="CJ287" s="149">
        <f>DP!$P$35*BA287</f>
        <v>0</v>
      </c>
    </row>
    <row r="288" spans="2:88" x14ac:dyDescent="0.35">
      <c r="B288" s="480">
        <f>DP!S30</f>
        <v>0</v>
      </c>
      <c r="C288" s="480">
        <f>DP!T30</f>
        <v>0</v>
      </c>
      <c r="D288" s="480">
        <f>DP!U30</f>
        <v>0</v>
      </c>
      <c r="E288" s="480">
        <f>DP!V30</f>
        <v>0</v>
      </c>
      <c r="F288" s="412">
        <f t="shared" si="281"/>
        <v>0</v>
      </c>
      <c r="G288" s="470">
        <f>DP!AE30</f>
        <v>0</v>
      </c>
      <c r="H288" s="98">
        <f t="shared" si="282"/>
        <v>0</v>
      </c>
      <c r="I288" s="97"/>
      <c r="J288" s="102">
        <f t="shared" si="272"/>
        <v>0</v>
      </c>
      <c r="K288" s="98">
        <f t="shared" si="273"/>
        <v>0</v>
      </c>
      <c r="L288" s="93">
        <f t="shared" si="274"/>
        <v>0</v>
      </c>
      <c r="M288" s="99">
        <f t="shared" si="275"/>
        <v>0</v>
      </c>
      <c r="N288" s="100"/>
      <c r="O288" s="102">
        <f>($E288/DP!$O$29)*F288</f>
        <v>0</v>
      </c>
      <c r="P288" s="102">
        <f>IF(O288&gt;0,(DP!$O$31),0*1)</f>
        <v>0</v>
      </c>
      <c r="Q288" s="102">
        <f t="shared" si="283"/>
        <v>0</v>
      </c>
      <c r="R288" s="102">
        <f t="shared" si="284"/>
        <v>0</v>
      </c>
      <c r="S288" s="418">
        <f t="shared" si="285"/>
        <v>0</v>
      </c>
      <c r="T288" s="475">
        <f>H288*DP!$AA$44</f>
        <v>0</v>
      </c>
      <c r="U288" s="475">
        <f>IF(H288&gt;0,DP!$AB$44,0*1)</f>
        <v>0</v>
      </c>
      <c r="V288" s="475">
        <f t="shared" si="286"/>
        <v>0</v>
      </c>
      <c r="W288" s="475">
        <f>H288*DP!$AA$45</f>
        <v>0</v>
      </c>
      <c r="X288" s="475">
        <f>IF(H288&gt;0,DP!$AB$45,0*1)</f>
        <v>0</v>
      </c>
      <c r="Y288" s="475">
        <f t="shared" si="287"/>
        <v>0</v>
      </c>
      <c r="Z288" s="100"/>
      <c r="AA288" s="93">
        <f>IF(D288=DP!$L$15,F288*(1+DP!$O$15),IF(D288=DP!$L$16,F288*(1+DP!$O$16),IF(D288=DP!$L$17,F288*(1+DP!$O$17),IF(D288=DP!$L$18,F288*(1+DP!$O$18),0*1))))</f>
        <v>0</v>
      </c>
      <c r="AB288" s="102">
        <f>IF(D288=DP!$L$22,(DP!$M$22),IF(D288=DP!$L$23,(DP!$M$23),IF(D288=DP!$L$24,(DP!$M$24),IF(D288=DP!$L$25,(DP!$M$25),((0*1))))))</f>
        <v>0</v>
      </c>
      <c r="AC288" s="93">
        <f t="shared" si="288"/>
        <v>0</v>
      </c>
      <c r="AD288" s="93">
        <f>IF(D288=DP!$L$15,F288*(1+DP!$O$15),IF(D288=DP!$L$16,F288*(1+DP!$O$16),IF(D288=DP!$L$17,F288*(1+DP!$O$17),IF(D288=DP!$L$18,F288*(1+DP!$O$18),0*1))))</f>
        <v>0</v>
      </c>
      <c r="AE288" s="102">
        <f>IF(D288=DP!$L$22,(DP!$N$22),IF(D288=DP!$L$23,(DP!$N$23),IF(D288=DP!$L$24,(DP!$N$24),IF(D288=DP!$L$25,(DP!$N$25),((0*1))))))</f>
        <v>0</v>
      </c>
      <c r="AF288" s="93">
        <f t="shared" si="289"/>
        <v>0</v>
      </c>
      <c r="AG288" s="93">
        <f>IF(D288=DP!$L$15,(F288/DP!$K$15)*(1+DP!$O$15),IF(D288=DP!$L$16,(F288/DP!$K$16)*(1+DP!$O$16),IF(D288=DP!$L$17,(F288/DP!$K$17)*(1+DP!$O$17),IF(D288=DP!$L$18,(F288/DP!$K$18)*(1+DP!$O$18),0*1))))</f>
        <v>0</v>
      </c>
      <c r="AH288" s="102">
        <f>IF(D288=DP!$L$22,(DP!$O$22),IF(D288=DP!$L$23,(DP!$O$23),IF(D288=DP!$L$24,(DP!$O$24),IF(D288=DP!$L$25,(DP!$O$25),((0*1))))))</f>
        <v>0</v>
      </c>
      <c r="AI288" s="93">
        <f t="shared" si="290"/>
        <v>0</v>
      </c>
      <c r="AJ288" s="93">
        <f>IF(D288=DP!$L$15,F288*(1+DP!$O$15),IF(D288=DP!$L$16,F288*(1+DP!$O$16),IF(D288=DP!$L$17,F288*(1+DP!$O$17),IF(D288=DP!$L$18,F288*(1+DP!$O$18),0*1))))</f>
        <v>0</v>
      </c>
      <c r="AK288" s="102">
        <f>IF(D288=DP!$L$22,(DP!$P$22),IF(D288=DP!$L$23,(DP!$P$23),IF(D288=DP!$L$24,(DP!$P$24),IF(D288=DP!$L$25,(DP!$P$25),((0*1))))))</f>
        <v>0</v>
      </c>
      <c r="AL288" s="93">
        <f t="shared" si="291"/>
        <v>0</v>
      </c>
      <c r="AM288" s="100"/>
      <c r="AN288" s="149">
        <f t="shared" si="276"/>
        <v>0</v>
      </c>
      <c r="AO288" s="149">
        <f>DP!$N$35*H288</f>
        <v>0</v>
      </c>
      <c r="AP288" s="149">
        <f>DP!$O$35*H288</f>
        <v>0</v>
      </c>
      <c r="AQ288" s="149">
        <f>DP!$P$35*H288</f>
        <v>0</v>
      </c>
      <c r="AV288" s="489">
        <f>DP!AV30</f>
        <v>0</v>
      </c>
      <c r="AW288" s="489">
        <f>DP!AW30</f>
        <v>0</v>
      </c>
      <c r="AX288" s="489">
        <f>DP!AX30</f>
        <v>0</v>
      </c>
      <c r="AY288" s="412">
        <f t="shared" si="292"/>
        <v>0</v>
      </c>
      <c r="AZ288" s="470">
        <f>DP!BG30</f>
        <v>0</v>
      </c>
      <c r="BA288" s="98">
        <f t="shared" si="293"/>
        <v>0</v>
      </c>
      <c r="BB288" s="97"/>
      <c r="BC288" s="102">
        <f t="shared" si="277"/>
        <v>0</v>
      </c>
      <c r="BD288" s="98">
        <f t="shared" si="278"/>
        <v>0</v>
      </c>
      <c r="BE288" s="93">
        <f t="shared" si="294"/>
        <v>0</v>
      </c>
      <c r="BF288" s="99">
        <f t="shared" si="279"/>
        <v>0</v>
      </c>
      <c r="BG288" s="100"/>
      <c r="BH288" s="102">
        <f>IFERROR((BA288*100%)/DP!$AQ$29,(0*1))</f>
        <v>0</v>
      </c>
      <c r="BI288" s="102">
        <f>IF(BH288&gt;0,(DP!$AQ$31),0*1)</f>
        <v>0</v>
      </c>
      <c r="BJ288" s="435">
        <f t="shared" si="295"/>
        <v>0</v>
      </c>
      <c r="BK288" s="475">
        <f>BA288*DP!$BC$44</f>
        <v>0</v>
      </c>
      <c r="BL288" s="475">
        <f>IF(BA288&gt;0,DP!$BD$44,0*1)</f>
        <v>0</v>
      </c>
      <c r="BM288" s="475">
        <f t="shared" si="296"/>
        <v>0</v>
      </c>
      <c r="BN288" s="102">
        <f>BA288*DP!$BC$45</f>
        <v>0</v>
      </c>
      <c r="BO288" s="102">
        <f>IF(BA288&gt;0,DP!$BD$45,0*1)</f>
        <v>0</v>
      </c>
      <c r="BP288" s="475">
        <f t="shared" si="297"/>
        <v>0</v>
      </c>
      <c r="BQ288" s="100"/>
      <c r="BR288" s="100"/>
      <c r="BS288" s="100"/>
      <c r="BT288" s="93">
        <f>IF(AW288=DP!$AN$15,AY288*(1+DP!$AQ$15),IF(AW288=DP!$AN$16,AY288*(1+DP!$AQ$16),IF(AW288=DP!$AN$17,AY288*(1+DP!$AQ$17),IF(AW288=DP!$AN$18,AY288*(1+DP!$AQ$18),0*1))))</f>
        <v>0</v>
      </c>
      <c r="BU288" s="102">
        <f>IF(AW288=DP!$AN$22,(DP!$AO$22),IF(AW288=DP!$AN$23,(DP!$AO$23),IF(AW288=DP!$AN$24,(DP!$AO$24),IF(AW288=DP!$AN$25,(DP!$AO$25),((0*1))))))</f>
        <v>0</v>
      </c>
      <c r="BV288" s="93">
        <f t="shared" si="298"/>
        <v>0</v>
      </c>
      <c r="BW288" s="93">
        <f>IF(AW288=DP!$AN$15,AY288*(1+DP!$AQ$15),IF(AW288=DP!$AN$16,AY288*(1+DP!$AQ$16),IF(AW288=DP!$AN$17,AY288*(1+DP!$AQ$17),IF(AW288=DP!$AN$18,AY288*(1+DP!$AQ$18),0*1))))</f>
        <v>0</v>
      </c>
      <c r="BX288" s="102">
        <f>IF(AW288=DP!$AN$22,(DP!$AP$22),IF(AW288=DP!$AN$23,(DP!$AP$23),IF(AW288=DP!$AN$24,(DP!$AP$24),IF(AW288=DP!$AN$25,(DP!$AP$25),((0*1))))))</f>
        <v>0</v>
      </c>
      <c r="BY288" s="93">
        <f t="shared" si="299"/>
        <v>0</v>
      </c>
      <c r="BZ288" s="93">
        <f>IF(AW288=DP!$AN$15,(AY288/DP!$AM$15)*(1+DP!$AQ$15),IF(AW288=DP!$AN$16,(AY288/DP!$AM$16)*(1+DP!$AQ$16),IF(AW288=DP!$AN$17,(AY288/DP!$AM$17)*(1+DP!$AQ$17),IF(AW288=DP!$AN$18,(AY288/DP!$AM$18)*(1+DP!$AQ$18),0*1))))</f>
        <v>0</v>
      </c>
      <c r="CA288" s="102">
        <f>IF(AW288=DP!$AN$22,(DP!$AQ$22),IF(AW288=DP!$AN$23,(DP!$AQ$23),IF(AW288=DP!$AN$24,(DP!$AQ$24),IF(AW288=DP!$AN$25,(DP!$AQ$25),((0*1))))))</f>
        <v>0</v>
      </c>
      <c r="CB288" s="93">
        <f t="shared" si="300"/>
        <v>0</v>
      </c>
      <c r="CC288" s="93">
        <f>IF(AW288=DP!$AN$15,AY288*(1+DP!$AQ$15),IF(AW288=DP!$AN$16,AY288*(1+DP!$AQ$16),IF(AW288=DP!$AN$17,AY288*(1+DP!$AQ$17),IF(AW288=DP!$AN$18,AY288*(1+DP!$AQ$18),0*1))))</f>
        <v>0</v>
      </c>
      <c r="CD288" s="102">
        <f>IF(AW288=DP!$AN$22,(DP!$AR$22),IF(AW288=DP!$AN$23,(DP!$AR$23),IF(AW288=DP!$AN$24,(DP!$AR$24),IF(AW288=DP!$AN$25,(DP!$AR$25),((0*1))))))</f>
        <v>0</v>
      </c>
      <c r="CE288" s="93">
        <f t="shared" si="301"/>
        <v>0</v>
      </c>
      <c r="CF288" s="100"/>
      <c r="CG288" s="149">
        <f t="shared" si="280"/>
        <v>0</v>
      </c>
      <c r="CH288" s="149">
        <f>DP!$N$35*BA288</f>
        <v>0</v>
      </c>
      <c r="CI288" s="149">
        <f>DP!$O$35*BA288</f>
        <v>0</v>
      </c>
      <c r="CJ288" s="149">
        <f>DP!$P$35*BA288</f>
        <v>0</v>
      </c>
    </row>
    <row r="289" spans="2:88" x14ac:dyDescent="0.35">
      <c r="B289" s="480">
        <f>DP!S31</f>
        <v>0</v>
      </c>
      <c r="C289" s="480">
        <f>DP!T31</f>
        <v>0</v>
      </c>
      <c r="D289" s="480">
        <f>DP!U31</f>
        <v>0</v>
      </c>
      <c r="E289" s="480">
        <f>DP!V31</f>
        <v>0</v>
      </c>
      <c r="F289" s="412">
        <f t="shared" si="281"/>
        <v>0</v>
      </c>
      <c r="G289" s="470">
        <f>DP!AE31</f>
        <v>0</v>
      </c>
      <c r="H289" s="98">
        <f t="shared" si="282"/>
        <v>0</v>
      </c>
      <c r="I289" s="97"/>
      <c r="J289" s="102">
        <f t="shared" si="272"/>
        <v>0</v>
      </c>
      <c r="K289" s="98">
        <f t="shared" si="273"/>
        <v>0</v>
      </c>
      <c r="L289" s="93">
        <f t="shared" si="274"/>
        <v>0</v>
      </c>
      <c r="M289" s="99">
        <f t="shared" si="275"/>
        <v>0</v>
      </c>
      <c r="N289" s="100"/>
      <c r="O289" s="102">
        <f>($E289/DP!$O$29)*F289</f>
        <v>0</v>
      </c>
      <c r="P289" s="102">
        <f>IF(O289&gt;0,(DP!$O$31),0*1)</f>
        <v>0</v>
      </c>
      <c r="Q289" s="102">
        <f t="shared" si="283"/>
        <v>0</v>
      </c>
      <c r="R289" s="102">
        <f t="shared" si="284"/>
        <v>0</v>
      </c>
      <c r="S289" s="418">
        <f t="shared" si="285"/>
        <v>0</v>
      </c>
      <c r="T289" s="475">
        <f>H289*DP!$AA$44</f>
        <v>0</v>
      </c>
      <c r="U289" s="475">
        <f>IF(H289&gt;0,DP!$AB$44,0*1)</f>
        <v>0</v>
      </c>
      <c r="V289" s="475">
        <f t="shared" si="286"/>
        <v>0</v>
      </c>
      <c r="W289" s="475">
        <f>H289*DP!$AA$45</f>
        <v>0</v>
      </c>
      <c r="X289" s="475">
        <f>IF(H289&gt;0,DP!$AB$45,0*1)</f>
        <v>0</v>
      </c>
      <c r="Y289" s="475">
        <f t="shared" si="287"/>
        <v>0</v>
      </c>
      <c r="Z289" s="100"/>
      <c r="AA289" s="93">
        <f>IF(D289=DP!$L$15,F289*(1+DP!$O$15),IF(D289=DP!$L$16,F289*(1+DP!$O$16),IF(D289=DP!$L$17,F289*(1+DP!$O$17),IF(D289=DP!$L$18,F289*(1+DP!$O$18),0*1))))</f>
        <v>0</v>
      </c>
      <c r="AB289" s="102">
        <f>IF(D289=DP!$L$22,(DP!$M$22),IF(D289=DP!$L$23,(DP!$M$23),IF(D289=DP!$L$24,(DP!$M$24),IF(D289=DP!$L$25,(DP!$M$25),((0*1))))))</f>
        <v>0</v>
      </c>
      <c r="AC289" s="93">
        <f t="shared" si="288"/>
        <v>0</v>
      </c>
      <c r="AD289" s="93">
        <f>IF(D289=DP!$L$15,F289*(1+DP!$O$15),IF(D289=DP!$L$16,F289*(1+DP!$O$16),IF(D289=DP!$L$17,F289*(1+DP!$O$17),IF(D289=DP!$L$18,F289*(1+DP!$O$18),0*1))))</f>
        <v>0</v>
      </c>
      <c r="AE289" s="102">
        <f>IF(D289=DP!$L$22,(DP!$N$22),IF(D289=DP!$L$23,(DP!$N$23),IF(D289=DP!$L$24,(DP!$N$24),IF(D289=DP!$L$25,(DP!$N$25),((0*1))))))</f>
        <v>0</v>
      </c>
      <c r="AF289" s="93">
        <f t="shared" si="289"/>
        <v>0</v>
      </c>
      <c r="AG289" s="93">
        <f>IF(D289=DP!$L$15,(F289/DP!$K$15)*(1+DP!$O$15),IF(D289=DP!$L$16,(F289/DP!$K$16)*(1+DP!$O$16),IF(D289=DP!$L$17,(F289/DP!$K$17)*(1+DP!$O$17),IF(D289=DP!$L$18,(F289/DP!$K$18)*(1+DP!$O$18),0*1))))</f>
        <v>0</v>
      </c>
      <c r="AH289" s="102">
        <f>IF(D289=DP!$L$22,(DP!$O$22),IF(D289=DP!$L$23,(DP!$O$23),IF(D289=DP!$L$24,(DP!$O$24),IF(D289=DP!$L$25,(DP!$O$25),((0*1))))))</f>
        <v>0</v>
      </c>
      <c r="AI289" s="93">
        <f t="shared" si="290"/>
        <v>0</v>
      </c>
      <c r="AJ289" s="93">
        <f>IF(D289=DP!$L$15,F289*(1+DP!$O$15),IF(D289=DP!$L$16,F289*(1+DP!$O$16),IF(D289=DP!$L$17,F289*(1+DP!$O$17),IF(D289=DP!$L$18,F289*(1+DP!$O$18),0*1))))</f>
        <v>0</v>
      </c>
      <c r="AK289" s="102">
        <f>IF(D289=DP!$L$22,(DP!$P$22),IF(D289=DP!$L$23,(DP!$P$23),IF(D289=DP!$L$24,(DP!$P$24),IF(D289=DP!$L$25,(DP!$P$25),((0*1))))))</f>
        <v>0</v>
      </c>
      <c r="AL289" s="93">
        <f t="shared" si="291"/>
        <v>0</v>
      </c>
      <c r="AM289" s="100"/>
      <c r="AN289" s="149">
        <f t="shared" si="276"/>
        <v>0</v>
      </c>
      <c r="AO289" s="149">
        <f>DP!$N$35*H289</f>
        <v>0</v>
      </c>
      <c r="AP289" s="149">
        <f>DP!$O$35*H289</f>
        <v>0</v>
      </c>
      <c r="AQ289" s="149">
        <f>DP!$P$35*H289</f>
        <v>0</v>
      </c>
      <c r="AV289" s="489">
        <f>DP!AV31</f>
        <v>0</v>
      </c>
      <c r="AW289" s="489">
        <f>DP!AW31</f>
        <v>0</v>
      </c>
      <c r="AX289" s="489">
        <f>DP!AX31</f>
        <v>0</v>
      </c>
      <c r="AY289" s="412">
        <f t="shared" si="292"/>
        <v>0</v>
      </c>
      <c r="AZ289" s="470">
        <f>DP!BG31</f>
        <v>0</v>
      </c>
      <c r="BA289" s="98">
        <f t="shared" si="293"/>
        <v>0</v>
      </c>
      <c r="BB289" s="97"/>
      <c r="BC289" s="102">
        <f t="shared" si="277"/>
        <v>0</v>
      </c>
      <c r="BD289" s="98">
        <f t="shared" si="278"/>
        <v>0</v>
      </c>
      <c r="BE289" s="93">
        <f t="shared" si="294"/>
        <v>0</v>
      </c>
      <c r="BF289" s="99">
        <f t="shared" si="279"/>
        <v>0</v>
      </c>
      <c r="BG289" s="100"/>
      <c r="BH289" s="102">
        <f>IFERROR((BA289*100%)/DP!$AQ$29,(0*1))</f>
        <v>0</v>
      </c>
      <c r="BI289" s="102">
        <f>IF(BH289&gt;0,(DP!$AQ$31),0*1)</f>
        <v>0</v>
      </c>
      <c r="BJ289" s="435">
        <f t="shared" si="295"/>
        <v>0</v>
      </c>
      <c r="BK289" s="475">
        <f>BA289*DP!$BC$44</f>
        <v>0</v>
      </c>
      <c r="BL289" s="475">
        <f>IF(BA289&gt;0,DP!$BD$44,0*1)</f>
        <v>0</v>
      </c>
      <c r="BM289" s="475">
        <f t="shared" si="296"/>
        <v>0</v>
      </c>
      <c r="BN289" s="102">
        <f>BA289*DP!$BC$45</f>
        <v>0</v>
      </c>
      <c r="BO289" s="102">
        <f>IF(BA289&gt;0,DP!$BD$45,0*1)</f>
        <v>0</v>
      </c>
      <c r="BP289" s="475">
        <f t="shared" si="297"/>
        <v>0</v>
      </c>
      <c r="BQ289" s="100"/>
      <c r="BR289" s="100"/>
      <c r="BS289" s="100"/>
      <c r="BT289" s="93">
        <f>IF(AW289=DP!$AN$15,AY289*(1+DP!$AQ$15),IF(AW289=DP!$AN$16,AY289*(1+DP!$AQ$16),IF(AW289=DP!$AN$17,AY289*(1+DP!$AQ$17),IF(AW289=DP!$AN$18,AY289*(1+DP!$AQ$18),0*1))))</f>
        <v>0</v>
      </c>
      <c r="BU289" s="102">
        <f>IF(AW289=DP!$AN$22,(DP!$AO$22),IF(AW289=DP!$AN$23,(DP!$AO$23),IF(AW289=DP!$AN$24,(DP!$AO$24),IF(AW289=DP!$AN$25,(DP!$AO$25),((0*1))))))</f>
        <v>0</v>
      </c>
      <c r="BV289" s="93">
        <f t="shared" si="298"/>
        <v>0</v>
      </c>
      <c r="BW289" s="93">
        <f>IF(AW289=DP!$AN$15,AY289*(1+DP!$AQ$15),IF(AW289=DP!$AN$16,AY289*(1+DP!$AQ$16),IF(AW289=DP!$AN$17,AY289*(1+DP!$AQ$17),IF(AW289=DP!$AN$18,AY289*(1+DP!$AQ$18),0*1))))</f>
        <v>0</v>
      </c>
      <c r="BX289" s="102">
        <f>IF(AW289=DP!$AN$22,(DP!$AP$22),IF(AW289=DP!$AN$23,(DP!$AP$23),IF(AW289=DP!$AN$24,(DP!$AP$24),IF(AW289=DP!$AN$25,(DP!$AP$25),((0*1))))))</f>
        <v>0</v>
      </c>
      <c r="BY289" s="93">
        <f t="shared" si="299"/>
        <v>0</v>
      </c>
      <c r="BZ289" s="93">
        <f>IF(AW289=DP!$AN$15,(AY289/DP!$AM$15)*(1+DP!$AQ$15),IF(AW289=DP!$AN$16,(AY289/DP!$AM$16)*(1+DP!$AQ$16),IF(AW289=DP!$AN$17,(AY289/DP!$AM$17)*(1+DP!$AQ$17),IF(AW289=DP!$AN$18,(AY289/DP!$AM$18)*(1+DP!$AQ$18),0*1))))</f>
        <v>0</v>
      </c>
      <c r="CA289" s="102">
        <f>IF(AW289=DP!$AN$22,(DP!$AQ$22),IF(AW289=DP!$AN$23,(DP!$AQ$23),IF(AW289=DP!$AN$24,(DP!$AQ$24),IF(AW289=DP!$AN$25,(DP!$AQ$25),((0*1))))))</f>
        <v>0</v>
      </c>
      <c r="CB289" s="93">
        <f t="shared" si="300"/>
        <v>0</v>
      </c>
      <c r="CC289" s="93">
        <f>IF(AW289=DP!$AN$15,AY289*(1+DP!$AQ$15),IF(AW289=DP!$AN$16,AY289*(1+DP!$AQ$16),IF(AW289=DP!$AN$17,AY289*(1+DP!$AQ$17),IF(AW289=DP!$AN$18,AY289*(1+DP!$AQ$18),0*1))))</f>
        <v>0</v>
      </c>
      <c r="CD289" s="102">
        <f>IF(AW289=DP!$AN$22,(DP!$AR$22),IF(AW289=DP!$AN$23,(DP!$AR$23),IF(AW289=DP!$AN$24,(DP!$AR$24),IF(AW289=DP!$AN$25,(DP!$AR$25),((0*1))))))</f>
        <v>0</v>
      </c>
      <c r="CE289" s="93">
        <f t="shared" si="301"/>
        <v>0</v>
      </c>
      <c r="CF289" s="100"/>
      <c r="CG289" s="149">
        <f t="shared" si="280"/>
        <v>0</v>
      </c>
      <c r="CH289" s="149">
        <f>DP!$N$35*BA289</f>
        <v>0</v>
      </c>
      <c r="CI289" s="149">
        <f>DP!$O$35*BA289</f>
        <v>0</v>
      </c>
      <c r="CJ289" s="149">
        <f>DP!$P$35*BA289</f>
        <v>0</v>
      </c>
    </row>
    <row r="290" spans="2:88" x14ac:dyDescent="0.35">
      <c r="B290" s="480">
        <f>DP!S32</f>
        <v>0</v>
      </c>
      <c r="C290" s="480">
        <f>DP!T32</f>
        <v>0</v>
      </c>
      <c r="D290" s="480">
        <f>DP!U32</f>
        <v>0</v>
      </c>
      <c r="E290" s="480">
        <f>DP!V32</f>
        <v>0</v>
      </c>
      <c r="F290" s="412">
        <f t="shared" si="281"/>
        <v>0</v>
      </c>
      <c r="G290" s="470">
        <f>DP!AE32</f>
        <v>0</v>
      </c>
      <c r="H290" s="98">
        <f t="shared" si="282"/>
        <v>0</v>
      </c>
      <c r="I290" s="97"/>
      <c r="J290" s="102">
        <f t="shared" si="272"/>
        <v>0</v>
      </c>
      <c r="K290" s="98">
        <f t="shared" si="273"/>
        <v>0</v>
      </c>
      <c r="L290" s="93">
        <f t="shared" si="274"/>
        <v>0</v>
      </c>
      <c r="M290" s="99">
        <f t="shared" si="275"/>
        <v>0</v>
      </c>
      <c r="N290" s="100"/>
      <c r="O290" s="102">
        <f>($E290/DP!$O$29)*F290</f>
        <v>0</v>
      </c>
      <c r="P290" s="102">
        <f>IF(O290&gt;0,(DP!$O$31),0*1)</f>
        <v>0</v>
      </c>
      <c r="Q290" s="102">
        <f t="shared" si="283"/>
        <v>0</v>
      </c>
      <c r="R290" s="102">
        <f t="shared" si="284"/>
        <v>0</v>
      </c>
      <c r="S290" s="418">
        <f t="shared" si="285"/>
        <v>0</v>
      </c>
      <c r="T290" s="475">
        <f>H290*DP!$AA$44</f>
        <v>0</v>
      </c>
      <c r="U290" s="475">
        <f>IF(H290&gt;0,DP!$AB$44,0*1)</f>
        <v>0</v>
      </c>
      <c r="V290" s="475">
        <f t="shared" si="286"/>
        <v>0</v>
      </c>
      <c r="W290" s="475">
        <f>H290*DP!$AA$45</f>
        <v>0</v>
      </c>
      <c r="X290" s="475">
        <f>IF(H290&gt;0,DP!$AB$45,0*1)</f>
        <v>0</v>
      </c>
      <c r="Y290" s="475">
        <f t="shared" si="287"/>
        <v>0</v>
      </c>
      <c r="Z290" s="100"/>
      <c r="AA290" s="93">
        <f>IF(D290=DP!$L$15,F290*(1+DP!$O$15),IF(D290=DP!$L$16,F290*(1+DP!$O$16),IF(D290=DP!$L$17,F290*(1+DP!$O$17),IF(D290=DP!$L$18,F290*(1+DP!$O$18),0*1))))</f>
        <v>0</v>
      </c>
      <c r="AB290" s="102">
        <f>IF(D290=DP!$L$22,(DP!$M$22),IF(D290=DP!$L$23,(DP!$M$23),IF(D290=DP!$L$24,(DP!$M$24),IF(D290=DP!$L$25,(DP!$M$25),((0*1))))))</f>
        <v>0</v>
      </c>
      <c r="AC290" s="93">
        <f t="shared" si="288"/>
        <v>0</v>
      </c>
      <c r="AD290" s="93">
        <f>IF(D290=DP!$L$15,F290*(1+DP!$O$15),IF(D290=DP!$L$16,F290*(1+DP!$O$16),IF(D290=DP!$L$17,F290*(1+DP!$O$17),IF(D290=DP!$L$18,F290*(1+DP!$O$18),0*1))))</f>
        <v>0</v>
      </c>
      <c r="AE290" s="102">
        <f>IF(D290=DP!$L$22,(DP!$N$22),IF(D290=DP!$L$23,(DP!$N$23),IF(D290=DP!$L$24,(DP!$N$24),IF(D290=DP!$L$25,(DP!$N$25),((0*1))))))</f>
        <v>0</v>
      </c>
      <c r="AF290" s="93">
        <f t="shared" si="289"/>
        <v>0</v>
      </c>
      <c r="AG290" s="93">
        <f>IF(D290=DP!$L$15,(F290/DP!$K$15)*(1+DP!$O$15),IF(D290=DP!$L$16,(F290/DP!$K$16)*(1+DP!$O$16),IF(D290=DP!$L$17,(F290/DP!$K$17)*(1+DP!$O$17),IF(D290=DP!$L$18,(F290/DP!$K$18)*(1+DP!$O$18),0*1))))</f>
        <v>0</v>
      </c>
      <c r="AH290" s="102">
        <f>IF(D290=DP!$L$22,(DP!$O$22),IF(D290=DP!$L$23,(DP!$O$23),IF(D290=DP!$L$24,(DP!$O$24),IF(D290=DP!$L$25,(DP!$O$25),((0*1))))))</f>
        <v>0</v>
      </c>
      <c r="AI290" s="93">
        <f t="shared" si="290"/>
        <v>0</v>
      </c>
      <c r="AJ290" s="93">
        <f>IF(D290=DP!$L$15,F290*(1+DP!$O$15),IF(D290=DP!$L$16,F290*(1+DP!$O$16),IF(D290=DP!$L$17,F290*(1+DP!$O$17),IF(D290=DP!$L$18,F290*(1+DP!$O$18),0*1))))</f>
        <v>0</v>
      </c>
      <c r="AK290" s="102">
        <f>IF(D290=DP!$L$22,(DP!$P$22),IF(D290=DP!$L$23,(DP!$P$23),IF(D290=DP!$L$24,(DP!$P$24),IF(D290=DP!$L$25,(DP!$P$25),((0*1))))))</f>
        <v>0</v>
      </c>
      <c r="AL290" s="93">
        <f t="shared" si="291"/>
        <v>0</v>
      </c>
      <c r="AM290" s="100"/>
      <c r="AN290" s="149">
        <f t="shared" si="276"/>
        <v>0</v>
      </c>
      <c r="AO290" s="149">
        <f>DP!$N$35*H290</f>
        <v>0</v>
      </c>
      <c r="AP290" s="149">
        <f>DP!$O$35*H290</f>
        <v>0</v>
      </c>
      <c r="AQ290" s="149">
        <f>DP!$P$35*H290</f>
        <v>0</v>
      </c>
      <c r="AV290" s="489">
        <f>DP!AV32</f>
        <v>0</v>
      </c>
      <c r="AW290" s="489">
        <f>DP!AW32</f>
        <v>0</v>
      </c>
      <c r="AX290" s="489">
        <f>DP!AX32</f>
        <v>0</v>
      </c>
      <c r="AY290" s="412">
        <f t="shared" si="292"/>
        <v>0</v>
      </c>
      <c r="AZ290" s="470">
        <f>DP!BG32</f>
        <v>0</v>
      </c>
      <c r="BA290" s="98">
        <f t="shared" si="293"/>
        <v>0</v>
      </c>
      <c r="BB290" s="97"/>
      <c r="BC290" s="102">
        <f t="shared" si="277"/>
        <v>0</v>
      </c>
      <c r="BD290" s="98">
        <f t="shared" si="278"/>
        <v>0</v>
      </c>
      <c r="BE290" s="93">
        <f t="shared" si="294"/>
        <v>0</v>
      </c>
      <c r="BF290" s="99">
        <f t="shared" si="279"/>
        <v>0</v>
      </c>
      <c r="BG290" s="100"/>
      <c r="BH290" s="102">
        <f>IFERROR((BA290*100%)/DP!$AQ$29,(0*1))</f>
        <v>0</v>
      </c>
      <c r="BI290" s="102">
        <f>IF(BH290&gt;0,(DP!$AQ$31),0*1)</f>
        <v>0</v>
      </c>
      <c r="BJ290" s="435">
        <f t="shared" si="295"/>
        <v>0</v>
      </c>
      <c r="BK290" s="475">
        <f>BA290*DP!$BC$44</f>
        <v>0</v>
      </c>
      <c r="BL290" s="475">
        <f>IF(BA290&gt;0,DP!$BD$44,0*1)</f>
        <v>0</v>
      </c>
      <c r="BM290" s="475">
        <f t="shared" si="296"/>
        <v>0</v>
      </c>
      <c r="BN290" s="102">
        <f>BA290*DP!$BC$45</f>
        <v>0</v>
      </c>
      <c r="BO290" s="102">
        <f>IF(BA290&gt;0,DP!$BD$45,0*1)</f>
        <v>0</v>
      </c>
      <c r="BP290" s="475">
        <f t="shared" si="297"/>
        <v>0</v>
      </c>
      <c r="BQ290" s="100"/>
      <c r="BR290" s="100"/>
      <c r="BS290" s="100"/>
      <c r="BT290" s="93">
        <f>IF(AW290=DP!$AN$15,AY290*(1+DP!$AQ$15),IF(AW290=DP!$AN$16,AY290*(1+DP!$AQ$16),IF(AW290=DP!$AN$17,AY290*(1+DP!$AQ$17),IF(AW290=DP!$AN$18,AY290*(1+DP!$AQ$18),0*1))))</f>
        <v>0</v>
      </c>
      <c r="BU290" s="102">
        <f>IF(AW290=DP!$AN$22,(DP!$AO$22),IF(AW290=DP!$AN$23,(DP!$AO$23),IF(AW290=DP!$AN$24,(DP!$AO$24),IF(AW290=DP!$AN$25,(DP!$AO$25),((0*1))))))</f>
        <v>0</v>
      </c>
      <c r="BV290" s="93">
        <f t="shared" si="298"/>
        <v>0</v>
      </c>
      <c r="BW290" s="93">
        <f>IF(AW290=DP!$AN$15,AY290*(1+DP!$AQ$15),IF(AW290=DP!$AN$16,AY290*(1+DP!$AQ$16),IF(AW290=DP!$AN$17,AY290*(1+DP!$AQ$17),IF(AW290=DP!$AN$18,AY290*(1+DP!$AQ$18),0*1))))</f>
        <v>0</v>
      </c>
      <c r="BX290" s="102">
        <f>IF(AW290=DP!$AN$22,(DP!$AP$22),IF(AW290=DP!$AN$23,(DP!$AP$23),IF(AW290=DP!$AN$24,(DP!$AP$24),IF(AW290=DP!$AN$25,(DP!$AP$25),((0*1))))))</f>
        <v>0</v>
      </c>
      <c r="BY290" s="93">
        <f t="shared" si="299"/>
        <v>0</v>
      </c>
      <c r="BZ290" s="93">
        <f>IF(AW290=DP!$AN$15,(AY290/DP!$AM$15)*(1+DP!$AQ$15),IF(AW290=DP!$AN$16,(AY290/DP!$AM$16)*(1+DP!$AQ$16),IF(AW290=DP!$AN$17,(AY290/DP!$AM$17)*(1+DP!$AQ$17),IF(AW290=DP!$AN$18,(AY290/DP!$AM$18)*(1+DP!$AQ$18),0*1))))</f>
        <v>0</v>
      </c>
      <c r="CA290" s="102">
        <f>IF(AW290=DP!$AN$22,(DP!$AQ$22),IF(AW290=DP!$AN$23,(DP!$AQ$23),IF(AW290=DP!$AN$24,(DP!$AQ$24),IF(AW290=DP!$AN$25,(DP!$AQ$25),((0*1))))))</f>
        <v>0</v>
      </c>
      <c r="CB290" s="93">
        <f t="shared" si="300"/>
        <v>0</v>
      </c>
      <c r="CC290" s="93">
        <f>IF(AW290=DP!$AN$15,AY290*(1+DP!$AQ$15),IF(AW290=DP!$AN$16,AY290*(1+DP!$AQ$16),IF(AW290=DP!$AN$17,AY290*(1+DP!$AQ$17),IF(AW290=DP!$AN$18,AY290*(1+DP!$AQ$18),0*1))))</f>
        <v>0</v>
      </c>
      <c r="CD290" s="102">
        <f>IF(AW290=DP!$AN$22,(DP!$AR$22),IF(AW290=DP!$AN$23,(DP!$AR$23),IF(AW290=DP!$AN$24,(DP!$AR$24),IF(AW290=DP!$AN$25,(DP!$AR$25),((0*1))))))</f>
        <v>0</v>
      </c>
      <c r="CE290" s="93">
        <f t="shared" si="301"/>
        <v>0</v>
      </c>
      <c r="CF290" s="100"/>
      <c r="CG290" s="149">
        <f t="shared" si="280"/>
        <v>0</v>
      </c>
      <c r="CH290" s="149">
        <f>DP!$N$35*BA290</f>
        <v>0</v>
      </c>
      <c r="CI290" s="149">
        <f>DP!$O$35*BA290</f>
        <v>0</v>
      </c>
      <c r="CJ290" s="149">
        <f>DP!$P$35*BA290</f>
        <v>0</v>
      </c>
    </row>
    <row r="291" spans="2:88" x14ac:dyDescent="0.35">
      <c r="B291" s="480">
        <f>DP!S33</f>
        <v>0</v>
      </c>
      <c r="C291" s="480">
        <f>DP!T33</f>
        <v>0</v>
      </c>
      <c r="D291" s="480">
        <f>DP!U33</f>
        <v>0</v>
      </c>
      <c r="E291" s="480">
        <f>DP!V33</f>
        <v>0</v>
      </c>
      <c r="F291" s="412">
        <f t="shared" si="281"/>
        <v>0</v>
      </c>
      <c r="G291" s="470">
        <f>DP!AE33</f>
        <v>0</v>
      </c>
      <c r="H291" s="98">
        <f t="shared" si="282"/>
        <v>0</v>
      </c>
      <c r="I291" s="97"/>
      <c r="J291" s="102">
        <f t="shared" si="272"/>
        <v>0</v>
      </c>
      <c r="K291" s="98">
        <f t="shared" si="273"/>
        <v>0</v>
      </c>
      <c r="L291" s="93">
        <f t="shared" si="274"/>
        <v>0</v>
      </c>
      <c r="M291" s="99">
        <f t="shared" si="275"/>
        <v>0</v>
      </c>
      <c r="N291" s="100"/>
      <c r="O291" s="102">
        <f>($E291/DP!$O$29)*F291</f>
        <v>0</v>
      </c>
      <c r="P291" s="102">
        <f>IF(O291&gt;0,(DP!$O$31),0*1)</f>
        <v>0</v>
      </c>
      <c r="Q291" s="102">
        <f t="shared" si="283"/>
        <v>0</v>
      </c>
      <c r="R291" s="102">
        <f t="shared" si="284"/>
        <v>0</v>
      </c>
      <c r="S291" s="418">
        <f t="shared" si="285"/>
        <v>0</v>
      </c>
      <c r="T291" s="475">
        <f>H291*DP!$AA$44</f>
        <v>0</v>
      </c>
      <c r="U291" s="475">
        <f>IF(H291&gt;0,DP!$AB$44,0*1)</f>
        <v>0</v>
      </c>
      <c r="V291" s="475">
        <f t="shared" si="286"/>
        <v>0</v>
      </c>
      <c r="W291" s="475">
        <f>H291*DP!$AA$45</f>
        <v>0</v>
      </c>
      <c r="X291" s="475">
        <f>IF(H291&gt;0,DP!$AB$45,0*1)</f>
        <v>0</v>
      </c>
      <c r="Y291" s="475">
        <f t="shared" si="287"/>
        <v>0</v>
      </c>
      <c r="Z291" s="100"/>
      <c r="AA291" s="93">
        <f>IF(D291=DP!$L$15,F291*(1+DP!$O$15),IF(D291=DP!$L$16,F291*(1+DP!$O$16),IF(D291=DP!$L$17,F291*(1+DP!$O$17),IF(D291=DP!$L$18,F291*(1+DP!$O$18),0*1))))</f>
        <v>0</v>
      </c>
      <c r="AB291" s="102">
        <f>IF(D291=DP!$L$22,(DP!$M$22),IF(D291=DP!$L$23,(DP!$M$23),IF(D291=DP!$L$24,(DP!$M$24),IF(D291=DP!$L$25,(DP!$M$25),((0*1))))))</f>
        <v>0</v>
      </c>
      <c r="AC291" s="93">
        <f t="shared" si="288"/>
        <v>0</v>
      </c>
      <c r="AD291" s="93">
        <f>IF(D291=DP!$L$15,F291*(1+DP!$O$15),IF(D291=DP!$L$16,F291*(1+DP!$O$16),IF(D291=DP!$L$17,F291*(1+DP!$O$17),IF(D291=DP!$L$18,F291*(1+DP!$O$18),0*1))))</f>
        <v>0</v>
      </c>
      <c r="AE291" s="102">
        <f>IF(D291=DP!$L$22,(DP!$N$22),IF(D291=DP!$L$23,(DP!$N$23),IF(D291=DP!$L$24,(DP!$N$24),IF(D291=DP!$L$25,(DP!$N$25),((0*1))))))</f>
        <v>0</v>
      </c>
      <c r="AF291" s="93">
        <f t="shared" si="289"/>
        <v>0</v>
      </c>
      <c r="AG291" s="93">
        <f>IF(D291=DP!$L$15,(F291/DP!$K$15)*(1+DP!$O$15),IF(D291=DP!$L$16,(F291/DP!$K$16)*(1+DP!$O$16),IF(D291=DP!$L$17,(F291/DP!$K$17)*(1+DP!$O$17),IF(D291=DP!$L$18,(F291/DP!$K$18)*(1+DP!$O$18),0*1))))</f>
        <v>0</v>
      </c>
      <c r="AH291" s="102">
        <f>IF(D291=DP!$L$22,(DP!$O$22),IF(D291=DP!$L$23,(DP!$O$23),IF(D291=DP!$L$24,(DP!$O$24),IF(D291=DP!$L$25,(DP!$O$25),((0*1))))))</f>
        <v>0</v>
      </c>
      <c r="AI291" s="93">
        <f t="shared" si="290"/>
        <v>0</v>
      </c>
      <c r="AJ291" s="93">
        <f>IF(D291=DP!$L$15,F291*(1+DP!$O$15),IF(D291=DP!$L$16,F291*(1+DP!$O$16),IF(D291=DP!$L$17,F291*(1+DP!$O$17),IF(D291=DP!$L$18,F291*(1+DP!$O$18),0*1))))</f>
        <v>0</v>
      </c>
      <c r="AK291" s="102">
        <f>IF(D291=DP!$L$22,(DP!$P$22),IF(D291=DP!$L$23,(DP!$P$23),IF(D291=DP!$L$24,(DP!$P$24),IF(D291=DP!$L$25,(DP!$P$25),((0*1))))))</f>
        <v>0</v>
      </c>
      <c r="AL291" s="93">
        <f t="shared" si="291"/>
        <v>0</v>
      </c>
      <c r="AM291" s="100"/>
      <c r="AN291" s="149">
        <f t="shared" si="276"/>
        <v>0</v>
      </c>
      <c r="AO291" s="149">
        <f>DP!$N$35*H291</f>
        <v>0</v>
      </c>
      <c r="AP291" s="149">
        <f>DP!$O$35*H291</f>
        <v>0</v>
      </c>
      <c r="AQ291" s="149">
        <f>DP!$P$35*H291</f>
        <v>0</v>
      </c>
      <c r="AV291" s="489">
        <f>DP!AV33</f>
        <v>0</v>
      </c>
      <c r="AW291" s="489">
        <f>DP!AW33</f>
        <v>0</v>
      </c>
      <c r="AX291" s="489">
        <f>DP!AX33</f>
        <v>0</v>
      </c>
      <c r="AY291" s="412">
        <f t="shared" si="292"/>
        <v>0</v>
      </c>
      <c r="AZ291" s="470">
        <f>DP!BG33</f>
        <v>0</v>
      </c>
      <c r="BA291" s="98">
        <f t="shared" si="293"/>
        <v>0</v>
      </c>
      <c r="BB291" s="97"/>
      <c r="BC291" s="102">
        <f t="shared" si="277"/>
        <v>0</v>
      </c>
      <c r="BD291" s="98">
        <f t="shared" si="278"/>
        <v>0</v>
      </c>
      <c r="BE291" s="93">
        <f t="shared" si="294"/>
        <v>0</v>
      </c>
      <c r="BF291" s="99">
        <f t="shared" si="279"/>
        <v>0</v>
      </c>
      <c r="BG291" s="100"/>
      <c r="BH291" s="102">
        <f>IFERROR((BA291*100%)/DP!$AQ$29,(0*1))</f>
        <v>0</v>
      </c>
      <c r="BI291" s="102">
        <f>IF(BH291&gt;0,(DP!$AQ$31),0*1)</f>
        <v>0</v>
      </c>
      <c r="BJ291" s="435">
        <f t="shared" si="295"/>
        <v>0</v>
      </c>
      <c r="BK291" s="475">
        <f>BA291*DP!$BC$44</f>
        <v>0</v>
      </c>
      <c r="BL291" s="475">
        <f>IF(BA291&gt;0,DP!$BD$44,0*1)</f>
        <v>0</v>
      </c>
      <c r="BM291" s="475">
        <f t="shared" si="296"/>
        <v>0</v>
      </c>
      <c r="BN291" s="102">
        <f>BA291*DP!$BC$45</f>
        <v>0</v>
      </c>
      <c r="BO291" s="102">
        <f>IF(BA291&gt;0,DP!$BD$45,0*1)</f>
        <v>0</v>
      </c>
      <c r="BP291" s="475">
        <f t="shared" si="297"/>
        <v>0</v>
      </c>
      <c r="BQ291" s="100"/>
      <c r="BR291" s="100"/>
      <c r="BS291" s="100"/>
      <c r="BT291" s="93">
        <f>IF(AW291=DP!$AN$15,AY291*(1+DP!$AQ$15),IF(AW291=DP!$AN$16,AY291*(1+DP!$AQ$16),IF(AW291=DP!$AN$17,AY291*(1+DP!$AQ$17),IF(AW291=DP!$AN$18,AY291*(1+DP!$AQ$18),0*1))))</f>
        <v>0</v>
      </c>
      <c r="BU291" s="102">
        <f>IF(AW291=DP!$AN$22,(DP!$AO$22),IF(AW291=DP!$AN$23,(DP!$AO$23),IF(AW291=DP!$AN$24,(DP!$AO$24),IF(AW291=DP!$AN$25,(DP!$AO$25),((0*1))))))</f>
        <v>0</v>
      </c>
      <c r="BV291" s="93">
        <f t="shared" si="298"/>
        <v>0</v>
      </c>
      <c r="BW291" s="93">
        <f>IF(AW291=DP!$AN$15,AY291*(1+DP!$AQ$15),IF(AW291=DP!$AN$16,AY291*(1+DP!$AQ$16),IF(AW291=DP!$AN$17,AY291*(1+DP!$AQ$17),IF(AW291=DP!$AN$18,AY291*(1+DP!$AQ$18),0*1))))</f>
        <v>0</v>
      </c>
      <c r="BX291" s="102">
        <f>IF(AW291=DP!$AN$22,(DP!$AP$22),IF(AW291=DP!$AN$23,(DP!$AP$23),IF(AW291=DP!$AN$24,(DP!$AP$24),IF(AW291=DP!$AN$25,(DP!$AP$25),((0*1))))))</f>
        <v>0</v>
      </c>
      <c r="BY291" s="93">
        <f t="shared" si="299"/>
        <v>0</v>
      </c>
      <c r="BZ291" s="93">
        <f>IF(AW291=DP!$AN$15,(AY291/DP!$AM$15)*(1+DP!$AQ$15),IF(AW291=DP!$AN$16,(AY291/DP!$AM$16)*(1+DP!$AQ$16),IF(AW291=DP!$AN$17,(AY291/DP!$AM$17)*(1+DP!$AQ$17),IF(AW291=DP!$AN$18,(AY291/DP!$AM$18)*(1+DP!$AQ$18),0*1))))</f>
        <v>0</v>
      </c>
      <c r="CA291" s="102">
        <f>IF(AW291=DP!$AN$22,(DP!$AQ$22),IF(AW291=DP!$AN$23,(DP!$AQ$23),IF(AW291=DP!$AN$24,(DP!$AQ$24),IF(AW291=DP!$AN$25,(DP!$AQ$25),((0*1))))))</f>
        <v>0</v>
      </c>
      <c r="CB291" s="93">
        <f t="shared" si="300"/>
        <v>0</v>
      </c>
      <c r="CC291" s="93">
        <f>IF(AW291=DP!$AN$15,AY291*(1+DP!$AQ$15),IF(AW291=DP!$AN$16,AY291*(1+DP!$AQ$16),IF(AW291=DP!$AN$17,AY291*(1+DP!$AQ$17),IF(AW291=DP!$AN$18,AY291*(1+DP!$AQ$18),0*1))))</f>
        <v>0</v>
      </c>
      <c r="CD291" s="102">
        <f>IF(AW291=DP!$AN$22,(DP!$AR$22),IF(AW291=DP!$AN$23,(DP!$AR$23),IF(AW291=DP!$AN$24,(DP!$AR$24),IF(AW291=DP!$AN$25,(DP!$AR$25),((0*1))))))</f>
        <v>0</v>
      </c>
      <c r="CE291" s="93">
        <f t="shared" si="301"/>
        <v>0</v>
      </c>
      <c r="CF291" s="100"/>
      <c r="CG291" s="149">
        <f t="shared" si="280"/>
        <v>0</v>
      </c>
      <c r="CH291" s="149">
        <f>DP!$N$35*BA291</f>
        <v>0</v>
      </c>
      <c r="CI291" s="149">
        <f>DP!$O$35*BA291</f>
        <v>0</v>
      </c>
      <c r="CJ291" s="149">
        <f>DP!$P$35*BA291</f>
        <v>0</v>
      </c>
    </row>
    <row r="292" spans="2:88" x14ac:dyDescent="0.35">
      <c r="B292" s="480">
        <f>DP!S34</f>
        <v>0</v>
      </c>
      <c r="C292" s="480">
        <f>DP!T34</f>
        <v>0</v>
      </c>
      <c r="D292" s="480">
        <f>DP!U34</f>
        <v>0</v>
      </c>
      <c r="E292" s="480">
        <f>DP!V34</f>
        <v>0</v>
      </c>
      <c r="F292" s="412">
        <f t="shared" si="281"/>
        <v>0</v>
      </c>
      <c r="G292" s="470">
        <f>DP!AE34</f>
        <v>0</v>
      </c>
      <c r="H292" s="98">
        <f t="shared" si="282"/>
        <v>0</v>
      </c>
      <c r="I292" s="97"/>
      <c r="J292" s="102">
        <f t="shared" si="272"/>
        <v>0</v>
      </c>
      <c r="K292" s="98">
        <f t="shared" si="273"/>
        <v>0</v>
      </c>
      <c r="L292" s="93">
        <f t="shared" si="274"/>
        <v>0</v>
      </c>
      <c r="M292" s="99">
        <f t="shared" si="275"/>
        <v>0</v>
      </c>
      <c r="N292" s="100"/>
      <c r="O292" s="102">
        <f>($E292/DP!$O$29)*F292</f>
        <v>0</v>
      </c>
      <c r="P292" s="102">
        <f>IF(O292&gt;0,(DP!$O$31),0*1)</f>
        <v>0</v>
      </c>
      <c r="Q292" s="102">
        <f t="shared" si="283"/>
        <v>0</v>
      </c>
      <c r="R292" s="102">
        <f t="shared" si="284"/>
        <v>0</v>
      </c>
      <c r="S292" s="418">
        <f t="shared" si="285"/>
        <v>0</v>
      </c>
      <c r="T292" s="475">
        <f>H292*DP!$AA$44</f>
        <v>0</v>
      </c>
      <c r="U292" s="475">
        <f>IF(H292&gt;0,DP!$AB$44,0*1)</f>
        <v>0</v>
      </c>
      <c r="V292" s="475">
        <f t="shared" si="286"/>
        <v>0</v>
      </c>
      <c r="W292" s="475">
        <f>H292*DP!$AA$45</f>
        <v>0</v>
      </c>
      <c r="X292" s="475">
        <f>IF(H292&gt;0,DP!$AB$45,0*1)</f>
        <v>0</v>
      </c>
      <c r="Y292" s="475">
        <f t="shared" si="287"/>
        <v>0</v>
      </c>
      <c r="Z292" s="100"/>
      <c r="AA292" s="93">
        <f>IF(D292=DP!$L$15,F292*(1+DP!$O$15),IF(D292=DP!$L$16,F292*(1+DP!$O$16),IF(D292=DP!$L$17,F292*(1+DP!$O$17),IF(D292=DP!$L$18,F292*(1+DP!$O$18),0*1))))</f>
        <v>0</v>
      </c>
      <c r="AB292" s="102">
        <f>IF(D292=DP!$L$22,(DP!$M$22),IF(D292=DP!$L$23,(DP!$M$23),IF(D292=DP!$L$24,(DP!$M$24),IF(D292=DP!$L$25,(DP!$M$25),((0*1))))))</f>
        <v>0</v>
      </c>
      <c r="AC292" s="93">
        <f t="shared" si="288"/>
        <v>0</v>
      </c>
      <c r="AD292" s="93">
        <f>IF(D292=DP!$L$15,F292*(1+DP!$O$15),IF(D292=DP!$L$16,F292*(1+DP!$O$16),IF(D292=DP!$L$17,F292*(1+DP!$O$17),IF(D292=DP!$L$18,F292*(1+DP!$O$18),0*1))))</f>
        <v>0</v>
      </c>
      <c r="AE292" s="102">
        <f>IF(D292=DP!$L$22,(DP!$N$22),IF(D292=DP!$L$23,(DP!$N$23),IF(D292=DP!$L$24,(DP!$N$24),IF(D292=DP!$L$25,(DP!$N$25),((0*1))))))</f>
        <v>0</v>
      </c>
      <c r="AF292" s="93">
        <f t="shared" si="289"/>
        <v>0</v>
      </c>
      <c r="AG292" s="93">
        <f>IF(D292=DP!$L$15,(F292/DP!$K$15)*(1+DP!$O$15),IF(D292=DP!$L$16,(F292/DP!$K$16)*(1+DP!$O$16),IF(D292=DP!$L$17,(F292/DP!$K$17)*(1+DP!$O$17),IF(D292=DP!$L$18,(F292/DP!$K$18)*(1+DP!$O$18),0*1))))</f>
        <v>0</v>
      </c>
      <c r="AH292" s="102">
        <f>IF(D292=DP!$L$22,(DP!$O$22),IF(D292=DP!$L$23,(DP!$O$23),IF(D292=DP!$L$24,(DP!$O$24),IF(D292=DP!$L$25,(DP!$O$25),((0*1))))))</f>
        <v>0</v>
      </c>
      <c r="AI292" s="93">
        <f t="shared" si="290"/>
        <v>0</v>
      </c>
      <c r="AJ292" s="93">
        <f>IF(D292=DP!$L$15,F292*(1+DP!$O$15),IF(D292=DP!$L$16,F292*(1+DP!$O$16),IF(D292=DP!$L$17,F292*(1+DP!$O$17),IF(D292=DP!$L$18,F292*(1+DP!$O$18),0*1))))</f>
        <v>0</v>
      </c>
      <c r="AK292" s="102">
        <f>IF(D292=DP!$L$22,(DP!$P$22),IF(D292=DP!$L$23,(DP!$P$23),IF(D292=DP!$L$24,(DP!$P$24),IF(D292=DP!$L$25,(DP!$P$25),((0*1))))))</f>
        <v>0</v>
      </c>
      <c r="AL292" s="93">
        <f t="shared" si="291"/>
        <v>0</v>
      </c>
      <c r="AM292" s="100"/>
      <c r="AN292" s="149">
        <f t="shared" si="276"/>
        <v>0</v>
      </c>
      <c r="AO292" s="149">
        <f>DP!$N$35*H292</f>
        <v>0</v>
      </c>
      <c r="AP292" s="149">
        <f>DP!$O$35*H292</f>
        <v>0</v>
      </c>
      <c r="AQ292" s="149">
        <f>DP!$P$35*H292</f>
        <v>0</v>
      </c>
      <c r="AV292" s="489">
        <f>DP!AV34</f>
        <v>0</v>
      </c>
      <c r="AW292" s="489">
        <f>DP!AW34</f>
        <v>0</v>
      </c>
      <c r="AX292" s="489">
        <f>DP!AX34</f>
        <v>0</v>
      </c>
      <c r="AY292" s="412">
        <f t="shared" si="292"/>
        <v>0</v>
      </c>
      <c r="AZ292" s="470">
        <f>DP!BG34</f>
        <v>0</v>
      </c>
      <c r="BA292" s="98">
        <f t="shared" si="293"/>
        <v>0</v>
      </c>
      <c r="BB292" s="97"/>
      <c r="BC292" s="102">
        <f t="shared" si="277"/>
        <v>0</v>
      </c>
      <c r="BD292" s="98">
        <f t="shared" si="278"/>
        <v>0</v>
      </c>
      <c r="BE292" s="93">
        <f t="shared" si="294"/>
        <v>0</v>
      </c>
      <c r="BF292" s="99">
        <f t="shared" si="279"/>
        <v>0</v>
      </c>
      <c r="BG292" s="100"/>
      <c r="BH292" s="102">
        <f>IFERROR((BA292*100%)/DP!$AQ$29,(0*1))</f>
        <v>0</v>
      </c>
      <c r="BI292" s="102">
        <f>IF(BH292&gt;0,(DP!$AQ$31),0*1)</f>
        <v>0</v>
      </c>
      <c r="BJ292" s="435">
        <f>BH292*BI292</f>
        <v>0</v>
      </c>
      <c r="BK292" s="475">
        <f>BA292*DP!$BC$44</f>
        <v>0</v>
      </c>
      <c r="BL292" s="475">
        <f>IF(BA292&gt;0,DP!$BD$44,0*1)</f>
        <v>0</v>
      </c>
      <c r="BM292" s="475">
        <f t="shared" si="296"/>
        <v>0</v>
      </c>
      <c r="BN292" s="102">
        <f>BA292*DP!$BC$45</f>
        <v>0</v>
      </c>
      <c r="BO292" s="102">
        <f>IF(BA292&gt;0,DP!$BD$45,0*1)</f>
        <v>0</v>
      </c>
      <c r="BP292" s="475">
        <f t="shared" si="297"/>
        <v>0</v>
      </c>
      <c r="BQ292" s="100"/>
      <c r="BR292" s="100"/>
      <c r="BS292" s="100"/>
      <c r="BT292" s="93">
        <f>IF(AW292=DP!$AN$15,AY292*(1+DP!$AQ$15),IF(AW292=DP!$AN$16,AY292*(1+DP!$AQ$16),IF(AW292=DP!$AN$17,AY292*(1+DP!$AQ$17),IF(AW292=DP!$AN$18,AY292*(1+DP!$AQ$18),0*1))))</f>
        <v>0</v>
      </c>
      <c r="BU292" s="102">
        <f>IF(AW292=DP!$AN$22,(DP!$AO$22),IF(AW292=DP!$AN$23,(DP!$AO$23),IF(AW292=DP!$AN$24,(DP!$AO$24),IF(AW292=DP!$AN$25,(DP!$AO$25),((0*1))))))</f>
        <v>0</v>
      </c>
      <c r="BV292" s="93">
        <f t="shared" si="298"/>
        <v>0</v>
      </c>
      <c r="BW292" s="93">
        <f>IF(AW292=DP!$AN$15,AY292*(1+DP!$AQ$15),IF(AW292=DP!$AN$16,AY292*(1+DP!$AQ$16),IF(AW292=DP!$AN$17,AY292*(1+DP!$AQ$17),IF(AW292=DP!$AN$18,AY292*(1+DP!$AQ$18),0*1))))</f>
        <v>0</v>
      </c>
      <c r="BX292" s="102">
        <f>IF(AW292=DP!$AN$22,(DP!$AP$22),IF(AW292=DP!$AN$23,(DP!$AP$23),IF(AW292=DP!$AN$24,(DP!$AP$24),IF(AW292=DP!$AN$25,(DP!$AP$25),((0*1))))))</f>
        <v>0</v>
      </c>
      <c r="BY292" s="93">
        <f t="shared" si="299"/>
        <v>0</v>
      </c>
      <c r="BZ292" s="93">
        <f>IF(AW292=DP!$AN$15,(AY292/DP!$AM$15)*(1+DP!$AQ$15),IF(AW292=DP!$AN$16,(AY292/DP!$AM$16)*(1+DP!$AQ$16),IF(AW292=DP!$AN$17,(AY292/DP!$AM$17)*(1+DP!$AQ$17),IF(AW292=DP!$AN$18,(AY292/DP!$AM$18)*(1+DP!$AQ$18),0*1))))</f>
        <v>0</v>
      </c>
      <c r="CA292" s="102">
        <f>IF(AW292=DP!$AN$22,(DP!$AQ$22),IF(AW292=DP!$AN$23,(DP!$AQ$23),IF(AW292=DP!$AN$24,(DP!$AQ$24),IF(AW292=DP!$AN$25,(DP!$AQ$25),((0*1))))))</f>
        <v>0</v>
      </c>
      <c r="CB292" s="93">
        <f t="shared" si="300"/>
        <v>0</v>
      </c>
      <c r="CC292" s="93">
        <f>IF(AW292=DP!$AN$15,AY292*(1+DP!$AQ$15),IF(AW292=DP!$AN$16,AY292*(1+DP!$AQ$16),IF(AW292=DP!$AN$17,AY292*(1+DP!$AQ$17),IF(AW292=DP!$AN$18,AY292*(1+DP!$AQ$18),0*1))))</f>
        <v>0</v>
      </c>
      <c r="CD292" s="102">
        <f>IF(AW292=DP!$AN$22,(DP!$AR$22),IF(AW292=DP!$AN$23,(DP!$AR$23),IF(AW292=DP!$AN$24,(DP!$AR$24),IF(AW292=DP!$AN$25,(DP!$AR$25),((0*1))))))</f>
        <v>0</v>
      </c>
      <c r="CE292" s="93">
        <f t="shared" si="301"/>
        <v>0</v>
      </c>
      <c r="CF292" s="100"/>
      <c r="CG292" s="149">
        <f t="shared" si="280"/>
        <v>0</v>
      </c>
      <c r="CH292" s="149">
        <f>DP!$N$35*BA292</f>
        <v>0</v>
      </c>
      <c r="CI292" s="149">
        <f>DP!$O$35*BA292</f>
        <v>0</v>
      </c>
      <c r="CJ292" s="149">
        <f>DP!$P$35*BA292</f>
        <v>0</v>
      </c>
    </row>
    <row r="293" spans="2:88" x14ac:dyDescent="0.35">
      <c r="B293" s="480">
        <f>DP!S35</f>
        <v>0</v>
      </c>
      <c r="C293" s="480">
        <f>DP!T35</f>
        <v>0</v>
      </c>
      <c r="D293" s="480">
        <f>DP!U35</f>
        <v>0</v>
      </c>
      <c r="E293" s="480">
        <f>DP!V35</f>
        <v>0</v>
      </c>
      <c r="F293" s="412">
        <f t="shared" si="281"/>
        <v>0</v>
      </c>
      <c r="G293" s="470">
        <f>DP!AE35</f>
        <v>0</v>
      </c>
      <c r="H293" s="98">
        <f t="shared" si="282"/>
        <v>0</v>
      </c>
      <c r="I293" s="97"/>
      <c r="J293" s="102">
        <f t="shared" si="272"/>
        <v>0</v>
      </c>
      <c r="K293" s="98">
        <f t="shared" si="273"/>
        <v>0</v>
      </c>
      <c r="L293" s="93">
        <f t="shared" si="274"/>
        <v>0</v>
      </c>
      <c r="M293" s="99">
        <f t="shared" si="275"/>
        <v>0</v>
      </c>
      <c r="N293" s="100"/>
      <c r="O293" s="102">
        <f>($E293/DP!$O$29)*F293</f>
        <v>0</v>
      </c>
      <c r="P293" s="102">
        <f>IF(O293&gt;0,(DP!$O$31),0*1)</f>
        <v>0</v>
      </c>
      <c r="Q293" s="102">
        <f t="shared" si="283"/>
        <v>0</v>
      </c>
      <c r="R293" s="102">
        <f t="shared" si="284"/>
        <v>0</v>
      </c>
      <c r="S293" s="418">
        <f t="shared" si="285"/>
        <v>0</v>
      </c>
      <c r="T293" s="475">
        <f>H293*DP!$AA$44</f>
        <v>0</v>
      </c>
      <c r="U293" s="475">
        <f>IF(H293&gt;0,DP!$AB$44,0*1)</f>
        <v>0</v>
      </c>
      <c r="V293" s="475">
        <f t="shared" si="286"/>
        <v>0</v>
      </c>
      <c r="W293" s="475">
        <f>H293*DP!$AA$45</f>
        <v>0</v>
      </c>
      <c r="X293" s="475">
        <f>IF(H293&gt;0,DP!$AB$45,0*1)</f>
        <v>0</v>
      </c>
      <c r="Y293" s="475">
        <f t="shared" si="287"/>
        <v>0</v>
      </c>
      <c r="Z293" s="100"/>
      <c r="AA293" s="93">
        <f>IF(D293=DP!$L$15,F293*(1+DP!$O$15),IF(D293=DP!$L$16,F293*(1+DP!$O$16),IF(D293=DP!$L$17,F293*(1+DP!$O$17),IF(D293=DP!$L$18,F293*(1+DP!$O$18),0*1))))</f>
        <v>0</v>
      </c>
      <c r="AB293" s="102">
        <f>IF(D293=DP!$L$22,(DP!$M$22),IF(D293=DP!$L$23,(DP!$M$23),IF(D293=DP!$L$24,(DP!$M$24),IF(D293=DP!$L$25,(DP!$M$25),((0*1))))))</f>
        <v>0</v>
      </c>
      <c r="AC293" s="93">
        <f t="shared" si="288"/>
        <v>0</v>
      </c>
      <c r="AD293" s="93">
        <f>IF(D293=DP!$L$15,F293*(1+DP!$O$15),IF(D293=DP!$L$16,F293*(1+DP!$O$16),IF(D293=DP!$L$17,F293*(1+DP!$O$17),IF(D293=DP!$L$18,F293*(1+DP!$O$18),0*1))))</f>
        <v>0</v>
      </c>
      <c r="AE293" s="102">
        <f>IF(D293=DP!$L$22,(DP!$N$22),IF(D293=DP!$L$23,(DP!$N$23),IF(D293=DP!$L$24,(DP!$N$24),IF(D293=DP!$L$25,(DP!$N$25),((0*1))))))</f>
        <v>0</v>
      </c>
      <c r="AF293" s="93">
        <f t="shared" si="289"/>
        <v>0</v>
      </c>
      <c r="AG293" s="93">
        <f>IF(D293=DP!$L$15,(F293/DP!$K$15)*(1+DP!$O$15),IF(D293=DP!$L$16,(F293/DP!$K$16)*(1+DP!$O$16),IF(D293=DP!$L$17,(F293/DP!$K$17)*(1+DP!$O$17),IF(D293=DP!$L$18,(F293/DP!$K$18)*(1+DP!$O$18),0*1))))</f>
        <v>0</v>
      </c>
      <c r="AH293" s="102">
        <f>IF(D293=DP!$L$22,(DP!$O$22),IF(D293=DP!$L$23,(DP!$O$23),IF(D293=DP!$L$24,(DP!$O$24),IF(D293=DP!$L$25,(DP!$O$25),((0*1))))))</f>
        <v>0</v>
      </c>
      <c r="AI293" s="93">
        <f t="shared" si="290"/>
        <v>0</v>
      </c>
      <c r="AJ293" s="93">
        <f>IF(D293=DP!$L$15,F293*(1+DP!$O$15),IF(D293=DP!$L$16,F293*(1+DP!$O$16),IF(D293=DP!$L$17,F293*(1+DP!$O$17),IF(D293=DP!$L$18,F293*(1+DP!$O$18),0*1))))</f>
        <v>0</v>
      </c>
      <c r="AK293" s="102">
        <f>IF(D293=DP!$L$22,(DP!$P$22),IF(D293=DP!$L$23,(DP!$P$23),IF(D293=DP!$L$24,(DP!$P$24),IF(D293=DP!$L$25,(DP!$P$25),((0*1))))))</f>
        <v>0</v>
      </c>
      <c r="AL293" s="93">
        <f t="shared" si="291"/>
        <v>0</v>
      </c>
      <c r="AM293" s="100"/>
      <c r="AN293" s="149">
        <f t="shared" si="276"/>
        <v>0</v>
      </c>
      <c r="AO293" s="149">
        <f>DP!$N$35*H293</f>
        <v>0</v>
      </c>
      <c r="AP293" s="149">
        <f>DP!$O$35*H293</f>
        <v>0</v>
      </c>
      <c r="AQ293" s="149">
        <f>DP!$P$35*H293</f>
        <v>0</v>
      </c>
      <c r="AV293" s="489">
        <f>DP!AV35</f>
        <v>0</v>
      </c>
      <c r="AW293" s="489">
        <f>DP!AW35</f>
        <v>0</v>
      </c>
      <c r="AX293" s="489">
        <f>DP!AX35</f>
        <v>0</v>
      </c>
      <c r="AY293" s="412">
        <f t="shared" si="292"/>
        <v>0</v>
      </c>
      <c r="AZ293" s="470">
        <f>DP!BG35</f>
        <v>0</v>
      </c>
      <c r="BA293" s="98">
        <f t="shared" si="293"/>
        <v>0</v>
      </c>
      <c r="BB293" s="97"/>
      <c r="BC293" s="102">
        <f t="shared" si="277"/>
        <v>0</v>
      </c>
      <c r="BD293" s="98">
        <f t="shared" si="278"/>
        <v>0</v>
      </c>
      <c r="BE293" s="93">
        <f t="shared" si="294"/>
        <v>0</v>
      </c>
      <c r="BF293" s="99">
        <f t="shared" si="279"/>
        <v>0</v>
      </c>
      <c r="BG293" s="100"/>
      <c r="BH293" s="102">
        <f>IFERROR((BA293*100%)/DP!$AQ$29,(0*1))</f>
        <v>0</v>
      </c>
      <c r="BI293" s="102">
        <f>IF(BH293&gt;0,(DP!$AQ$31),0*1)</f>
        <v>0</v>
      </c>
      <c r="BJ293" s="435">
        <f t="shared" ref="BJ293:BJ294" si="302">BH293*BI293</f>
        <v>0</v>
      </c>
      <c r="BK293" s="475">
        <f>BA293*DP!$BC$44</f>
        <v>0</v>
      </c>
      <c r="BL293" s="475">
        <f>IF(BA293&gt;0,DP!$BD$44,0*1)</f>
        <v>0</v>
      </c>
      <c r="BM293" s="475">
        <f t="shared" si="296"/>
        <v>0</v>
      </c>
      <c r="BN293" s="102">
        <f>BA293*DP!$BC$45</f>
        <v>0</v>
      </c>
      <c r="BO293" s="102">
        <f>IF(BA293&gt;0,DP!$BD$45,0*1)</f>
        <v>0</v>
      </c>
      <c r="BP293" s="475">
        <f t="shared" si="297"/>
        <v>0</v>
      </c>
      <c r="BQ293" s="100"/>
      <c r="BR293" s="100"/>
      <c r="BS293" s="100"/>
      <c r="BT293" s="93">
        <f>IF(AW293=DP!$AN$15,AY293*(1+DP!$AQ$15),IF(AW293=DP!$AN$16,AY293*(1+DP!$AQ$16),IF(AW293=DP!$AN$17,AY293*(1+DP!$AQ$17),IF(AW293=DP!$AN$18,AY293*(1+DP!$AQ$18),0*1))))</f>
        <v>0</v>
      </c>
      <c r="BU293" s="102">
        <f>IF(AW293=DP!$AN$22,(DP!$AO$22),IF(AW293=DP!$AN$23,(DP!$AO$23),IF(AW293=DP!$AN$24,(DP!$AO$24),IF(AW293=DP!$AN$25,(DP!$AO$25),((0*1))))))</f>
        <v>0</v>
      </c>
      <c r="BV293" s="93">
        <f t="shared" si="298"/>
        <v>0</v>
      </c>
      <c r="BW293" s="93">
        <f>IF(AW293=DP!$AN$15,AY293*(1+DP!$AQ$15),IF(AW293=DP!$AN$16,AY293*(1+DP!$AQ$16),IF(AW293=DP!$AN$17,AY293*(1+DP!$AQ$17),IF(AW293=DP!$AN$18,AY293*(1+DP!$AQ$18),0*1))))</f>
        <v>0</v>
      </c>
      <c r="BX293" s="102">
        <f>IF(AW293=DP!$AN$22,(DP!$AP$22),IF(AW293=DP!$AN$23,(DP!$AP$23),IF(AW293=DP!$AN$24,(DP!$AP$24),IF(AW293=DP!$AN$25,(DP!$AP$25),((0*1))))))</f>
        <v>0</v>
      </c>
      <c r="BY293" s="93">
        <f t="shared" si="299"/>
        <v>0</v>
      </c>
      <c r="BZ293" s="93">
        <f>IF(AW293=DP!$AN$15,(AY293/DP!$AM$15)*(1+DP!$AQ$15),IF(AW293=DP!$AN$16,(AY293/DP!$AM$16)*(1+DP!$AQ$16),IF(AW293=DP!$AN$17,(AY293/DP!$AM$17)*(1+DP!$AQ$17),IF(AW293=DP!$AN$18,(AY293/DP!$AM$18)*(1+DP!$AQ$18),0*1))))</f>
        <v>0</v>
      </c>
      <c r="CA293" s="102">
        <f>IF(AW293=DP!$AN$22,(DP!$AQ$22),IF(AW293=DP!$AN$23,(DP!$AQ$23),IF(AW293=DP!$AN$24,(DP!$AQ$24),IF(AW293=DP!$AN$25,(DP!$AQ$25),((0*1))))))</f>
        <v>0</v>
      </c>
      <c r="CB293" s="93">
        <f t="shared" si="300"/>
        <v>0</v>
      </c>
      <c r="CC293" s="93">
        <f>IF(AW293=DP!$AN$15,AY293*(1+DP!$AQ$15),IF(AW293=DP!$AN$16,AY293*(1+DP!$AQ$16),IF(AW293=DP!$AN$17,AY293*(1+DP!$AQ$17),IF(AW293=DP!$AN$18,AY293*(1+DP!$AQ$18),0*1))))</f>
        <v>0</v>
      </c>
      <c r="CD293" s="102">
        <f>IF(AW293=DP!$AN$22,(DP!$AR$22),IF(AW293=DP!$AN$23,(DP!$AR$23),IF(AW293=DP!$AN$24,(DP!$AR$24),IF(AW293=DP!$AN$25,(DP!$AR$25),((0*1))))))</f>
        <v>0</v>
      </c>
      <c r="CE293" s="93">
        <f t="shared" si="301"/>
        <v>0</v>
      </c>
      <c r="CF293" s="100"/>
      <c r="CG293" s="149">
        <f t="shared" si="280"/>
        <v>0</v>
      </c>
      <c r="CH293" s="149">
        <f>DP!$N$35*BA293</f>
        <v>0</v>
      </c>
      <c r="CI293" s="149">
        <f>DP!$O$35*BA293</f>
        <v>0</v>
      </c>
      <c r="CJ293" s="149">
        <f>DP!$P$35*BA293</f>
        <v>0</v>
      </c>
    </row>
    <row r="294" spans="2:88" ht="16" thickBot="1" x14ac:dyDescent="0.4">
      <c r="B294" s="480">
        <f>DP!S36</f>
        <v>0</v>
      </c>
      <c r="C294" s="480">
        <f>DP!T36</f>
        <v>0</v>
      </c>
      <c r="D294" s="480">
        <f>DP!U36</f>
        <v>0</v>
      </c>
      <c r="E294" s="480">
        <f>DP!V36</f>
        <v>0</v>
      </c>
      <c r="F294" s="412">
        <f t="shared" si="281"/>
        <v>0</v>
      </c>
      <c r="G294" s="470">
        <f>DP!AE36</f>
        <v>0</v>
      </c>
      <c r="H294" s="98">
        <f t="shared" si="282"/>
        <v>0</v>
      </c>
      <c r="I294" s="97"/>
      <c r="J294" s="102">
        <f t="shared" si="272"/>
        <v>0</v>
      </c>
      <c r="K294" s="98">
        <f t="shared" si="273"/>
        <v>0</v>
      </c>
      <c r="L294" s="93">
        <f t="shared" si="274"/>
        <v>0</v>
      </c>
      <c r="M294" s="99">
        <f t="shared" si="275"/>
        <v>0</v>
      </c>
      <c r="N294" s="100"/>
      <c r="O294" s="102">
        <f>($E294/DP!$O$29)*F294</f>
        <v>0</v>
      </c>
      <c r="P294" s="102">
        <f>IF(O294&gt;0,(DP!$O$31),0*1)</f>
        <v>0</v>
      </c>
      <c r="Q294" s="102">
        <f t="shared" si="283"/>
        <v>0</v>
      </c>
      <c r="R294" s="102">
        <f t="shared" si="284"/>
        <v>0</v>
      </c>
      <c r="S294" s="418">
        <f t="shared" si="285"/>
        <v>0</v>
      </c>
      <c r="T294" s="475">
        <f>H294*DP!$AA$44</f>
        <v>0</v>
      </c>
      <c r="U294" s="475">
        <f>IF(H294&gt;0,DP!$AB$44,0*1)</f>
        <v>0</v>
      </c>
      <c r="V294" s="475">
        <f t="shared" si="286"/>
        <v>0</v>
      </c>
      <c r="W294" s="475">
        <f>H294*DP!$AA$45</f>
        <v>0</v>
      </c>
      <c r="X294" s="475">
        <f>IF(H294&gt;0,DP!$AB$45,0*1)</f>
        <v>0</v>
      </c>
      <c r="Y294" s="475">
        <f t="shared" si="287"/>
        <v>0</v>
      </c>
      <c r="Z294" s="100"/>
      <c r="AA294" s="93">
        <f>IF(D294=DP!$L$15,F294*(1+DP!$O$15),IF(D294=DP!$L$16,F294*(1+DP!$O$16),IF(D294=DP!$L$17,F294*(1+DP!$O$17),IF(D294=DP!$L$18,F294*(1+DP!$O$18),0*1))))</f>
        <v>0</v>
      </c>
      <c r="AB294" s="102">
        <f>IF(D294=DP!$L$22,(DP!$M$22),IF(D294=DP!$L$23,(DP!$M$23),IF(D294=DP!$L$24,(DP!$M$24),IF(D294=DP!$L$25,(DP!$M$25),((0*1))))))</f>
        <v>0</v>
      </c>
      <c r="AC294" s="93">
        <f t="shared" si="288"/>
        <v>0</v>
      </c>
      <c r="AD294" s="93">
        <f>IF(D294=DP!$L$15,F294*(1+DP!$O$15),IF(D294=DP!$L$16,F294*(1+DP!$O$16),IF(D294=DP!$L$17,F294*(1+DP!$O$17),IF(D294=DP!$L$18,F294*(1+DP!$O$18),0*1))))</f>
        <v>0</v>
      </c>
      <c r="AE294" s="102">
        <f>IF(D294=DP!$L$22,(DP!$N$22),IF(D294=DP!$L$23,(DP!$N$23),IF(D294=DP!$L$24,(DP!$N$24),IF(D294=DP!$L$25,(DP!$N$25),((0*1))))))</f>
        <v>0</v>
      </c>
      <c r="AF294" s="93">
        <f t="shared" si="289"/>
        <v>0</v>
      </c>
      <c r="AG294" s="93">
        <f>IF(D294=DP!$L$15,(F294/DP!$K$15)*(1+DP!$O$15),IF(D294=DP!$L$16,(F294/DP!$K$16)*(1+DP!$O$16),IF(D294=DP!$L$17,(F294/DP!$K$17)*(1+DP!$O$17),IF(D294=DP!$L$18,(F294/DP!$K$18)*(1+DP!$O$18),0*1))))</f>
        <v>0</v>
      </c>
      <c r="AH294" s="102">
        <f>IF(D294=DP!$L$22,(DP!$O$22),IF(D294=DP!$L$23,(DP!$O$23),IF(D294=DP!$L$24,(DP!$O$24),IF(D294=DP!$L$25,(DP!$O$25),((0*1))))))</f>
        <v>0</v>
      </c>
      <c r="AI294" s="93">
        <f t="shared" si="290"/>
        <v>0</v>
      </c>
      <c r="AJ294" s="93">
        <f>IF(D294=DP!$L$15,F294*(1+DP!$O$15),IF(D294=DP!$L$16,F294*(1+DP!$O$16),IF(D294=DP!$L$17,F294*(1+DP!$O$17),IF(D294=DP!$L$18,F294*(1+DP!$O$18),0*1))))</f>
        <v>0</v>
      </c>
      <c r="AK294" s="102">
        <f>IF(D294=DP!$L$22,(DP!$P$22),IF(D294=DP!$L$23,(DP!$P$23),IF(D294=DP!$L$24,(DP!$P$24),IF(D294=DP!$L$25,(DP!$P$25),((0*1))))))</f>
        <v>0</v>
      </c>
      <c r="AL294" s="93">
        <f t="shared" si="291"/>
        <v>0</v>
      </c>
      <c r="AM294" s="100"/>
      <c r="AN294" s="149">
        <f t="shared" si="276"/>
        <v>0</v>
      </c>
      <c r="AO294" s="149">
        <f>DP!$N$35*H294</f>
        <v>0</v>
      </c>
      <c r="AP294" s="149">
        <f>DP!$O$35*H294</f>
        <v>0</v>
      </c>
      <c r="AQ294" s="149">
        <f>DP!$P$35*H294</f>
        <v>0</v>
      </c>
      <c r="AV294" s="489">
        <f>DP!AV36</f>
        <v>0</v>
      </c>
      <c r="AW294" s="489">
        <f>DP!AW36</f>
        <v>0</v>
      </c>
      <c r="AX294" s="489">
        <f>DP!AX36</f>
        <v>0</v>
      </c>
      <c r="AY294" s="412">
        <f t="shared" si="292"/>
        <v>0</v>
      </c>
      <c r="AZ294" s="470">
        <f>DP!BG36</f>
        <v>0</v>
      </c>
      <c r="BA294" s="98">
        <f t="shared" si="293"/>
        <v>0</v>
      </c>
      <c r="BB294" s="97"/>
      <c r="BC294" s="102">
        <f t="shared" si="277"/>
        <v>0</v>
      </c>
      <c r="BD294" s="98">
        <f t="shared" si="278"/>
        <v>0</v>
      </c>
      <c r="BE294" s="93">
        <f t="shared" si="294"/>
        <v>0</v>
      </c>
      <c r="BF294" s="99">
        <f t="shared" si="279"/>
        <v>0</v>
      </c>
      <c r="BG294" s="100"/>
      <c r="BH294" s="102">
        <f>IFERROR((BA294*100%)/DP!$AQ$29,(0*1))</f>
        <v>0</v>
      </c>
      <c r="BI294" s="102">
        <f>IF(BH294&gt;0,(DP!$AQ$31),0*1)</f>
        <v>0</v>
      </c>
      <c r="BJ294" s="435">
        <f t="shared" si="302"/>
        <v>0</v>
      </c>
      <c r="BK294" s="475">
        <f>BA294*DP!$BC$44</f>
        <v>0</v>
      </c>
      <c r="BL294" s="475">
        <f>IF(BA294&gt;0,DP!$BD$44,0*1)</f>
        <v>0</v>
      </c>
      <c r="BM294" s="475">
        <f t="shared" si="296"/>
        <v>0</v>
      </c>
      <c r="BN294" s="102">
        <f>BA294*DP!$BC$45</f>
        <v>0</v>
      </c>
      <c r="BO294" s="102">
        <f>IF(BA294&gt;0,DP!$BD$45,0*1)</f>
        <v>0</v>
      </c>
      <c r="BP294" s="475">
        <f t="shared" si="297"/>
        <v>0</v>
      </c>
      <c r="BQ294" s="100"/>
      <c r="BR294" s="100"/>
      <c r="BS294" s="100"/>
      <c r="BT294" s="93">
        <f>IF(AW294=DP!$AN$15,AY294*(1+DP!$AQ$15),IF(AW294=DP!$AN$16,AY294*(1+DP!$AQ$16),IF(AW294=DP!$AN$17,AY294*(1+DP!$AQ$17),IF(AW294=DP!$AN$18,AY294*(1+DP!$AQ$18),0*1))))</f>
        <v>0</v>
      </c>
      <c r="BU294" s="102">
        <f>IF(AW294=DP!$AN$22,(DP!$AO$22),IF(AW294=DP!$AN$23,(DP!$AO$23),IF(AW294=DP!$AN$24,(DP!$AO$24),IF(AW294=DP!$AN$25,(DP!$AO$25),((0*1))))))</f>
        <v>0</v>
      </c>
      <c r="BV294" s="93">
        <f t="shared" si="298"/>
        <v>0</v>
      </c>
      <c r="BW294" s="93">
        <f>IF(AW294=DP!$AN$15,AY294*(1+DP!$AQ$15),IF(AW294=DP!$AN$16,AY294*(1+DP!$AQ$16),IF(AW294=DP!$AN$17,AY294*(1+DP!$AQ$17),IF(AW294=DP!$AN$18,AY294*(1+DP!$AQ$18),0*1))))</f>
        <v>0</v>
      </c>
      <c r="BX294" s="102">
        <f>IF(AW294=DP!$AN$22,(DP!$AP$22),IF(AW294=DP!$AN$23,(DP!$AP$23),IF(AW294=DP!$AN$24,(DP!$AP$24),IF(AW294=DP!$AN$25,(DP!$AP$25),((0*1))))))</f>
        <v>0</v>
      </c>
      <c r="BY294" s="93">
        <f t="shared" si="299"/>
        <v>0</v>
      </c>
      <c r="BZ294" s="93">
        <f>IF(AW294=DP!$AN$15,(AY294/DP!$AM$15)*(1+DP!$AQ$15),IF(AW294=DP!$AN$16,(AY294/DP!$AM$16)*(1+DP!$AQ$16),IF(AW294=DP!$AN$17,(AY294/DP!$AM$17)*(1+DP!$AQ$17),IF(AW294=DP!$AN$18,(AY294/DP!$AM$18)*(1+DP!$AQ$18),0*1))))</f>
        <v>0</v>
      </c>
      <c r="CA294" s="102">
        <f>IF(AW294=DP!$AN$22,(DP!$AQ$22),IF(AW294=DP!$AN$23,(DP!$AQ$23),IF(AW294=DP!$AN$24,(DP!$AQ$24),IF(AW294=DP!$AN$25,(DP!$AQ$25),((0*1))))))</f>
        <v>0</v>
      </c>
      <c r="CB294" s="93">
        <f t="shared" si="300"/>
        <v>0</v>
      </c>
      <c r="CC294" s="93">
        <f>IF(AW294=DP!$AN$15,AY294*(1+DP!$AQ$15),IF(AW294=DP!$AN$16,AY294*(1+DP!$AQ$16),IF(AW294=DP!$AN$17,AY294*(1+DP!$AQ$17),IF(AW294=DP!$AN$18,AY294*(1+DP!$AQ$18),0*1))))</f>
        <v>0</v>
      </c>
      <c r="CD294" s="102">
        <f>IF(AW294=DP!$AN$22,(DP!$AR$22),IF(AW294=DP!$AN$23,(DP!$AR$23),IF(AW294=DP!$AN$24,(DP!$AR$24),IF(AW294=DP!$AN$25,(DP!$AR$25),((0*1))))))</f>
        <v>0</v>
      </c>
      <c r="CE294" s="93">
        <f t="shared" si="301"/>
        <v>0</v>
      </c>
      <c r="CF294" s="100"/>
      <c r="CG294" s="149">
        <f t="shared" si="280"/>
        <v>0</v>
      </c>
      <c r="CH294" s="149">
        <f>DP!$N$35*BA294</f>
        <v>0</v>
      </c>
      <c r="CI294" s="149">
        <f>DP!$O$35*BA294</f>
        <v>0</v>
      </c>
      <c r="CJ294" s="149">
        <f>DP!$P$35*BA294</f>
        <v>0</v>
      </c>
    </row>
    <row r="295" spans="2:88" ht="16" thickBot="1" x14ac:dyDescent="0.4">
      <c r="C295" s="103" t="s">
        <v>222</v>
      </c>
      <c r="D295" s="104"/>
      <c r="E295" s="104"/>
      <c r="F295" s="120">
        <f>SUM(F276:F294)</f>
        <v>0</v>
      </c>
      <c r="G295" s="411">
        <f>SUM(G276:G294)</f>
        <v>0</v>
      </c>
      <c r="H295" s="121">
        <f>SUM(H276:H294)</f>
        <v>0</v>
      </c>
      <c r="I295" s="87"/>
      <c r="J295" s="151"/>
      <c r="K295" s="106"/>
      <c r="L295" s="107">
        <f t="shared" ref="L295" si="303">SUM(L276:L294)</f>
        <v>0</v>
      </c>
      <c r="M295" s="105">
        <f>SUM(M276:M294)</f>
        <v>0</v>
      </c>
      <c r="N295" s="87"/>
      <c r="O295" s="152">
        <f>SUM(O276:O294)</f>
        <v>0</v>
      </c>
      <c r="P295" s="416"/>
      <c r="Q295" s="152">
        <f>SUM(Q276:Q294)</f>
        <v>0</v>
      </c>
      <c r="R295" s="126"/>
      <c r="S295" s="419">
        <f>SUM(S276:S294)</f>
        <v>0</v>
      </c>
      <c r="T295" s="476">
        <f>SUM(T276:T294)</f>
        <v>0</v>
      </c>
      <c r="U295" s="477"/>
      <c r="V295" s="478">
        <f>SUM(V276:V294)</f>
        <v>0</v>
      </c>
      <c r="W295" s="478">
        <f>SUM(W276:W294)</f>
        <v>0</v>
      </c>
      <c r="X295" s="477"/>
      <c r="Y295" s="479">
        <f>SUM(Y276:Y294)</f>
        <v>0</v>
      </c>
      <c r="Z295" s="87"/>
      <c r="AA295" s="152">
        <f>SUM(AA276:AA294)</f>
        <v>0</v>
      </c>
      <c r="AB295" s="77"/>
      <c r="AC295" s="153">
        <f>SUM(AC276:AC294)</f>
        <v>0</v>
      </c>
      <c r="AD295" s="153">
        <f>SUM(AD276:AD294)</f>
        <v>0</v>
      </c>
      <c r="AE295" s="77"/>
      <c r="AF295" s="153">
        <f>SUM(AF276:AF294)</f>
        <v>0</v>
      </c>
      <c r="AG295" s="153">
        <f>SUM(AG276:AG294)</f>
        <v>0</v>
      </c>
      <c r="AH295" s="77"/>
      <c r="AI295" s="153">
        <f>SUM(AI276:AI294)</f>
        <v>0</v>
      </c>
      <c r="AJ295" s="153">
        <f>SUM(AJ276:AJ294)</f>
        <v>0</v>
      </c>
      <c r="AK295" s="77"/>
      <c r="AL295" s="154">
        <f>SUM(AL276:AL294)</f>
        <v>0</v>
      </c>
      <c r="AM295" s="87"/>
      <c r="AN295" s="152">
        <f>SUM(AN276:AN294)</f>
        <v>0</v>
      </c>
      <c r="AO295" s="153">
        <f t="shared" ref="AO295:AQ295" si="304">SUM(AO276:AO294)</f>
        <v>0</v>
      </c>
      <c r="AP295" s="153">
        <f t="shared" si="304"/>
        <v>0</v>
      </c>
      <c r="AQ295" s="153">
        <f t="shared" si="304"/>
        <v>0</v>
      </c>
      <c r="AV295" s="103" t="s">
        <v>222</v>
      </c>
      <c r="AW295" s="104"/>
      <c r="AX295" s="104"/>
      <c r="AY295" s="120">
        <f>SUM(AY276:AY294)</f>
        <v>488160</v>
      </c>
      <c r="AZ295" s="411">
        <f>SUM(AZ276:AZ294)</f>
        <v>0.99999999999999989</v>
      </c>
      <c r="BA295" s="121">
        <f>SUM(BA276:BA294)</f>
        <v>183600</v>
      </c>
      <c r="BB295" s="87"/>
      <c r="BC295" s="151"/>
      <c r="BD295" s="106"/>
      <c r="BE295" s="107">
        <f>SUM(BE276:BE294)</f>
        <v>506070.51072395616</v>
      </c>
      <c r="BF295" s="105">
        <f>SUM(BF276:BF294)</f>
        <v>438138.5107239561</v>
      </c>
      <c r="BG295" s="87"/>
      <c r="BH295" s="152">
        <f>SUM(BH276:BH294)</f>
        <v>408000</v>
      </c>
      <c r="BI295" s="126"/>
      <c r="BJ295" s="419">
        <f>SUM(BJ276:BJ294)</f>
        <v>183600</v>
      </c>
      <c r="BK295" s="492">
        <f>SUM(BK276:BK294)</f>
        <v>459</v>
      </c>
      <c r="BL295" s="491"/>
      <c r="BM295" s="492">
        <f>SUM(BM276:BM294)</f>
        <v>436.04999999999995</v>
      </c>
      <c r="BN295" s="492">
        <f>SUM(BN276:BN294)</f>
        <v>30477.599999999999</v>
      </c>
      <c r="BO295" s="491"/>
      <c r="BP295" s="492">
        <f>SUM(BP276:BP294)</f>
        <v>23443.369920000001</v>
      </c>
      <c r="BQ295" s="87"/>
      <c r="BR295" s="87"/>
      <c r="BS295" s="87"/>
      <c r="BT295" s="152">
        <f>SUM(BT276:BT294)</f>
        <v>490600.8</v>
      </c>
      <c r="BU295" s="77"/>
      <c r="BV295" s="153">
        <f>SUM(BV276:BV294)</f>
        <v>113945.292</v>
      </c>
      <c r="BW295" s="153">
        <f>SUM(BW276:BW294)</f>
        <v>490600.8</v>
      </c>
      <c r="BX295" s="77"/>
      <c r="BY295" s="153">
        <f>SUM(BY276:BY294)</f>
        <v>28643.705999999998</v>
      </c>
      <c r="BZ295" s="153">
        <f>SUM(BZ276:BZ294)</f>
        <v>25054.649999999994</v>
      </c>
      <c r="CA295" s="77"/>
      <c r="CB295" s="153">
        <f>SUM(CB276:CB294)</f>
        <v>12827.98079999999</v>
      </c>
      <c r="CC295" s="153">
        <f>SUM(CC276:CC294)</f>
        <v>490600.8</v>
      </c>
      <c r="CD295" s="77"/>
      <c r="CE295" s="154">
        <f>SUM(CE276:CE294)</f>
        <v>16212.38275862069</v>
      </c>
      <c r="CF295" s="87"/>
      <c r="CG295" s="152">
        <f>SUM(CG276:CG294)</f>
        <v>59029.729245335482</v>
      </c>
      <c r="CH295" s="153">
        <f t="shared" ref="CH295:CJ295" si="305">SUM(CH276:CH294)</f>
        <v>2637.9310344827586</v>
      </c>
      <c r="CI295" s="153">
        <f t="shared" si="305"/>
        <v>10024.137931034486</v>
      </c>
      <c r="CJ295" s="153">
        <f t="shared" si="305"/>
        <v>67932</v>
      </c>
    </row>
    <row r="296" spans="2:88" x14ac:dyDescent="0.35">
      <c r="C296" s="108"/>
      <c r="D296" s="108"/>
      <c r="E296" s="108"/>
      <c r="F296" s="87"/>
      <c r="G296" s="87"/>
      <c r="H296" s="87"/>
      <c r="I296" s="109"/>
      <c r="J296" s="87"/>
      <c r="K296" s="87"/>
      <c r="L296" s="87"/>
      <c r="M296" s="87"/>
      <c r="N296" s="87"/>
      <c r="O296" s="220"/>
      <c r="P296" s="220"/>
      <c r="Q296" s="220"/>
      <c r="R296" s="87"/>
      <c r="S296" s="422">
        <f>Q295</f>
        <v>0</v>
      </c>
      <c r="T296"/>
      <c r="U296"/>
      <c r="V296"/>
      <c r="W296"/>
      <c r="X296"/>
      <c r="Y296"/>
      <c r="Z296" s="87"/>
      <c r="AA296" s="87"/>
      <c r="AB296" s="87"/>
      <c r="AC296" s="87"/>
      <c r="AD296" s="87"/>
      <c r="AM296" s="87"/>
      <c r="AN296" s="420">
        <f>IFERROR(IF(DP!$C$16=PS!$B$3,PS!$K$23*D271/(D271+AW271),IF(DP!$C$16=PS!$N$3,PS!$AC$23*D271/(D271+AW271),IF(DP!$C$16=PS!$AF$3,PS!$AP$23*D271/(D271+AW271)))),0*1)</f>
        <v>0</v>
      </c>
      <c r="AO296" s="220"/>
      <c r="AP296" s="220"/>
      <c r="AQ296" s="433"/>
      <c r="AV296" s="108"/>
      <c r="AW296" s="108"/>
      <c r="AX296" s="108"/>
      <c r="AY296" s="87"/>
      <c r="AZ296" s="87"/>
      <c r="BA296" s="87"/>
      <c r="BB296" s="109"/>
      <c r="BC296" s="87"/>
      <c r="BD296" s="87"/>
      <c r="BE296" s="87"/>
      <c r="BF296" s="87"/>
      <c r="BG296" s="87"/>
      <c r="BH296" s="87"/>
      <c r="BI296" s="87"/>
      <c r="BJ296" s="87"/>
      <c r="BK296"/>
      <c r="BL296"/>
      <c r="BM296"/>
      <c r="BN296"/>
      <c r="BO296"/>
      <c r="BP296"/>
      <c r="BQ296" s="87"/>
      <c r="BR296" s="87"/>
      <c r="BS296" s="87"/>
      <c r="BT296" s="87"/>
      <c r="BU296" s="87"/>
      <c r="BV296" s="87"/>
      <c r="BW296" s="87"/>
      <c r="CF296" s="87"/>
      <c r="CG296" s="420">
        <f>IFERROR(IF(DP!$C$16=PS!$B$3,PS!$K$23*AW271/(AW271+D271),IF(DP!$C$16=PS!$N$3,PS!$AC$23*AW271/(AW271+D271),IF(DP!$C$16=PS!$AF$3,PS!$AP$23*AW271/(AW271+D271)))),0*1)</f>
        <v>59029.729245335482</v>
      </c>
      <c r="CH296" s="220"/>
      <c r="CI296" s="220"/>
      <c r="CJ296" s="433"/>
    </row>
    <row r="297" spans="2:88" x14ac:dyDescent="0.35">
      <c r="C297" s="108"/>
      <c r="D297" s="108"/>
      <c r="E297" s="108"/>
      <c r="F297" s="87"/>
      <c r="G297" s="87"/>
      <c r="H297" s="87"/>
      <c r="I297" s="109"/>
      <c r="J297" s="87"/>
      <c r="K297" s="87"/>
      <c r="L297" s="87"/>
      <c r="M297" s="87"/>
      <c r="N297" s="87"/>
      <c r="O297" s="87"/>
      <c r="P297" s="87"/>
      <c r="Q297" s="87"/>
      <c r="T297" s="87"/>
      <c r="U297" s="87"/>
      <c r="V297" s="87"/>
      <c r="W297" s="87"/>
      <c r="X297" s="87"/>
      <c r="Y297" s="87"/>
      <c r="Z297" s="87"/>
      <c r="AM297" s="87"/>
      <c r="AV297" s="108"/>
      <c r="AW297" s="108"/>
      <c r="AX297" s="108"/>
      <c r="AY297" s="87"/>
      <c r="AZ297" s="87"/>
      <c r="BA297" s="87"/>
      <c r="BB297" s="109"/>
      <c r="BC297" s="87"/>
      <c r="BD297" s="87"/>
      <c r="BE297" s="87"/>
      <c r="BF297" s="87"/>
      <c r="BG297" s="87"/>
      <c r="BH297" s="87"/>
      <c r="BK297" s="87"/>
      <c r="BL297" s="87"/>
      <c r="BM297" s="87"/>
      <c r="BN297" s="87"/>
      <c r="BO297" s="87"/>
      <c r="BP297" s="87"/>
      <c r="BQ297" s="87"/>
      <c r="BR297" s="87"/>
      <c r="BS297" s="87"/>
      <c r="BT297"/>
      <c r="BU297"/>
      <c r="BV297"/>
      <c r="BW297"/>
      <c r="BX297"/>
      <c r="BY297"/>
      <c r="BZ297"/>
      <c r="CA297"/>
      <c r="CB297"/>
      <c r="CC297"/>
      <c r="CF297" s="87"/>
    </row>
    <row r="298" spans="2:88" x14ac:dyDescent="0.35">
      <c r="C298" s="108"/>
      <c r="D298" s="108"/>
      <c r="E298" s="108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116" t="s">
        <v>228</v>
      </c>
      <c r="S298" s="94">
        <f>IFERROR((SUMIF(B276:B294,1,H276:H294))/H295*S296,0*1)</f>
        <v>0</v>
      </c>
      <c r="T298" s="109"/>
      <c r="U298" s="87"/>
      <c r="V298" s="87"/>
      <c r="W298" s="87"/>
      <c r="X298" s="87"/>
      <c r="Y298" s="87"/>
      <c r="Z298" s="87"/>
      <c r="AM298" s="87"/>
      <c r="AV298" s="108"/>
      <c r="AW298" s="108"/>
      <c r="AX298" s="108"/>
      <c r="AY298" s="87"/>
      <c r="AZ298" s="87"/>
      <c r="BA298" s="87"/>
      <c r="BB298" s="87"/>
      <c r="BC298" s="87"/>
      <c r="BD298" s="87"/>
      <c r="BE298" s="87"/>
      <c r="BF298" s="87"/>
      <c r="BG298" s="87"/>
      <c r="BK298" s="109"/>
      <c r="BL298" s="87"/>
      <c r="BM298" s="87"/>
      <c r="BN298" s="87"/>
      <c r="BO298" s="87"/>
      <c r="BP298" s="87"/>
      <c r="BQ298" s="87"/>
      <c r="BR298" s="87"/>
      <c r="BS298" s="87"/>
      <c r="BT298"/>
      <c r="BU298"/>
      <c r="BV298"/>
      <c r="BW298"/>
      <c r="BX298"/>
      <c r="BY298"/>
      <c r="BZ298"/>
      <c r="CA298"/>
      <c r="CB298"/>
      <c r="CC298"/>
      <c r="CF298" s="87"/>
    </row>
    <row r="299" spans="2:88" x14ac:dyDescent="0.35">
      <c r="C299" s="108"/>
      <c r="D299" s="108"/>
      <c r="E299" s="108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116" t="s">
        <v>229</v>
      </c>
      <c r="S299" s="94">
        <f>S296-S298</f>
        <v>0</v>
      </c>
      <c r="T299" s="109"/>
      <c r="U299" s="87"/>
      <c r="V299" s="87"/>
      <c r="W299" s="87"/>
      <c r="X299" s="87"/>
      <c r="Y299" s="87"/>
      <c r="Z299" s="87"/>
      <c r="AM299" s="87"/>
      <c r="AV299" s="108"/>
      <c r="AW299" s="108"/>
      <c r="AX299" s="108"/>
      <c r="AY299" s="87"/>
      <c r="AZ299" s="87"/>
      <c r="BA299" s="87"/>
      <c r="BB299" s="87"/>
      <c r="BC299" s="87"/>
      <c r="BD299" s="87"/>
      <c r="BE299" s="87"/>
      <c r="BF299" s="87"/>
      <c r="BG299" s="87"/>
      <c r="BK299" s="109"/>
      <c r="BL299" s="87"/>
      <c r="BM299" s="87"/>
      <c r="BN299" s="87"/>
      <c r="BO299" s="87"/>
      <c r="BP299" s="87"/>
      <c r="BQ299" s="87"/>
      <c r="BR299" s="87"/>
      <c r="BS299" s="87"/>
      <c r="BT299"/>
      <c r="BU299"/>
      <c r="BV299"/>
      <c r="BW299"/>
      <c r="BX299"/>
      <c r="BY299"/>
      <c r="BZ299"/>
      <c r="CA299"/>
      <c r="CB299"/>
      <c r="CC299"/>
      <c r="CF299" s="87"/>
    </row>
    <row r="300" spans="2:88" x14ac:dyDescent="0.35">
      <c r="C300" s="108"/>
      <c r="D300" s="108"/>
      <c r="E300" s="108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T300" s="87"/>
      <c r="U300" s="87"/>
      <c r="V300" s="87"/>
      <c r="W300" s="87"/>
      <c r="X300" s="87"/>
      <c r="Y300" s="87"/>
      <c r="Z300" s="87"/>
      <c r="AM300" s="87"/>
      <c r="AV300" s="108"/>
      <c r="AW300" s="108"/>
      <c r="AX300" s="108"/>
      <c r="AY300" s="87"/>
      <c r="AZ300" s="87"/>
      <c r="BA300" s="87"/>
      <c r="BB300" s="87"/>
      <c r="BC300" s="87"/>
      <c r="BD300" s="87"/>
      <c r="BE300" s="87"/>
      <c r="BF300" s="87"/>
      <c r="BG300" s="87"/>
      <c r="BK300" s="87"/>
      <c r="BL300" s="87"/>
      <c r="BM300" s="87"/>
      <c r="BN300" s="87"/>
      <c r="BO300" s="87"/>
      <c r="BP300" s="87"/>
      <c r="BQ300" s="87"/>
      <c r="BR300" s="87"/>
      <c r="BS300" s="87"/>
      <c r="BT300"/>
      <c r="BU300"/>
      <c r="BV300"/>
      <c r="BW300"/>
      <c r="BX300"/>
      <c r="BY300"/>
      <c r="BZ300"/>
      <c r="CA300"/>
      <c r="CB300"/>
      <c r="CC300"/>
      <c r="CF300" s="87"/>
    </row>
    <row r="301" spans="2:88" x14ac:dyDescent="0.35">
      <c r="C301" s="108"/>
      <c r="D301" s="108"/>
      <c r="E301" s="108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T301" s="87"/>
      <c r="U301" s="87"/>
      <c r="V301" s="87"/>
      <c r="W301" s="87"/>
      <c r="X301" s="87"/>
      <c r="Y301" s="87"/>
      <c r="Z301" s="87"/>
      <c r="AM301" s="87"/>
      <c r="AV301" s="108"/>
      <c r="AW301" s="108"/>
      <c r="AX301" s="108"/>
      <c r="AY301" s="87"/>
      <c r="AZ301" s="87"/>
      <c r="BA301" s="87"/>
      <c r="BB301" s="87"/>
      <c r="BC301" s="87"/>
      <c r="BD301" s="87"/>
      <c r="BE301" s="87"/>
      <c r="BF301" s="87"/>
      <c r="BG301" s="87"/>
      <c r="BH301" s="87"/>
      <c r="BK301" s="87"/>
      <c r="BL301" s="87"/>
      <c r="BM301" s="87"/>
      <c r="BN301" s="87"/>
      <c r="BO301" s="87"/>
      <c r="BP301" s="87"/>
      <c r="BQ301" s="87"/>
      <c r="BR301" s="87"/>
      <c r="BS301" s="87"/>
      <c r="BT301"/>
      <c r="BU301"/>
      <c r="BV301"/>
      <c r="BW301"/>
      <c r="BX301"/>
      <c r="BY301"/>
      <c r="BZ301"/>
      <c r="CA301"/>
      <c r="CB301"/>
      <c r="CC301"/>
      <c r="CF301" s="87"/>
    </row>
    <row r="302" spans="2:88" x14ac:dyDescent="0.35">
      <c r="C302" s="108"/>
      <c r="D302" s="108"/>
      <c r="E302" s="108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T302" s="87"/>
      <c r="U302" s="87"/>
      <c r="V302" s="87"/>
      <c r="W302" s="87"/>
      <c r="X302" s="87"/>
      <c r="Y302" s="87"/>
      <c r="Z302" s="87"/>
      <c r="AM302" s="87"/>
      <c r="AV302" s="108"/>
      <c r="AW302" s="108"/>
      <c r="AX302" s="108"/>
      <c r="AY302" s="87"/>
      <c r="AZ302" s="87"/>
      <c r="BA302" s="87"/>
      <c r="BB302" s="87"/>
      <c r="BC302" s="87"/>
      <c r="BD302" s="87"/>
      <c r="BE302" s="87"/>
      <c r="BF302" s="87"/>
      <c r="BG302" s="87"/>
      <c r="BH302" s="87"/>
      <c r="BK302" s="87"/>
      <c r="BL302" s="87"/>
      <c r="BM302" s="87"/>
      <c r="BN302" s="87"/>
      <c r="BO302" s="87"/>
      <c r="BP302" s="87"/>
      <c r="BQ302" s="87"/>
      <c r="BR302" s="87"/>
      <c r="BS302" s="87"/>
      <c r="BT302"/>
      <c r="BU302"/>
      <c r="BV302"/>
      <c r="BW302"/>
      <c r="BX302"/>
      <c r="BY302"/>
      <c r="BZ302"/>
      <c r="CA302"/>
      <c r="CB302"/>
      <c r="CC302"/>
      <c r="CF302" s="87"/>
    </row>
    <row r="303" spans="2:88" x14ac:dyDescent="0.35">
      <c r="AV303" s="108"/>
      <c r="AW303" s="108"/>
      <c r="AX303" s="108"/>
      <c r="AY303" s="87"/>
      <c r="AZ303" s="87"/>
      <c r="BA303" s="87"/>
      <c r="BB303" s="87"/>
      <c r="BC303" s="87"/>
      <c r="BD303" s="87"/>
      <c r="BE303" s="87"/>
      <c r="BF303" s="87"/>
      <c r="BG303" s="87"/>
      <c r="BH303" s="87"/>
      <c r="BK303" s="87"/>
      <c r="BL303" s="87"/>
      <c r="BM303" s="87"/>
      <c r="BN303" s="87"/>
      <c r="BO303" s="87"/>
      <c r="BP303" s="87"/>
      <c r="BQ303" s="87"/>
      <c r="BR303" s="87"/>
      <c r="BS303" s="87"/>
      <c r="BU303" s="87"/>
      <c r="BV303" s="87"/>
      <c r="BW303" s="87"/>
      <c r="CF303" s="87"/>
    </row>
    <row r="304" spans="2:88" ht="16" thickBot="1" x14ac:dyDescent="0.4">
      <c r="C304" s="421" t="s">
        <v>345</v>
      </c>
      <c r="D304" s="482">
        <f>DP!AF14</f>
        <v>0</v>
      </c>
      <c r="E304" s="108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T304" s="87"/>
      <c r="U304" s="87"/>
      <c r="V304" s="87"/>
      <c r="W304" s="87"/>
      <c r="X304" s="87"/>
      <c r="Y304" s="87"/>
      <c r="Z304" s="87"/>
      <c r="AA304" s="87"/>
      <c r="AB304" s="87"/>
      <c r="AC304" s="87"/>
      <c r="AD304" s="87"/>
      <c r="AM304" s="87"/>
      <c r="AV304" s="421" t="s">
        <v>356</v>
      </c>
      <c r="AW304" s="482">
        <f>DP!BH14</f>
        <v>183600</v>
      </c>
      <c r="AX304" s="108"/>
      <c r="AY304" s="87"/>
      <c r="AZ304" s="87"/>
      <c r="BA304" s="87"/>
      <c r="BB304" s="87"/>
      <c r="BC304" s="87"/>
      <c r="BD304" s="87"/>
      <c r="BE304" s="87"/>
      <c r="BF304" s="87"/>
      <c r="BG304" s="87"/>
      <c r="BH304" s="87"/>
      <c r="BK304" s="87"/>
      <c r="BL304" s="87"/>
      <c r="BM304" s="87"/>
      <c r="BN304" s="87"/>
      <c r="BO304" s="87"/>
      <c r="BP304" s="87"/>
      <c r="BQ304" s="87"/>
      <c r="BR304" s="87"/>
      <c r="BS304" s="87"/>
      <c r="BT304" s="87"/>
      <c r="BU304" s="87"/>
      <c r="BV304" s="87"/>
      <c r="BW304" s="87"/>
      <c r="CF304" s="87"/>
    </row>
    <row r="305" spans="2:88" ht="15.5" customHeight="1" x14ac:dyDescent="0.35">
      <c r="C305" s="1026" t="s">
        <v>78</v>
      </c>
      <c r="D305" s="1009" t="s">
        <v>169</v>
      </c>
      <c r="E305" s="1010"/>
      <c r="F305" s="1010"/>
      <c r="G305" s="1010"/>
      <c r="H305" s="1011"/>
      <c r="I305" s="130"/>
      <c r="J305" s="1015" t="s">
        <v>170</v>
      </c>
      <c r="K305" s="1015" t="s">
        <v>215</v>
      </c>
      <c r="L305" s="1015" t="s">
        <v>216</v>
      </c>
      <c r="M305" s="1017" t="s">
        <v>217</v>
      </c>
      <c r="N305" s="130"/>
      <c r="O305" s="1019" t="s">
        <v>213</v>
      </c>
      <c r="P305" s="1007"/>
      <c r="Q305" s="1007"/>
      <c r="R305" s="1007"/>
      <c r="S305" s="1007"/>
      <c r="T305" s="1007"/>
      <c r="U305" s="1007"/>
      <c r="V305" s="1007"/>
      <c r="W305" s="1007"/>
      <c r="X305" s="1007"/>
      <c r="Y305" s="1007"/>
      <c r="Z305" s="130"/>
      <c r="AA305" s="1019" t="s">
        <v>180</v>
      </c>
      <c r="AB305" s="1007"/>
      <c r="AC305" s="1007"/>
      <c r="AD305" s="1007"/>
      <c r="AE305" s="1007"/>
      <c r="AF305" s="1007"/>
      <c r="AG305" s="1007"/>
      <c r="AH305" s="1007"/>
      <c r="AI305" s="1007"/>
      <c r="AJ305" s="1007"/>
      <c r="AK305" s="1007"/>
      <c r="AL305" s="1020"/>
      <c r="AM305" s="130"/>
      <c r="AN305" s="131" t="s">
        <v>214</v>
      </c>
      <c r="AO305" s="1006" t="s">
        <v>361</v>
      </c>
      <c r="AP305" s="1007"/>
      <c r="AQ305" s="1008"/>
      <c r="AV305" s="1026" t="s">
        <v>78</v>
      </c>
      <c r="AW305" s="1009" t="s">
        <v>169</v>
      </c>
      <c r="AX305" s="1010"/>
      <c r="AY305" s="1010"/>
      <c r="AZ305" s="1010"/>
      <c r="BA305" s="1011"/>
      <c r="BB305" s="130"/>
      <c r="BC305" s="1015" t="s">
        <v>170</v>
      </c>
      <c r="BD305" s="1015" t="s">
        <v>215</v>
      </c>
      <c r="BE305" s="1015" t="s">
        <v>216</v>
      </c>
      <c r="BF305" s="1017" t="s">
        <v>217</v>
      </c>
      <c r="BG305" s="130"/>
      <c r="BH305" s="1019" t="s">
        <v>213</v>
      </c>
      <c r="BI305" s="1007"/>
      <c r="BJ305" s="1007"/>
      <c r="BK305" s="1007"/>
      <c r="BL305" s="1007"/>
      <c r="BM305" s="1007"/>
      <c r="BN305" s="1007"/>
      <c r="BO305" s="1007"/>
      <c r="BP305" s="1007"/>
      <c r="BQ305" s="130"/>
      <c r="BR305" s="130"/>
      <c r="BS305" s="130"/>
      <c r="BT305" s="1019" t="s">
        <v>180</v>
      </c>
      <c r="BU305" s="1007"/>
      <c r="BV305" s="1007"/>
      <c r="BW305" s="1007"/>
      <c r="BX305" s="1007"/>
      <c r="BY305" s="1007"/>
      <c r="BZ305" s="1007"/>
      <c r="CA305" s="1007"/>
      <c r="CB305" s="1007"/>
      <c r="CC305" s="1007"/>
      <c r="CD305" s="1007"/>
      <c r="CE305" s="1020"/>
      <c r="CF305" s="130"/>
      <c r="CG305" s="131" t="s">
        <v>214</v>
      </c>
      <c r="CH305" s="1006" t="s">
        <v>361</v>
      </c>
      <c r="CI305" s="1007"/>
      <c r="CJ305" s="1008"/>
    </row>
    <row r="306" spans="2:88" ht="30.5" thickBot="1" x14ac:dyDescent="0.4">
      <c r="C306" s="1027"/>
      <c r="D306" s="1012"/>
      <c r="E306" s="1013"/>
      <c r="F306" s="1013"/>
      <c r="G306" s="1013"/>
      <c r="H306" s="1014"/>
      <c r="I306" s="130"/>
      <c r="J306" s="1016"/>
      <c r="K306" s="1016"/>
      <c r="L306" s="1016"/>
      <c r="M306" s="1018"/>
      <c r="N306" s="130"/>
      <c r="O306" s="134" t="s">
        <v>218</v>
      </c>
      <c r="P306" s="415"/>
      <c r="Q306" s="415"/>
      <c r="R306" s="135"/>
      <c r="S306" s="135"/>
      <c r="T306" s="69" t="s">
        <v>171</v>
      </c>
      <c r="U306" s="69"/>
      <c r="V306" s="69"/>
      <c r="W306" s="69" t="s">
        <v>172</v>
      </c>
      <c r="X306" s="69"/>
      <c r="Y306" s="69"/>
      <c r="Z306" s="130"/>
      <c r="AA306" s="1021" t="s">
        <v>173</v>
      </c>
      <c r="AB306" s="1022"/>
      <c r="AC306" s="1023"/>
      <c r="AD306" s="1024" t="s">
        <v>174</v>
      </c>
      <c r="AE306" s="1022"/>
      <c r="AF306" s="1023"/>
      <c r="AG306" s="1024" t="s">
        <v>175</v>
      </c>
      <c r="AH306" s="1022"/>
      <c r="AI306" s="1023"/>
      <c r="AJ306" s="1024" t="s">
        <v>176</v>
      </c>
      <c r="AK306" s="1022"/>
      <c r="AL306" s="1025"/>
      <c r="AM306" s="130"/>
      <c r="AN306" s="115" t="s">
        <v>177</v>
      </c>
      <c r="AO306" s="458" t="s">
        <v>362</v>
      </c>
      <c r="AP306" s="458" t="s">
        <v>363</v>
      </c>
      <c r="AQ306" s="494" t="s">
        <v>364</v>
      </c>
      <c r="AV306" s="1027"/>
      <c r="AW306" s="1012"/>
      <c r="AX306" s="1013"/>
      <c r="AY306" s="1013"/>
      <c r="AZ306" s="1013"/>
      <c r="BA306" s="1014"/>
      <c r="BB306" s="130"/>
      <c r="BC306" s="1016"/>
      <c r="BD306" s="1016"/>
      <c r="BE306" s="1016"/>
      <c r="BF306" s="1018"/>
      <c r="BG306" s="130"/>
      <c r="BH306" s="1031" t="s">
        <v>234</v>
      </c>
      <c r="BI306" s="1032"/>
      <c r="BJ306" s="1033"/>
      <c r="BK306" s="1024" t="s">
        <v>171</v>
      </c>
      <c r="BL306" s="1022"/>
      <c r="BM306" s="1023"/>
      <c r="BN306" s="1024" t="s">
        <v>231</v>
      </c>
      <c r="BO306" s="1022"/>
      <c r="BP306" s="1023"/>
      <c r="BQ306" s="130"/>
      <c r="BR306" s="130"/>
      <c r="BS306" s="130"/>
      <c r="BT306" s="1021" t="s">
        <v>173</v>
      </c>
      <c r="BU306" s="1022"/>
      <c r="BV306" s="1023"/>
      <c r="BW306" s="1024" t="s">
        <v>174</v>
      </c>
      <c r="BX306" s="1022"/>
      <c r="BY306" s="1023"/>
      <c r="BZ306" s="1024" t="s">
        <v>175</v>
      </c>
      <c r="CA306" s="1022"/>
      <c r="CB306" s="1023"/>
      <c r="CC306" s="1024" t="s">
        <v>176</v>
      </c>
      <c r="CD306" s="1022"/>
      <c r="CE306" s="1025"/>
      <c r="CF306" s="130"/>
      <c r="CG306" s="495" t="s">
        <v>177</v>
      </c>
      <c r="CH306" s="458" t="s">
        <v>362</v>
      </c>
      <c r="CI306" s="458" t="s">
        <v>363</v>
      </c>
      <c r="CJ306" s="629" t="s">
        <v>364</v>
      </c>
    </row>
    <row r="307" spans="2:88" ht="16" thickBot="1" x14ac:dyDescent="0.4">
      <c r="C307" s="1028"/>
      <c r="D307" s="111" t="s">
        <v>225</v>
      </c>
      <c r="E307" s="111"/>
      <c r="F307" s="112" t="s">
        <v>178</v>
      </c>
      <c r="G307" s="113" t="s">
        <v>226</v>
      </c>
      <c r="H307" s="114" t="s">
        <v>227</v>
      </c>
      <c r="I307" s="136"/>
      <c r="J307" s="119" t="s">
        <v>179</v>
      </c>
      <c r="K307" s="137" t="s">
        <v>224</v>
      </c>
      <c r="L307" s="137" t="s">
        <v>224</v>
      </c>
      <c r="M307" s="138" t="s">
        <v>224</v>
      </c>
      <c r="N307" s="136"/>
      <c r="O307" s="118" t="s">
        <v>223</v>
      </c>
      <c r="P307" s="119" t="s">
        <v>179</v>
      </c>
      <c r="Q307" s="137" t="s">
        <v>224</v>
      </c>
      <c r="R307" s="119" t="s">
        <v>330</v>
      </c>
      <c r="S307" s="137" t="s">
        <v>224</v>
      </c>
      <c r="T307" s="119" t="s">
        <v>219</v>
      </c>
      <c r="U307" s="119" t="s">
        <v>179</v>
      </c>
      <c r="V307" s="137" t="s">
        <v>224</v>
      </c>
      <c r="W307" s="119" t="s">
        <v>219</v>
      </c>
      <c r="X307" s="119" t="s">
        <v>179</v>
      </c>
      <c r="Y307" s="137" t="s">
        <v>224</v>
      </c>
      <c r="Z307" s="136"/>
      <c r="AA307" s="118" t="s">
        <v>220</v>
      </c>
      <c r="AB307" s="119" t="s">
        <v>179</v>
      </c>
      <c r="AC307" s="137" t="s">
        <v>224</v>
      </c>
      <c r="AD307" s="119" t="s">
        <v>220</v>
      </c>
      <c r="AE307" s="119" t="s">
        <v>179</v>
      </c>
      <c r="AF307" s="137" t="s">
        <v>224</v>
      </c>
      <c r="AG307" s="119" t="s">
        <v>220</v>
      </c>
      <c r="AH307" s="119" t="s">
        <v>179</v>
      </c>
      <c r="AI307" s="137" t="s">
        <v>224</v>
      </c>
      <c r="AJ307" s="119" t="s">
        <v>221</v>
      </c>
      <c r="AK307" s="119" t="s">
        <v>179</v>
      </c>
      <c r="AL307" s="138" t="s">
        <v>224</v>
      </c>
      <c r="AM307" s="136"/>
      <c r="AN307" s="139" t="s">
        <v>224</v>
      </c>
      <c r="AO307" s="137" t="s">
        <v>224</v>
      </c>
      <c r="AP307" s="137" t="s">
        <v>224</v>
      </c>
      <c r="AQ307" s="137" t="s">
        <v>224</v>
      </c>
      <c r="AV307" s="1028"/>
      <c r="AW307" s="111" t="s">
        <v>225</v>
      </c>
      <c r="AX307" s="111"/>
      <c r="AY307" s="112" t="s">
        <v>178</v>
      </c>
      <c r="AZ307" s="113" t="s">
        <v>226</v>
      </c>
      <c r="BA307" s="114" t="s">
        <v>227</v>
      </c>
      <c r="BB307" s="136"/>
      <c r="BC307" s="119" t="s">
        <v>179</v>
      </c>
      <c r="BD307" s="137" t="s">
        <v>224</v>
      </c>
      <c r="BE307" s="137" t="s">
        <v>224</v>
      </c>
      <c r="BF307" s="138" t="s">
        <v>224</v>
      </c>
      <c r="BG307" s="136"/>
      <c r="BH307" s="118" t="s">
        <v>219</v>
      </c>
      <c r="BI307" s="119" t="s">
        <v>179</v>
      </c>
      <c r="BJ307" s="137" t="s">
        <v>224</v>
      </c>
      <c r="BK307" s="119" t="s">
        <v>219</v>
      </c>
      <c r="BL307" s="119" t="s">
        <v>179</v>
      </c>
      <c r="BM307" s="137" t="s">
        <v>224</v>
      </c>
      <c r="BN307" s="119" t="s">
        <v>219</v>
      </c>
      <c r="BO307" s="119" t="s">
        <v>179</v>
      </c>
      <c r="BP307" s="137" t="s">
        <v>224</v>
      </c>
      <c r="BQ307" s="136"/>
      <c r="BR307" s="136"/>
      <c r="BS307" s="136"/>
      <c r="BT307" s="118" t="s">
        <v>220</v>
      </c>
      <c r="BU307" s="119" t="s">
        <v>179</v>
      </c>
      <c r="BV307" s="137" t="s">
        <v>224</v>
      </c>
      <c r="BW307" s="119" t="s">
        <v>220</v>
      </c>
      <c r="BX307" s="119" t="s">
        <v>179</v>
      </c>
      <c r="BY307" s="137" t="s">
        <v>224</v>
      </c>
      <c r="BZ307" s="119" t="s">
        <v>220</v>
      </c>
      <c r="CA307" s="119" t="s">
        <v>179</v>
      </c>
      <c r="CB307" s="137" t="s">
        <v>224</v>
      </c>
      <c r="CC307" s="119" t="s">
        <v>221</v>
      </c>
      <c r="CD307" s="119" t="s">
        <v>179</v>
      </c>
      <c r="CE307" s="138" t="s">
        <v>224</v>
      </c>
      <c r="CF307" s="136"/>
      <c r="CG307" s="139" t="s">
        <v>224</v>
      </c>
      <c r="CH307" s="137" t="s">
        <v>224</v>
      </c>
      <c r="CI307" s="137" t="s">
        <v>224</v>
      </c>
      <c r="CJ307" s="137" t="s">
        <v>224</v>
      </c>
    </row>
    <row r="308" spans="2:88" ht="16" thickBot="1" x14ac:dyDescent="0.4">
      <c r="C308" s="117" t="s">
        <v>331</v>
      </c>
      <c r="D308" s="117"/>
      <c r="E308" s="11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  <c r="AA308" s="87"/>
      <c r="AB308" s="87"/>
      <c r="AC308" s="87"/>
      <c r="AD308" s="87"/>
      <c r="AE308" s="87"/>
      <c r="AF308" s="87"/>
      <c r="AG308" s="87"/>
      <c r="AH308" s="87"/>
      <c r="AI308" s="87"/>
      <c r="AJ308" s="87"/>
      <c r="AK308" s="87"/>
      <c r="AL308" s="87"/>
      <c r="AM308" s="87"/>
      <c r="AN308" s="87"/>
      <c r="AO308" s="87"/>
      <c r="AP308" s="87"/>
      <c r="AQ308" s="87"/>
      <c r="AV308" s="117" t="s">
        <v>350</v>
      </c>
      <c r="AW308" s="117"/>
      <c r="AX308" s="117"/>
      <c r="AY308" s="87"/>
      <c r="AZ308" s="87"/>
      <c r="BA308" s="87"/>
      <c r="BB308" s="87"/>
      <c r="BC308" s="87"/>
      <c r="BD308" s="87"/>
      <c r="BE308" s="87"/>
      <c r="BF308" s="87"/>
      <c r="BG308" s="87"/>
      <c r="BH308" s="87"/>
      <c r="BI308" s="87"/>
      <c r="BJ308" s="87"/>
      <c r="BK308" s="87"/>
      <c r="BL308" s="87"/>
      <c r="BM308" s="87"/>
      <c r="BN308" s="87"/>
      <c r="BO308" s="87"/>
      <c r="BP308" s="87"/>
      <c r="BQ308" s="87"/>
      <c r="BR308" s="87"/>
      <c r="BS308" s="87"/>
      <c r="BT308" s="87"/>
      <c r="BU308" s="87"/>
      <c r="BV308" s="87"/>
      <c r="BW308" s="87"/>
      <c r="BX308" s="87"/>
      <c r="BY308" s="87"/>
      <c r="BZ308" s="87"/>
      <c r="CA308" s="87"/>
      <c r="CB308" s="87"/>
      <c r="CC308" s="87"/>
      <c r="CD308" s="87"/>
      <c r="CE308" s="87"/>
      <c r="CF308" s="87"/>
      <c r="CG308" s="87"/>
      <c r="CH308" s="87"/>
      <c r="CI308" s="87"/>
      <c r="CJ308" s="87"/>
    </row>
    <row r="309" spans="2:88" x14ac:dyDescent="0.35">
      <c r="B309" s="481">
        <f>DP!S18</f>
        <v>1</v>
      </c>
      <c r="C309" s="481" t="str">
        <f>DP!T18</f>
        <v xml:space="preserve">PALMITO ENTERO 800 </v>
      </c>
      <c r="D309" s="481">
        <f>DP!U18</f>
        <v>800</v>
      </c>
      <c r="E309" s="481">
        <f>DP!V18</f>
        <v>500</v>
      </c>
      <c r="F309" s="412">
        <f>IFERROR((H309*1000)/E309,0*1)</f>
        <v>0</v>
      </c>
      <c r="G309" s="470">
        <f>DP!AF18</f>
        <v>0</v>
      </c>
      <c r="H309" s="98">
        <f>$D$304*G309</f>
        <v>0</v>
      </c>
      <c r="I309" s="97"/>
      <c r="J309" s="101">
        <f t="shared" ref="J309:J327" si="306">IF(F309&gt;0,L309/F309,0*1)</f>
        <v>0</v>
      </c>
      <c r="K309" s="122">
        <f t="shared" ref="K309:K327" si="307">IF(F309&gt;0,M309/F309,0*1)</f>
        <v>0</v>
      </c>
      <c r="L309" s="140">
        <f t="shared" ref="L309:L327" si="308">IF(F309&gt;0,M309+AQ309,0*1)</f>
        <v>0</v>
      </c>
      <c r="M309" s="123">
        <f t="shared" ref="M309:M327" si="309">IF(F309&gt;0,(S309+V309+Y309+AC309+AF309+AI309+AL309+AN309),0*1)</f>
        <v>0</v>
      </c>
      <c r="N309" s="100"/>
      <c r="O309" s="102">
        <f>($E309/DP!$P$29)*F309</f>
        <v>0</v>
      </c>
      <c r="P309" s="102">
        <f>IF(O309&gt;0,(DP!$P$31),0*1)</f>
        <v>0</v>
      </c>
      <c r="Q309" s="102">
        <f>O309*P309</f>
        <v>0</v>
      </c>
      <c r="R309" s="102">
        <f>IF(O309&gt;0,S309/O309,0*1)</f>
        <v>0</v>
      </c>
      <c r="S309" s="418">
        <f>IFERROR(IF(B309=1,(S$331+70%*S$332)/(SUMIF($B$309:$B$327,1,$H$309:$H$327))*H309,(30%*S$332)/(SUMIF($B$309:$B$327,0,$H$309:$H$327))*H309),0*1)</f>
        <v>0</v>
      </c>
      <c r="T309" s="475">
        <f>H309*DP!$AC$44</f>
        <v>0</v>
      </c>
      <c r="U309" s="475">
        <f>IF(H309&gt;0,DP!$AD$44,0*1)</f>
        <v>0</v>
      </c>
      <c r="V309" s="475">
        <f>T309*U309</f>
        <v>0</v>
      </c>
      <c r="W309" s="475">
        <f>H309*DP!$AC$45</f>
        <v>0</v>
      </c>
      <c r="X309" s="475">
        <f>IF(H309&gt;0,DP!$AD$45,0*1)</f>
        <v>0</v>
      </c>
      <c r="Y309" s="475">
        <f>W309*X309</f>
        <v>0</v>
      </c>
      <c r="Z309" s="100"/>
      <c r="AA309" s="93">
        <f>IF(D309=DP!$L$15,F309*(1+DP!$P$15),IF(D309=DP!$L$16,F309*(1+DP!$P$16),IF(D309=DP!$L$17,F309*(1+DP!$P$17),IF(D309=DP!$L$18,F309*(1+DP!$P$18),0*1))))</f>
        <v>0</v>
      </c>
      <c r="AB309" s="102">
        <f>IF(D309=DP!$L$22,(DP!$M$22),IF(D309=DP!$L$23,(DP!$M$23),IF(D309=DP!$L$24,(DP!$M$24),IF(D309=DP!$L$25,(DP!$M$25),((0*1))))))</f>
        <v>0</v>
      </c>
      <c r="AC309" s="93">
        <f>AA309*AB309</f>
        <v>0</v>
      </c>
      <c r="AD309" s="93">
        <f>IF(D309=DP!$L$15,F309*(1+DP!$P$15),IF(D309=DP!$L$16,F309*(1+DP!$P$16),IF(D309=DP!$L$17,F309*(1+DP!$P$17),IF(D309=DP!$L$18,F309*(1+DP!$P$18),0*1))))</f>
        <v>0</v>
      </c>
      <c r="AE309" s="102">
        <f>IF(D309=DP!$L$22,(DP!$N$22),IF(D309=DP!$L$23,(DP!$N$23),IF(D309=DP!$L$24,(DP!$N$24),IF(D309=DP!$L$25,(DP!$N$25),((0*1))))))</f>
        <v>0</v>
      </c>
      <c r="AF309" s="93">
        <f>AD309*AE309</f>
        <v>0</v>
      </c>
      <c r="AG309" s="93">
        <f>IF(D309=DP!$L$15,(F309/DP!$K$15)*(1+DP!$P$15),IF(D309=DP!$L$16,(F309/DP!$K$16)*(1+DP!$P$16),IF(D309=DP!$L$17,(F309/DP!$K$17)*(1+DP!$P$17),IF(D309=DP!$L$18,(F309/DP!$K$18)*(1+DP!$P$18),0*1))))</f>
        <v>0</v>
      </c>
      <c r="AH309" s="102">
        <f>IF(D309=DP!$L$22,(DP!$O$22),IF(D309=DP!$L$23,(DP!$O$23),IF(D309=DP!$L$24,(DP!$O$24),IF(D309=DP!$L$25,(DP!$O$25),((0*1))))))</f>
        <v>0</v>
      </c>
      <c r="AI309" s="93">
        <f>AG309*AH309</f>
        <v>0</v>
      </c>
      <c r="AJ309" s="93">
        <f>IF(D309=DP!$L$15,F309*(1+DP!$P$15),IF(D309=DP!$L$16,F309*(1+DP!$P$16),IF(D309=DP!$L$17,F309*(1+DP!$P$17),IF(D309=DP!$L$18,F309*(1+DP!$P$18),0*1))))</f>
        <v>0</v>
      </c>
      <c r="AK309" s="102">
        <f>IF(D309=DP!$L$22,(DP!$P$22),IF(D309=DP!$L$23,(DP!$P$23),IF(D309=DP!$L$24,(DP!$P$24),IF(D309=DP!$L$25,(DP!$P$25),((0*1))))))</f>
        <v>0</v>
      </c>
      <c r="AL309" s="93">
        <f>AJ309*AK309</f>
        <v>0</v>
      </c>
      <c r="AM309" s="100"/>
      <c r="AN309" s="149">
        <f t="shared" ref="AN309:AN327" si="310">IF(F309&gt;0,AN$329/H$328*H309,0*1)</f>
        <v>0</v>
      </c>
      <c r="AO309" s="149">
        <f>DP!$N$35*H309</f>
        <v>0</v>
      </c>
      <c r="AP309" s="149">
        <f>DP!$O$35*H309</f>
        <v>0</v>
      </c>
      <c r="AQ309" s="149">
        <f>DP!$P$35*H309</f>
        <v>0</v>
      </c>
      <c r="AV309" s="489" t="str">
        <f>DP!AV18</f>
        <v>PIÑA RODAJA 850</v>
      </c>
      <c r="AW309" s="489">
        <f>DP!AW18</f>
        <v>850</v>
      </c>
      <c r="AX309" s="489">
        <f>DP!AX18</f>
        <v>425</v>
      </c>
      <c r="AY309" s="412">
        <f>IFERROR((BA309*1000)/AX309,0*1)</f>
        <v>0</v>
      </c>
      <c r="AZ309" s="470">
        <f>DP!BH18</f>
        <v>0</v>
      </c>
      <c r="BA309" s="98">
        <f>$AW$304*AZ309</f>
        <v>0</v>
      </c>
      <c r="BB309" s="97"/>
      <c r="BC309" s="101">
        <f>IF(AY309&gt;0,BE309/AY309,0*1)</f>
        <v>0</v>
      </c>
      <c r="BD309" s="122">
        <f t="shared" ref="BD309:BD327" si="311">IF(AY309&gt;0,BF309/AY309,0*1)</f>
        <v>0</v>
      </c>
      <c r="BE309" s="140">
        <f>IF(AY309&gt;0,BF309+CJ309,0*1)</f>
        <v>0</v>
      </c>
      <c r="BF309" s="123">
        <f t="shared" ref="BF309:BF327" si="312">IF(AY309&gt;0,(BJ309+BM309+BP309+BV309+BY309+CB309+CE309+CG309),0*1)</f>
        <v>0</v>
      </c>
      <c r="BG309" s="100"/>
      <c r="BH309" s="102">
        <f>IFERROR((BA309*100%)/DP!$AR$29,(0*1))</f>
        <v>0</v>
      </c>
      <c r="BI309" s="102">
        <f>IF(BH309&gt;0,(DP!$AR$31),0*1)</f>
        <v>0</v>
      </c>
      <c r="BJ309" s="435">
        <f>BH309*BI309</f>
        <v>0</v>
      </c>
      <c r="BK309" s="475">
        <f>BA309*DP!$BE$44</f>
        <v>0</v>
      </c>
      <c r="BL309" s="475">
        <f>IF(BA309&gt;0,DP!$BF$44,0*1)</f>
        <v>0</v>
      </c>
      <c r="BM309" s="475">
        <f>BK309*BL309</f>
        <v>0</v>
      </c>
      <c r="BN309" s="102">
        <f>BA309*DP!$BE$45</f>
        <v>0</v>
      </c>
      <c r="BO309" s="102">
        <f>IF(BA309&gt;0,DP!$BF$45,0*1)</f>
        <v>0</v>
      </c>
      <c r="BP309" s="475">
        <f>BN309*BO309</f>
        <v>0</v>
      </c>
      <c r="BQ309" s="100"/>
      <c r="BR309" s="100"/>
      <c r="BS309" s="100"/>
      <c r="BT309" s="93">
        <f>IF(AW309=DP!$AN$15,AY309*(1+DP!$AR$15),IF(AW309=DP!$AN$16,AY309*(1+DP!$AR$16),IF(AW309=DP!$AN$17,AY309*(1+DP!$AR$17),IF(AW309=DP!$AN$18,AY309*(1+DP!$AR$18),0*1))))</f>
        <v>0</v>
      </c>
      <c r="BU309" s="102">
        <f>IF(AW309=DP!$AN$22,(DP!$AO$22),IF(AW309=DP!$AN$23,(DP!$AO$23),IF(AW309=DP!$AN$24,(DP!$AO$24),IF(AW309=DP!$AN$25,(DP!$AO$25),((0*1))))))</f>
        <v>0</v>
      </c>
      <c r="BV309" s="93">
        <f>BT309*BU309</f>
        <v>0</v>
      </c>
      <c r="BW309" s="93">
        <f>IF(AW309=DP!$AN$15,AY309*(1+DP!$AR$15),IF(AW309=DP!$AN$16,AY309*(1+DP!$AR$16),IF(AW309=DP!$AN$17,AY309*(1+DP!$AR$17),IF(AW309=DP!$AN$18,AY309*(1+DP!$AR$18),0*1))))</f>
        <v>0</v>
      </c>
      <c r="BX309" s="102">
        <f>IF(AW309=DP!$AN$22,(DP!$AP$22),IF(AW309=DP!$AN$23,(DP!$AP$23),IF(AW309=DP!$AN$24,(DP!$AP$24),IF(AW309=DP!$AN$25,(DP!$AP$25),((0*1))))))</f>
        <v>0</v>
      </c>
      <c r="BY309" s="93">
        <f>BW309*BX309</f>
        <v>0</v>
      </c>
      <c r="BZ309" s="93">
        <f>IF(AW309=DP!$AN$15,(AY309/DP!$AM$15)*(1+DP!$AR$15),IF(AW309=DP!$AN$16,(AY309/DP!$AM$16)*(1+DP!$AR$16),IF(AW309=DP!$AN$17,(AY309/DP!$AM$17)*(1+DP!$AR$17),IF(AW309=DP!$AN$18,(AY309/DP!$AM$18)*(1+DP!$AR$18),0*1))))</f>
        <v>0</v>
      </c>
      <c r="CA309" s="102">
        <f>IF(AW309=DP!$AN$22,(DP!$AQ$22),IF(AW309=DP!$AN$23,(DP!$AQ$23),IF(AW309=DP!$AN$24,(DP!$AQ$24),IF(AW309=DP!$AN$25,(DP!$AQ$25),((0*1))))))</f>
        <v>0</v>
      </c>
      <c r="CB309" s="93">
        <f>BZ309*CA309</f>
        <v>0</v>
      </c>
      <c r="CC309" s="93">
        <f>IF(AW309=DP!$AN$15,AY309*(1+DP!$AR$15),IF(AW309=DP!$AN$16,AY309*(1+DP!$AR$16),IF(AW309=DP!$AN$17,AY309*(1+DP!$AR$17),IF(AW309=DP!$AN$18,AY309*(1+DP!$AR$18),0*1))))</f>
        <v>0</v>
      </c>
      <c r="CD309" s="102">
        <f>IF(AW309=DP!$AN$22,(DP!$AR$22),IF(AW309=DP!$AN$23,(DP!$AR$23),IF(AW309=DP!$AN$24,(DP!$AR$24),IF(AW309=DP!$AN$25,(DP!$AR$25),((0*1))))))</f>
        <v>0</v>
      </c>
      <c r="CE309" s="93">
        <f>CC309*CD309</f>
        <v>0</v>
      </c>
      <c r="CF309" s="100"/>
      <c r="CG309" s="149">
        <f>IF(AY309&gt;0,CG$329/BA$328*BA309,0*1)</f>
        <v>0</v>
      </c>
      <c r="CH309" s="149">
        <f>DP!$N$35*BA309</f>
        <v>0</v>
      </c>
      <c r="CI309" s="149">
        <f>DP!$O$35*BA309</f>
        <v>0</v>
      </c>
      <c r="CJ309" s="149">
        <f>DP!$P$35*BA309</f>
        <v>0</v>
      </c>
    </row>
    <row r="310" spans="2:88" x14ac:dyDescent="0.35">
      <c r="B310" s="481">
        <f>DP!S19</f>
        <v>0</v>
      </c>
      <c r="C310" s="481" t="str">
        <f>DP!T19</f>
        <v>PALMITO RODAJA 800</v>
      </c>
      <c r="D310" s="481">
        <f>DP!U19</f>
        <v>800</v>
      </c>
      <c r="E310" s="481">
        <f>DP!V19</f>
        <v>500</v>
      </c>
      <c r="F310" s="412">
        <f t="shared" ref="F310:F327" si="313">IFERROR((H310*1000)/E310,0*1)</f>
        <v>0</v>
      </c>
      <c r="G310" s="470">
        <f>DP!AF19</f>
        <v>0</v>
      </c>
      <c r="H310" s="98">
        <f t="shared" ref="H310:H327" si="314">$D$304*G310</f>
        <v>0</v>
      </c>
      <c r="I310" s="97"/>
      <c r="J310" s="102">
        <f t="shared" si="306"/>
        <v>0</v>
      </c>
      <c r="K310" s="98">
        <f t="shared" si="307"/>
        <v>0</v>
      </c>
      <c r="L310" s="93">
        <f t="shared" si="308"/>
        <v>0</v>
      </c>
      <c r="M310" s="99">
        <f t="shared" si="309"/>
        <v>0</v>
      </c>
      <c r="N310" s="100"/>
      <c r="O310" s="102">
        <f>($E310/DP!$P$29)*F310</f>
        <v>0</v>
      </c>
      <c r="P310" s="102">
        <f>IF(O310&gt;0,(DP!$P$31),0*1)</f>
        <v>0</v>
      </c>
      <c r="Q310" s="102">
        <f t="shared" ref="Q310:Q327" si="315">O310*P310</f>
        <v>0</v>
      </c>
      <c r="R310" s="102">
        <f t="shared" ref="R310:R327" si="316">IF(O310&gt;0,S310/O310,0*1)</f>
        <v>0</v>
      </c>
      <c r="S310" s="418">
        <f t="shared" ref="S310:S327" si="317">IFERROR(IF(B310=1,(S$331+70%*S$332)/(SUMIF($B$309:$B$327,1,$H$309:$H$327))*H310,(30%*S$332)/(SUMIF($B$309:$B$327,0,$H$309:$H$327))*H310),0*1)</f>
        <v>0</v>
      </c>
      <c r="T310" s="475">
        <f>H310*DP!$AC$44</f>
        <v>0</v>
      </c>
      <c r="U310" s="475">
        <f>IF(H310&gt;0,DP!$AD$44,0*1)</f>
        <v>0</v>
      </c>
      <c r="V310" s="475">
        <f t="shared" ref="V310:V327" si="318">T310*U310</f>
        <v>0</v>
      </c>
      <c r="W310" s="475">
        <f>H310*DP!$AC$45</f>
        <v>0</v>
      </c>
      <c r="X310" s="475">
        <f>IF(H310&gt;0,DP!$AD$45,0*1)</f>
        <v>0</v>
      </c>
      <c r="Y310" s="475">
        <f t="shared" ref="Y310:Y327" si="319">W310*X310</f>
        <v>0</v>
      </c>
      <c r="Z310" s="100"/>
      <c r="AA310" s="93">
        <f>IF(D310=DP!$L$15,F310*(1+DP!$P$15),IF(D310=DP!$L$16,F310*(1+DP!$P$16),IF(D310=DP!$L$17,F310*(1+DP!$P$17),IF(D310=DP!$L$18,F310*(1+DP!$P$18),0*1))))</f>
        <v>0</v>
      </c>
      <c r="AB310" s="102">
        <f>IF(D310=DP!$L$22,(DP!$M$22),IF(D310=DP!$L$23,(DP!$M$23),IF(D310=DP!$L$24,(DP!$M$24),IF(D310=DP!$L$25,(DP!$M$25),((0*1))))))</f>
        <v>0</v>
      </c>
      <c r="AC310" s="93">
        <f t="shared" ref="AC310:AC327" si="320">AA310*AB310</f>
        <v>0</v>
      </c>
      <c r="AD310" s="93">
        <f>IF(D310=DP!$L$15,F310*(1+DP!$P$15),IF(D310=DP!$L$16,F310*(1+DP!$P$16),IF(D310=DP!$L$17,F310*(1+DP!$P$17),IF(D310=DP!$L$18,F310*(1+DP!$P$18),0*1))))</f>
        <v>0</v>
      </c>
      <c r="AE310" s="102">
        <f>IF(D310=DP!$L$22,(DP!$N$22),IF(D310=DP!$L$23,(DP!$N$23),IF(D310=DP!$L$24,(DP!$N$24),IF(D310=DP!$L$25,(DP!$N$25),((0*1))))))</f>
        <v>0</v>
      </c>
      <c r="AF310" s="93">
        <f t="shared" ref="AF310:AF327" si="321">AD310*AE310</f>
        <v>0</v>
      </c>
      <c r="AG310" s="93">
        <f>IF(D310=DP!$L$15,(F310/DP!$K$15)*(1+DP!$P$15),IF(D310=DP!$L$16,(F310/DP!$K$16)*(1+DP!$P$16),IF(D310=DP!$L$17,(F310/DP!$K$17)*(1+DP!$P$17),IF(D310=DP!$L$18,(F310/DP!$K$18)*(1+DP!$P$18),0*1))))</f>
        <v>0</v>
      </c>
      <c r="AH310" s="102">
        <f>IF(D310=DP!$L$22,(DP!$O$22),IF(D310=DP!$L$23,(DP!$O$23),IF(D310=DP!$L$24,(DP!$O$24),IF(D310=DP!$L$25,(DP!$O$25),((0*1))))))</f>
        <v>0</v>
      </c>
      <c r="AI310" s="93">
        <f t="shared" ref="AI310:AI327" si="322">AG310*AH310</f>
        <v>0</v>
      </c>
      <c r="AJ310" s="93">
        <f>IF(D310=DP!$L$15,F310*(1+DP!$P$15),IF(D310=DP!$L$16,F310*(1+DP!$P$16),IF(D310=DP!$L$17,F310*(1+DP!$P$17),IF(D310=DP!$L$18,F310*(1+DP!$P$18),0*1))))</f>
        <v>0</v>
      </c>
      <c r="AK310" s="102">
        <f>IF(D310=DP!$L$22,(DP!$P$22),IF(D310=DP!$L$23,(DP!$P$23),IF(D310=DP!$L$24,(DP!$P$24),IF(D310=DP!$L$25,(DP!$P$25),((0*1))))))</f>
        <v>0</v>
      </c>
      <c r="AL310" s="93">
        <f t="shared" ref="AL310:AL327" si="323">AJ310*AK310</f>
        <v>0</v>
      </c>
      <c r="AM310" s="100"/>
      <c r="AN310" s="149">
        <f t="shared" si="310"/>
        <v>0</v>
      </c>
      <c r="AO310" s="149">
        <f>DP!$N$35*H310</f>
        <v>0</v>
      </c>
      <c r="AP310" s="149">
        <f>DP!$O$35*H310</f>
        <v>0</v>
      </c>
      <c r="AQ310" s="149">
        <f>DP!$P$35*H310</f>
        <v>0</v>
      </c>
      <c r="AV310" s="489" t="str">
        <f>DP!AV19</f>
        <v>PIÑA TROZO 850</v>
      </c>
      <c r="AW310" s="489">
        <f>DP!AW19</f>
        <v>850</v>
      </c>
      <c r="AX310" s="489">
        <f>DP!AX19</f>
        <v>440</v>
      </c>
      <c r="AY310" s="412">
        <f t="shared" ref="AY310:AY327" si="324">IFERROR((BA310*1000)/AX310,0*1)</f>
        <v>0</v>
      </c>
      <c r="AZ310" s="470">
        <f>DP!BH19</f>
        <v>0</v>
      </c>
      <c r="BA310" s="98">
        <f t="shared" ref="BA310:BA327" si="325">$AW$304*AZ310</f>
        <v>0</v>
      </c>
      <c r="BB310" s="97"/>
      <c r="BC310" s="102">
        <f t="shared" ref="BC310:BC327" si="326">IF(AY310&gt;0,BE310/AY310,0*1)</f>
        <v>0</v>
      </c>
      <c r="BD310" s="98">
        <f t="shared" si="311"/>
        <v>0</v>
      </c>
      <c r="BE310" s="93">
        <f t="shared" ref="BE310:BE327" si="327">IF(AY310&gt;0,BF310+CJ310,0*1)</f>
        <v>0</v>
      </c>
      <c r="BF310" s="99">
        <f t="shared" si="312"/>
        <v>0</v>
      </c>
      <c r="BG310" s="100"/>
      <c r="BH310" s="102">
        <f>IFERROR((BA310*100%)/DP!$AR$29,(0*1))</f>
        <v>0</v>
      </c>
      <c r="BI310" s="102">
        <f>IF(BH310&gt;0,(DP!$AR$31),0*1)</f>
        <v>0</v>
      </c>
      <c r="BJ310" s="435">
        <f t="shared" ref="BJ310:BJ324" si="328">BH310*BI310</f>
        <v>0</v>
      </c>
      <c r="BK310" s="475">
        <f>BA310*DP!$BE$44</f>
        <v>0</v>
      </c>
      <c r="BL310" s="475">
        <f>IF(BA310&gt;0,DP!$BF$44,0*1)</f>
        <v>0</v>
      </c>
      <c r="BM310" s="475">
        <f t="shared" ref="BM310:BM327" si="329">BK310*BL310</f>
        <v>0</v>
      </c>
      <c r="BN310" s="102">
        <f>BA310*DP!$BE$45</f>
        <v>0</v>
      </c>
      <c r="BO310" s="102">
        <f>IF(BA310&gt;0,DP!$BF$45,0*1)</f>
        <v>0</v>
      </c>
      <c r="BP310" s="475">
        <f t="shared" ref="BP310:BP326" si="330">BN310*BO310</f>
        <v>0</v>
      </c>
      <c r="BQ310" s="100"/>
      <c r="BR310" s="100"/>
      <c r="BS310" s="100"/>
      <c r="BT310" s="93">
        <f>IF(AW310=DP!$AN$15,AY310*(1+DP!$AR$15),IF(AW310=DP!$AN$16,AY310*(1+DP!$AR$16),IF(AW310=DP!$AN$17,AY310*(1+DP!$AR$17),IF(AW310=DP!$AN$18,AY310*(1+DP!$AR$18),0*1))))</f>
        <v>0</v>
      </c>
      <c r="BU310" s="102">
        <f>IF(AW310=DP!$AN$22,(DP!$AO$22),IF(AW310=DP!$AN$23,(DP!$AO$23),IF(AW310=DP!$AN$24,(DP!$AO$24),IF(AW310=DP!$AN$25,(DP!$AO$25),((0*1))))))</f>
        <v>0</v>
      </c>
      <c r="BV310" s="93">
        <f t="shared" ref="BV310:BV327" si="331">BT310*BU310</f>
        <v>0</v>
      </c>
      <c r="BW310" s="93">
        <f>IF(AW310=DP!$AN$15,AY310*(1+DP!$AR$15),IF(AW310=DP!$AN$16,AY310*(1+DP!$AR$16),IF(AW310=DP!$AN$17,AY310*(1+DP!$AR$17),IF(AW310=DP!$AN$18,AY310*(1+DP!$AR$18),0*1))))</f>
        <v>0</v>
      </c>
      <c r="BX310" s="102">
        <f>IF(AW310=DP!$AN$22,(DP!$AP$22),IF(AW310=DP!$AN$23,(DP!$AP$23),IF(AW310=DP!$AN$24,(DP!$AP$24),IF(AW310=DP!$AN$25,(DP!$AP$25),((0*1))))))</f>
        <v>0</v>
      </c>
      <c r="BY310" s="93">
        <f t="shared" ref="BY310:BY327" si="332">BW310*BX310</f>
        <v>0</v>
      </c>
      <c r="BZ310" s="93">
        <f>IF(AW310=DP!$AN$15,(AY310/DP!$AM$15)*(1+DP!$AR$15),IF(AW310=DP!$AN$16,(AY310/DP!$AM$16)*(1+DP!$AR$16),IF(AW310=DP!$AN$17,(AY310/DP!$AM$17)*(1+DP!$AR$17),IF(AW310=DP!$AN$18,(AY310/DP!$AM$18)*(1+DP!$AR$18),0*1))))</f>
        <v>0</v>
      </c>
      <c r="CA310" s="102">
        <f>IF(AW310=DP!$AN$22,(DP!$AQ$22),IF(AW310=DP!$AN$23,(DP!$AQ$23),IF(AW310=DP!$AN$24,(DP!$AQ$24),IF(AW310=DP!$AN$25,(DP!$AQ$25),((0*1))))))</f>
        <v>0</v>
      </c>
      <c r="CB310" s="93">
        <f t="shared" ref="CB310:CB327" si="333">BZ310*CA310</f>
        <v>0</v>
      </c>
      <c r="CC310" s="93">
        <f>IF(AW310=DP!$AN$15,AY310*(1+DP!$AR$15),IF(AW310=DP!$AN$16,AY310*(1+DP!$AR$16),IF(AW310=DP!$AN$17,AY310*(1+DP!$AR$17),IF(AW310=DP!$AN$18,AY310*(1+DP!$AR$18),0*1))))</f>
        <v>0</v>
      </c>
      <c r="CD310" s="102">
        <f>IF(AW310=DP!$AN$22,(DP!$AR$22),IF(AW310=DP!$AN$23,(DP!$AR$23),IF(AW310=DP!$AN$24,(DP!$AR$24),IF(AW310=DP!$AN$25,(DP!$AR$25),((0*1))))))</f>
        <v>0</v>
      </c>
      <c r="CE310" s="93">
        <f t="shared" ref="CE310:CE327" si="334">CC310*CD310</f>
        <v>0</v>
      </c>
      <c r="CF310" s="100"/>
      <c r="CG310" s="149">
        <f t="shared" ref="CG310:CG327" si="335">IF(AY310&gt;0,CG$329/BA$328*BA310,0*1)</f>
        <v>0</v>
      </c>
      <c r="CH310" s="149">
        <f>DP!$N$35*BA310</f>
        <v>0</v>
      </c>
      <c r="CI310" s="149">
        <f>DP!$O$35*BA310</f>
        <v>0</v>
      </c>
      <c r="CJ310" s="149">
        <f>DP!$P$35*BA310</f>
        <v>0</v>
      </c>
    </row>
    <row r="311" spans="2:88" x14ac:dyDescent="0.35">
      <c r="B311" s="481">
        <f>DP!S20</f>
        <v>0</v>
      </c>
      <c r="C311" s="481" t="str">
        <f>DP!T20</f>
        <v>PALMITO TROZO 800</v>
      </c>
      <c r="D311" s="481">
        <f>DP!U20</f>
        <v>800</v>
      </c>
      <c r="E311" s="481">
        <f>DP!V20</f>
        <v>500</v>
      </c>
      <c r="F311" s="412">
        <f t="shared" si="313"/>
        <v>0</v>
      </c>
      <c r="G311" s="470">
        <f>DP!AF20</f>
        <v>0</v>
      </c>
      <c r="H311" s="98">
        <f t="shared" si="314"/>
        <v>0</v>
      </c>
      <c r="I311" s="97"/>
      <c r="J311" s="102">
        <f t="shared" si="306"/>
        <v>0</v>
      </c>
      <c r="K311" s="98">
        <f t="shared" si="307"/>
        <v>0</v>
      </c>
      <c r="L311" s="93">
        <f t="shared" si="308"/>
        <v>0</v>
      </c>
      <c r="M311" s="99">
        <f t="shared" si="309"/>
        <v>0</v>
      </c>
      <c r="N311" s="100"/>
      <c r="O311" s="102">
        <f>($E311/DP!$P$29)*F311</f>
        <v>0</v>
      </c>
      <c r="P311" s="102">
        <f>IF(O311&gt;0,(DP!$P$31),0*1)</f>
        <v>0</v>
      </c>
      <c r="Q311" s="102">
        <f t="shared" si="315"/>
        <v>0</v>
      </c>
      <c r="R311" s="102">
        <f t="shared" si="316"/>
        <v>0</v>
      </c>
      <c r="S311" s="418">
        <f t="shared" si="317"/>
        <v>0</v>
      </c>
      <c r="T311" s="475">
        <f>H311*DP!$AC$44</f>
        <v>0</v>
      </c>
      <c r="U311" s="475">
        <f>IF(H311&gt;0,DP!$AD$44,0*1)</f>
        <v>0</v>
      </c>
      <c r="V311" s="475">
        <f t="shared" si="318"/>
        <v>0</v>
      </c>
      <c r="W311" s="475">
        <f>H311*DP!$AC$45</f>
        <v>0</v>
      </c>
      <c r="X311" s="475">
        <f>IF(H311&gt;0,DP!$AD$45,0*1)</f>
        <v>0</v>
      </c>
      <c r="Y311" s="475">
        <f t="shared" si="319"/>
        <v>0</v>
      </c>
      <c r="Z311" s="100"/>
      <c r="AA311" s="93">
        <f>IF(D311=DP!$L$15,F311*(1+DP!$P$15),IF(D311=DP!$L$16,F311*(1+DP!$P$16),IF(D311=DP!$L$17,F311*(1+DP!$P$17),IF(D311=DP!$L$18,F311*(1+DP!$P$18),0*1))))</f>
        <v>0</v>
      </c>
      <c r="AB311" s="102">
        <f>IF(D311=DP!$L$22,(DP!$M$22),IF(D311=DP!$L$23,(DP!$M$23),IF(D311=DP!$L$24,(DP!$M$24),IF(D311=DP!$L$25,(DP!$M$25),((0*1))))))</f>
        <v>0</v>
      </c>
      <c r="AC311" s="93">
        <f t="shared" si="320"/>
        <v>0</v>
      </c>
      <c r="AD311" s="93">
        <f>IF(D311=DP!$L$15,F311*(1+DP!$P$15),IF(D311=DP!$L$16,F311*(1+DP!$P$16),IF(D311=DP!$L$17,F311*(1+DP!$P$17),IF(D311=DP!$L$18,F311*(1+DP!$P$18),0*1))))</f>
        <v>0</v>
      </c>
      <c r="AE311" s="102">
        <f>IF(D311=DP!$L$22,(DP!$N$22),IF(D311=DP!$L$23,(DP!$N$23),IF(D311=DP!$L$24,(DP!$N$24),IF(D311=DP!$L$25,(DP!$N$25),((0*1))))))</f>
        <v>0</v>
      </c>
      <c r="AF311" s="93">
        <f t="shared" si="321"/>
        <v>0</v>
      </c>
      <c r="AG311" s="93">
        <f>IF(D311=DP!$L$15,(F311/DP!$K$15)*(1+DP!$P$15),IF(D311=DP!$L$16,(F311/DP!$K$16)*(1+DP!$P$16),IF(D311=DP!$L$17,(F311/DP!$K$17)*(1+DP!$P$17),IF(D311=DP!$L$18,(F311/DP!$K$18)*(1+DP!$P$18),0*1))))</f>
        <v>0</v>
      </c>
      <c r="AH311" s="102">
        <f>IF(D311=DP!$L$22,(DP!$O$22),IF(D311=DP!$L$23,(DP!$O$23),IF(D311=DP!$L$24,(DP!$O$24),IF(D311=DP!$L$25,(DP!$O$25),((0*1))))))</f>
        <v>0</v>
      </c>
      <c r="AI311" s="93">
        <f t="shared" si="322"/>
        <v>0</v>
      </c>
      <c r="AJ311" s="93">
        <f>IF(D311=DP!$L$15,F311*(1+DP!$P$15),IF(D311=DP!$L$16,F311*(1+DP!$P$16),IF(D311=DP!$L$17,F311*(1+DP!$P$17),IF(D311=DP!$L$18,F311*(1+DP!$P$18),0*1))))</f>
        <v>0</v>
      </c>
      <c r="AK311" s="102">
        <f>IF(D311=DP!$L$22,(DP!$P$22),IF(D311=DP!$L$23,(DP!$P$23),IF(D311=DP!$L$24,(DP!$P$24),IF(D311=DP!$L$25,(DP!$P$25),((0*1))))))</f>
        <v>0</v>
      </c>
      <c r="AL311" s="93">
        <f t="shared" si="323"/>
        <v>0</v>
      </c>
      <c r="AM311" s="100"/>
      <c r="AN311" s="149">
        <f t="shared" si="310"/>
        <v>0</v>
      </c>
      <c r="AO311" s="149">
        <f>DP!$N$35*H311</f>
        <v>0</v>
      </c>
      <c r="AP311" s="149">
        <f>DP!$O$35*H311</f>
        <v>0</v>
      </c>
      <c r="AQ311" s="149">
        <f>DP!$P$35*H311</f>
        <v>0</v>
      </c>
      <c r="AV311" s="489" t="str">
        <f>DP!AV20</f>
        <v>PIÑA TROZO A-10</v>
      </c>
      <c r="AW311" s="489">
        <f>DP!AW20</f>
        <v>2920</v>
      </c>
      <c r="AX311" s="489">
        <f>DP!AX20</f>
        <v>1825</v>
      </c>
      <c r="AY311" s="412">
        <f t="shared" si="324"/>
        <v>0</v>
      </c>
      <c r="AZ311" s="470">
        <f>DP!BH20</f>
        <v>0</v>
      </c>
      <c r="BA311" s="98">
        <f t="shared" si="325"/>
        <v>0</v>
      </c>
      <c r="BB311" s="97"/>
      <c r="BC311" s="102">
        <f t="shared" si="326"/>
        <v>0</v>
      </c>
      <c r="BD311" s="98">
        <f t="shared" si="311"/>
        <v>0</v>
      </c>
      <c r="BE311" s="93">
        <f t="shared" si="327"/>
        <v>0</v>
      </c>
      <c r="BF311" s="99">
        <f t="shared" si="312"/>
        <v>0</v>
      </c>
      <c r="BG311" s="100"/>
      <c r="BH311" s="102">
        <f>IFERROR((BA311*100%)/DP!$AR$29,(0*1))</f>
        <v>0</v>
      </c>
      <c r="BI311" s="102">
        <f>IF(BH311&gt;0,(DP!$AR$31),0*1)</f>
        <v>0</v>
      </c>
      <c r="BJ311" s="435">
        <f t="shared" si="328"/>
        <v>0</v>
      </c>
      <c r="BK311" s="475">
        <f>BA311*DP!$BE$44</f>
        <v>0</v>
      </c>
      <c r="BL311" s="475">
        <f>IF(BA311&gt;0,DP!$BF$44,0*1)</f>
        <v>0</v>
      </c>
      <c r="BM311" s="475">
        <f t="shared" si="329"/>
        <v>0</v>
      </c>
      <c r="BN311" s="102">
        <f>BA311*DP!$BE$45</f>
        <v>0</v>
      </c>
      <c r="BO311" s="102">
        <f>IF(BA311&gt;0,DP!$BF$45,0*1)</f>
        <v>0</v>
      </c>
      <c r="BP311" s="475">
        <f t="shared" si="330"/>
        <v>0</v>
      </c>
      <c r="BQ311" s="100"/>
      <c r="BR311" s="100"/>
      <c r="BS311" s="100"/>
      <c r="BT311" s="93">
        <f>IF(AW311=DP!$AN$15,AY311*(1+DP!$AR$15),IF(AW311=DP!$AN$16,AY311*(1+DP!$AR$16),IF(AW311=DP!$AN$17,AY311*(1+DP!$AR$17),IF(AW311=DP!$AN$18,AY311*(1+DP!$AR$18),0*1))))</f>
        <v>0</v>
      </c>
      <c r="BU311" s="102">
        <f>IF(AW311=DP!$AN$22,(DP!$AO$22),IF(AW311=DP!$AN$23,(DP!$AO$23),IF(AW311=DP!$AN$24,(DP!$AO$24),IF(AW311=DP!$AN$25,(DP!$AO$25),((0*1))))))</f>
        <v>0</v>
      </c>
      <c r="BV311" s="93">
        <f t="shared" si="331"/>
        <v>0</v>
      </c>
      <c r="BW311" s="93">
        <f>IF(AW311=DP!$AN$15,AY311*(1+DP!$AR$15),IF(AW311=DP!$AN$16,AY311*(1+DP!$AR$16),IF(AW311=DP!$AN$17,AY311*(1+DP!$AR$17),IF(AW311=DP!$AN$18,AY311*(1+DP!$AR$18),0*1))))</f>
        <v>0</v>
      </c>
      <c r="BX311" s="102">
        <f>IF(AW311=DP!$AN$22,(DP!$AP$22),IF(AW311=DP!$AN$23,(DP!$AP$23),IF(AW311=DP!$AN$24,(DP!$AP$24),IF(AW311=DP!$AN$25,(DP!$AP$25),((0*1))))))</f>
        <v>0</v>
      </c>
      <c r="BY311" s="93">
        <f t="shared" si="332"/>
        <v>0</v>
      </c>
      <c r="BZ311" s="93">
        <f>IF(AW311=DP!$AN$15,(AY311/DP!$AM$15)*(1+DP!$AR$15),IF(AW311=DP!$AN$16,(AY311/DP!$AM$16)*(1+DP!$AR$16),IF(AW311=DP!$AN$17,(AY311/DP!$AM$17)*(1+DP!$AR$17),IF(AW311=DP!$AN$18,(AY311/DP!$AM$18)*(1+DP!$AR$18),0*1))))</f>
        <v>0</v>
      </c>
      <c r="CA311" s="102">
        <f>IF(AW311=DP!$AN$22,(DP!$AQ$22),IF(AW311=DP!$AN$23,(DP!$AQ$23),IF(AW311=DP!$AN$24,(DP!$AQ$24),IF(AW311=DP!$AN$25,(DP!$AQ$25),((0*1))))))</f>
        <v>0</v>
      </c>
      <c r="CB311" s="93">
        <f t="shared" si="333"/>
        <v>0</v>
      </c>
      <c r="CC311" s="93">
        <f>IF(AW311=DP!$AN$15,AY311*(1+DP!$AR$15),IF(AW311=DP!$AN$16,AY311*(1+DP!$AR$16),IF(AW311=DP!$AN$17,AY311*(1+DP!$AR$17),IF(AW311=DP!$AN$18,AY311*(1+DP!$AR$18),0*1))))</f>
        <v>0</v>
      </c>
      <c r="CD311" s="102">
        <f>IF(AW311=DP!$AN$22,(DP!$AR$22),IF(AW311=DP!$AN$23,(DP!$AR$23),IF(AW311=DP!$AN$24,(DP!$AR$24),IF(AW311=DP!$AN$25,(DP!$AR$25),((0*1))))))</f>
        <v>0</v>
      </c>
      <c r="CE311" s="93">
        <f t="shared" si="334"/>
        <v>0</v>
      </c>
      <c r="CF311" s="100"/>
      <c r="CG311" s="149">
        <f t="shared" si="335"/>
        <v>0</v>
      </c>
      <c r="CH311" s="149">
        <f>DP!$N$35*BA311</f>
        <v>0</v>
      </c>
      <c r="CI311" s="149">
        <f>DP!$O$35*BA311</f>
        <v>0</v>
      </c>
      <c r="CJ311" s="149">
        <f>DP!$P$35*BA311</f>
        <v>0</v>
      </c>
    </row>
    <row r="312" spans="2:88" x14ac:dyDescent="0.35">
      <c r="B312" s="481">
        <f>DP!S21</f>
        <v>1</v>
      </c>
      <c r="C312" s="481" t="str">
        <f>DP!T21</f>
        <v>PALMITO ENTERO 400</v>
      </c>
      <c r="D312" s="481">
        <f>DP!U21</f>
        <v>400</v>
      </c>
      <c r="E312" s="481">
        <f>DP!V21</f>
        <v>220</v>
      </c>
      <c r="F312" s="412">
        <f t="shared" si="313"/>
        <v>0</v>
      </c>
      <c r="G312" s="470">
        <f>DP!AF21</f>
        <v>0</v>
      </c>
      <c r="H312" s="98">
        <f t="shared" si="314"/>
        <v>0</v>
      </c>
      <c r="I312" s="97"/>
      <c r="J312" s="102">
        <f t="shared" si="306"/>
        <v>0</v>
      </c>
      <c r="K312" s="98">
        <f t="shared" si="307"/>
        <v>0</v>
      </c>
      <c r="L312" s="93">
        <f t="shared" si="308"/>
        <v>0</v>
      </c>
      <c r="M312" s="99">
        <f t="shared" si="309"/>
        <v>0</v>
      </c>
      <c r="N312" s="100"/>
      <c r="O312" s="102">
        <f>($E312/DP!$P$29)*F312</f>
        <v>0</v>
      </c>
      <c r="P312" s="102">
        <f>IF(O312&gt;0,(DP!$P$31),0*1)</f>
        <v>0</v>
      </c>
      <c r="Q312" s="102">
        <f t="shared" si="315"/>
        <v>0</v>
      </c>
      <c r="R312" s="102">
        <f t="shared" si="316"/>
        <v>0</v>
      </c>
      <c r="S312" s="418">
        <f t="shared" si="317"/>
        <v>0</v>
      </c>
      <c r="T312" s="475">
        <f>H312*DP!$AC$44</f>
        <v>0</v>
      </c>
      <c r="U312" s="475">
        <f>IF(H312&gt;0,DP!$AD$44,0*1)</f>
        <v>0</v>
      </c>
      <c r="V312" s="475">
        <f t="shared" si="318"/>
        <v>0</v>
      </c>
      <c r="W312" s="475">
        <f>H312*DP!$AC$45</f>
        <v>0</v>
      </c>
      <c r="X312" s="475">
        <f>IF(H312&gt;0,DP!$AD$45,0*1)</f>
        <v>0</v>
      </c>
      <c r="Y312" s="475">
        <f t="shared" si="319"/>
        <v>0</v>
      </c>
      <c r="Z312" s="100"/>
      <c r="AA312" s="93">
        <f>IF(D312=DP!$L$15,F312*(1+DP!$P$15),IF(D312=DP!$L$16,F312*(1+DP!$P$16),IF(D312=DP!$L$17,F312*(1+DP!$P$17),IF(D312=DP!$L$18,F312*(1+DP!$P$18),0*1))))</f>
        <v>0</v>
      </c>
      <c r="AB312" s="102">
        <f>IF(D312=DP!$L$22,(DP!$M$22),IF(D312=DP!$L$23,(DP!$M$23),IF(D312=DP!$L$24,(DP!$M$24),IF(D312=DP!$L$25,(DP!$M$25),((0*1))))))</f>
        <v>0</v>
      </c>
      <c r="AC312" s="93">
        <f t="shared" si="320"/>
        <v>0</v>
      </c>
      <c r="AD312" s="93">
        <f>IF(D312=DP!$L$15,F312*(1+DP!$P$15),IF(D312=DP!$L$16,F312*(1+DP!$P$16),IF(D312=DP!$L$17,F312*(1+DP!$P$17),IF(D312=DP!$L$18,F312*(1+DP!$P$18),0*1))))</f>
        <v>0</v>
      </c>
      <c r="AE312" s="102">
        <f>IF(D312=DP!$L$22,(DP!$N$22),IF(D312=DP!$L$23,(DP!$N$23),IF(D312=DP!$L$24,(DP!$N$24),IF(D312=DP!$L$25,(DP!$N$25),((0*1))))))</f>
        <v>0</v>
      </c>
      <c r="AF312" s="93">
        <f t="shared" si="321"/>
        <v>0</v>
      </c>
      <c r="AG312" s="93">
        <f>IF(D312=DP!$L$15,(F312/DP!$K$15)*(1+DP!$P$15),IF(D312=DP!$L$16,(F312/DP!$K$16)*(1+DP!$P$16),IF(D312=DP!$L$17,(F312/DP!$K$17)*(1+DP!$P$17),IF(D312=DP!$L$18,(F312/DP!$K$18)*(1+DP!$P$18),0*1))))</f>
        <v>0</v>
      </c>
      <c r="AH312" s="102">
        <f>IF(D312=DP!$L$22,(DP!$O$22),IF(D312=DP!$L$23,(DP!$O$23),IF(D312=DP!$L$24,(DP!$O$24),IF(D312=DP!$L$25,(DP!$O$25),((0*1))))))</f>
        <v>0</v>
      </c>
      <c r="AI312" s="93">
        <f t="shared" si="322"/>
        <v>0</v>
      </c>
      <c r="AJ312" s="93">
        <f>IF(D312=DP!$L$15,F312*(1+DP!$P$15),IF(D312=DP!$L$16,F312*(1+DP!$P$16),IF(D312=DP!$L$17,F312*(1+DP!$P$17),IF(D312=DP!$L$18,F312*(1+DP!$P$18),0*1))))</f>
        <v>0</v>
      </c>
      <c r="AK312" s="102">
        <f>IF(D312=DP!$L$22,(DP!$P$22),IF(D312=DP!$L$23,(DP!$P$23),IF(D312=DP!$L$24,(DP!$P$24),IF(D312=DP!$L$25,(DP!$P$25),((0*1))))))</f>
        <v>0</v>
      </c>
      <c r="AL312" s="93">
        <f t="shared" si="323"/>
        <v>0</v>
      </c>
      <c r="AM312" s="100"/>
      <c r="AN312" s="149">
        <f t="shared" si="310"/>
        <v>0</v>
      </c>
      <c r="AO312" s="149">
        <f>DP!$N$35*H312</f>
        <v>0</v>
      </c>
      <c r="AP312" s="149">
        <f>DP!$O$35*H312</f>
        <v>0</v>
      </c>
      <c r="AQ312" s="149">
        <f>DP!$P$35*H312</f>
        <v>0</v>
      </c>
      <c r="AV312" s="489" t="str">
        <f>DP!AV21</f>
        <v>PIÑA RODAJA A-10</v>
      </c>
      <c r="AW312" s="489">
        <f>DP!AW21</f>
        <v>2920</v>
      </c>
      <c r="AX312" s="489">
        <f>DP!AX21</f>
        <v>1825</v>
      </c>
      <c r="AY312" s="412">
        <f t="shared" si="324"/>
        <v>0</v>
      </c>
      <c r="AZ312" s="470">
        <f>DP!BH21</f>
        <v>0</v>
      </c>
      <c r="BA312" s="98">
        <f t="shared" si="325"/>
        <v>0</v>
      </c>
      <c r="BB312" s="97"/>
      <c r="BC312" s="102">
        <f t="shared" si="326"/>
        <v>0</v>
      </c>
      <c r="BD312" s="98">
        <f t="shared" si="311"/>
        <v>0</v>
      </c>
      <c r="BE312" s="93">
        <f t="shared" si="327"/>
        <v>0</v>
      </c>
      <c r="BF312" s="99">
        <f t="shared" si="312"/>
        <v>0</v>
      </c>
      <c r="BG312" s="100"/>
      <c r="BH312" s="102">
        <f>IFERROR((BA312*100%)/DP!$AR$29,(0*1))</f>
        <v>0</v>
      </c>
      <c r="BI312" s="102">
        <f>IF(BH312&gt;0,(DP!$AR$31),0*1)</f>
        <v>0</v>
      </c>
      <c r="BJ312" s="435">
        <f t="shared" si="328"/>
        <v>0</v>
      </c>
      <c r="BK312" s="475">
        <f>BA312*DP!$BE$44</f>
        <v>0</v>
      </c>
      <c r="BL312" s="475">
        <f>IF(BA312&gt;0,DP!$BF$44,0*1)</f>
        <v>0</v>
      </c>
      <c r="BM312" s="475">
        <f t="shared" si="329"/>
        <v>0</v>
      </c>
      <c r="BN312" s="102">
        <f>BA312*DP!$BE$45</f>
        <v>0</v>
      </c>
      <c r="BO312" s="102">
        <f>IF(BA312&gt;0,DP!$BF$45,0*1)</f>
        <v>0</v>
      </c>
      <c r="BP312" s="475">
        <f t="shared" si="330"/>
        <v>0</v>
      </c>
      <c r="BQ312" s="100"/>
      <c r="BR312" s="100"/>
      <c r="BS312" s="100"/>
      <c r="BT312" s="93">
        <f>IF(AW312=DP!$AN$15,AY312*(1+DP!$AR$15),IF(AW312=DP!$AN$16,AY312*(1+DP!$AR$16),IF(AW312=DP!$AN$17,AY312*(1+DP!$AR$17),IF(AW312=DP!$AN$18,AY312*(1+DP!$AR$18),0*1))))</f>
        <v>0</v>
      </c>
      <c r="BU312" s="102">
        <f>IF(AW312=DP!$AN$22,(DP!$AO$22),IF(AW312=DP!$AN$23,(DP!$AO$23),IF(AW312=DP!$AN$24,(DP!$AO$24),IF(AW312=DP!$AN$25,(DP!$AO$25),((0*1))))))</f>
        <v>0</v>
      </c>
      <c r="BV312" s="93">
        <f t="shared" si="331"/>
        <v>0</v>
      </c>
      <c r="BW312" s="93">
        <f>IF(AW312=DP!$AN$15,AY312*(1+DP!$AR$15),IF(AW312=DP!$AN$16,AY312*(1+DP!$AR$16),IF(AW312=DP!$AN$17,AY312*(1+DP!$AR$17),IF(AW312=DP!$AN$18,AY312*(1+DP!$AR$18),0*1))))</f>
        <v>0</v>
      </c>
      <c r="BX312" s="102">
        <f>IF(AW312=DP!$AN$22,(DP!$AP$22),IF(AW312=DP!$AN$23,(DP!$AP$23),IF(AW312=DP!$AN$24,(DP!$AP$24),IF(AW312=DP!$AN$25,(DP!$AP$25),((0*1))))))</f>
        <v>0</v>
      </c>
      <c r="BY312" s="93">
        <f t="shared" si="332"/>
        <v>0</v>
      </c>
      <c r="BZ312" s="93">
        <f>IF(AW312=DP!$AN$15,(AY312/DP!$AM$15)*(1+DP!$AR$15),IF(AW312=DP!$AN$16,(AY312/DP!$AM$16)*(1+DP!$AR$16),IF(AW312=DP!$AN$17,(AY312/DP!$AM$17)*(1+DP!$AR$17),IF(AW312=DP!$AN$18,(AY312/DP!$AM$18)*(1+DP!$AR$18),0*1))))</f>
        <v>0</v>
      </c>
      <c r="CA312" s="102">
        <f>IF(AW312=DP!$AN$22,(DP!$AQ$22),IF(AW312=DP!$AN$23,(DP!$AQ$23),IF(AW312=DP!$AN$24,(DP!$AQ$24),IF(AW312=DP!$AN$25,(DP!$AQ$25),((0*1))))))</f>
        <v>0</v>
      </c>
      <c r="CB312" s="93">
        <f t="shared" si="333"/>
        <v>0</v>
      </c>
      <c r="CC312" s="93">
        <f>IF(AW312=DP!$AN$15,AY312*(1+DP!$AR$15),IF(AW312=DP!$AN$16,AY312*(1+DP!$AR$16),IF(AW312=DP!$AN$17,AY312*(1+DP!$AR$17),IF(AW312=DP!$AN$18,AY312*(1+DP!$AR$18),0*1))))</f>
        <v>0</v>
      </c>
      <c r="CD312" s="102">
        <f>IF(AW312=DP!$AN$22,(DP!$AR$22),IF(AW312=DP!$AN$23,(DP!$AR$23),IF(AW312=DP!$AN$24,(DP!$AR$24),IF(AW312=DP!$AN$25,(DP!$AR$25),((0*1))))))</f>
        <v>0</v>
      </c>
      <c r="CE312" s="93">
        <f t="shared" si="334"/>
        <v>0</v>
      </c>
      <c r="CF312" s="100"/>
      <c r="CG312" s="149">
        <f t="shared" si="335"/>
        <v>0</v>
      </c>
      <c r="CH312" s="149">
        <f>DP!$N$35*BA312</f>
        <v>0</v>
      </c>
      <c r="CI312" s="149">
        <f>DP!$O$35*BA312</f>
        <v>0</v>
      </c>
      <c r="CJ312" s="149">
        <f>DP!$P$35*BA312</f>
        <v>0</v>
      </c>
    </row>
    <row r="313" spans="2:88" x14ac:dyDescent="0.35">
      <c r="B313" s="481">
        <f>DP!S22</f>
        <v>0</v>
      </c>
      <c r="C313" s="481" t="str">
        <f>DP!T22</f>
        <v>PALMITO RODAJA 400</v>
      </c>
      <c r="D313" s="481">
        <f>DP!U22</f>
        <v>400</v>
      </c>
      <c r="E313" s="481">
        <f>DP!V22</f>
        <v>220</v>
      </c>
      <c r="F313" s="412">
        <f t="shared" si="313"/>
        <v>0</v>
      </c>
      <c r="G313" s="470">
        <f>DP!AF22</f>
        <v>0</v>
      </c>
      <c r="H313" s="98">
        <f t="shared" si="314"/>
        <v>0</v>
      </c>
      <c r="I313" s="97"/>
      <c r="J313" s="102">
        <f t="shared" si="306"/>
        <v>0</v>
      </c>
      <c r="K313" s="98">
        <f t="shared" si="307"/>
        <v>0</v>
      </c>
      <c r="L313" s="93">
        <f t="shared" si="308"/>
        <v>0</v>
      </c>
      <c r="M313" s="99">
        <f t="shared" si="309"/>
        <v>0</v>
      </c>
      <c r="N313" s="100"/>
      <c r="O313" s="102">
        <f>($E313/DP!$P$29)*F313</f>
        <v>0</v>
      </c>
      <c r="P313" s="102">
        <f>IF(O313&gt;0,(DP!$P$31),0*1)</f>
        <v>0</v>
      </c>
      <c r="Q313" s="102">
        <f t="shared" si="315"/>
        <v>0</v>
      </c>
      <c r="R313" s="102">
        <f t="shared" si="316"/>
        <v>0</v>
      </c>
      <c r="S313" s="418">
        <f t="shared" si="317"/>
        <v>0</v>
      </c>
      <c r="T313" s="475">
        <f>H313*DP!$AC$44</f>
        <v>0</v>
      </c>
      <c r="U313" s="475">
        <f>IF(H313&gt;0,DP!$AD$44,0*1)</f>
        <v>0</v>
      </c>
      <c r="V313" s="475">
        <f t="shared" si="318"/>
        <v>0</v>
      </c>
      <c r="W313" s="475">
        <f>H313*DP!$AC$45</f>
        <v>0</v>
      </c>
      <c r="X313" s="475">
        <f>IF(H313&gt;0,DP!$AD$45,0*1)</f>
        <v>0</v>
      </c>
      <c r="Y313" s="475">
        <f t="shared" si="319"/>
        <v>0</v>
      </c>
      <c r="Z313" s="100"/>
      <c r="AA313" s="93">
        <f>IF(D313=DP!$L$15,F313*(1+DP!$P$15),IF(D313=DP!$L$16,F313*(1+DP!$P$16),IF(D313=DP!$L$17,F313*(1+DP!$P$17),IF(D313=DP!$L$18,F313*(1+DP!$P$18),0*1))))</f>
        <v>0</v>
      </c>
      <c r="AB313" s="102">
        <f>IF(D313=DP!$L$22,(DP!$M$22),IF(D313=DP!$L$23,(DP!$M$23),IF(D313=DP!$L$24,(DP!$M$24),IF(D313=DP!$L$25,(DP!$M$25),((0*1))))))</f>
        <v>0</v>
      </c>
      <c r="AC313" s="93">
        <f t="shared" si="320"/>
        <v>0</v>
      </c>
      <c r="AD313" s="93">
        <f>IF(D313=DP!$L$15,F313*(1+DP!$P$15),IF(D313=DP!$L$16,F313*(1+DP!$P$16),IF(D313=DP!$L$17,F313*(1+DP!$P$17),IF(D313=DP!$L$18,F313*(1+DP!$P$18),0*1))))</f>
        <v>0</v>
      </c>
      <c r="AE313" s="102">
        <f>IF(D313=DP!$L$22,(DP!$N$22),IF(D313=DP!$L$23,(DP!$N$23),IF(D313=DP!$L$24,(DP!$N$24),IF(D313=DP!$L$25,(DP!$N$25),((0*1))))))</f>
        <v>0</v>
      </c>
      <c r="AF313" s="93">
        <f t="shared" si="321"/>
        <v>0</v>
      </c>
      <c r="AG313" s="93">
        <f>IF(D313=DP!$L$15,(F313/DP!$K$15)*(1+DP!$P$15),IF(D313=DP!$L$16,(F313/DP!$K$16)*(1+DP!$P$16),IF(D313=DP!$L$17,(F313/DP!$K$17)*(1+DP!$P$17),IF(D313=DP!$L$18,(F313/DP!$K$18)*(1+DP!$P$18),0*1))))</f>
        <v>0</v>
      </c>
      <c r="AH313" s="102">
        <f>IF(D313=DP!$L$22,(DP!$O$22),IF(D313=DP!$L$23,(DP!$O$23),IF(D313=DP!$L$24,(DP!$O$24),IF(D313=DP!$L$25,(DP!$O$25),((0*1))))))</f>
        <v>0</v>
      </c>
      <c r="AI313" s="93">
        <f t="shared" si="322"/>
        <v>0</v>
      </c>
      <c r="AJ313" s="93">
        <f>IF(D313=DP!$L$15,F313*(1+DP!$P$15),IF(D313=DP!$L$16,F313*(1+DP!$P$16),IF(D313=DP!$L$17,F313*(1+DP!$P$17),IF(D313=DP!$L$18,F313*(1+DP!$P$18),0*1))))</f>
        <v>0</v>
      </c>
      <c r="AK313" s="102">
        <f>IF(D313=DP!$L$22,(DP!$P$22),IF(D313=DP!$L$23,(DP!$P$23),IF(D313=DP!$L$24,(DP!$P$24),IF(D313=DP!$L$25,(DP!$P$25),((0*1))))))</f>
        <v>0</v>
      </c>
      <c r="AL313" s="93">
        <f t="shared" si="323"/>
        <v>0</v>
      </c>
      <c r="AM313" s="100"/>
      <c r="AN313" s="149">
        <f t="shared" si="310"/>
        <v>0</v>
      </c>
      <c r="AO313" s="149">
        <f>DP!$N$35*H313</f>
        <v>0</v>
      </c>
      <c r="AP313" s="149">
        <f>DP!$O$35*H313</f>
        <v>0</v>
      </c>
      <c r="AQ313" s="149">
        <f>DP!$P$35*H313</f>
        <v>0</v>
      </c>
      <c r="AV313" s="489" t="str">
        <f>DP!AV22</f>
        <v>PIÑA RODAJA 567</v>
      </c>
      <c r="AW313" s="489">
        <f>DP!AW22</f>
        <v>567</v>
      </c>
      <c r="AX313" s="489">
        <f>DP!AX22</f>
        <v>340</v>
      </c>
      <c r="AY313" s="412">
        <f t="shared" si="324"/>
        <v>324000</v>
      </c>
      <c r="AZ313" s="470">
        <f>DP!BH22</f>
        <v>0.6</v>
      </c>
      <c r="BA313" s="98">
        <f t="shared" si="325"/>
        <v>110160</v>
      </c>
      <c r="BB313" s="97"/>
      <c r="BC313" s="102">
        <f t="shared" si="326"/>
        <v>0.96041166831383962</v>
      </c>
      <c r="BD313" s="98">
        <f t="shared" si="311"/>
        <v>0.83461166831383959</v>
      </c>
      <c r="BE313" s="93">
        <f t="shared" si="327"/>
        <v>311173.38053368405</v>
      </c>
      <c r="BF313" s="99">
        <f t="shared" si="312"/>
        <v>270414.18053368403</v>
      </c>
      <c r="BG313" s="100"/>
      <c r="BH313" s="102">
        <f>IFERROR((BA313*100%)/DP!$AR$29,(0*1))</f>
        <v>244800</v>
      </c>
      <c r="BI313" s="102">
        <f>IF(BH313&gt;0,(DP!$AR$31),0*1)</f>
        <v>0.45</v>
      </c>
      <c r="BJ313" s="435">
        <f t="shared" si="328"/>
        <v>110160</v>
      </c>
      <c r="BK313" s="475">
        <f>BA313*DP!$BE$44</f>
        <v>275.40000000000003</v>
      </c>
      <c r="BL313" s="475">
        <f>IF(BA313&gt;0,DP!$BF$44,0*1)</f>
        <v>0.95</v>
      </c>
      <c r="BM313" s="475">
        <f t="shared" si="329"/>
        <v>261.63</v>
      </c>
      <c r="BN313" s="102">
        <f>BA313*DP!$BE$45</f>
        <v>18286.560000000001</v>
      </c>
      <c r="BO313" s="102">
        <f>IF(BA313&gt;0,DP!$BF$45,0*1)</f>
        <v>0.76919999999999999</v>
      </c>
      <c r="BP313" s="475">
        <f t="shared" si="330"/>
        <v>14066.021952000001</v>
      </c>
      <c r="BQ313" s="100"/>
      <c r="BR313" s="100"/>
      <c r="BS313" s="100"/>
      <c r="BT313" s="93">
        <f>IF(AW313=DP!$AN$15,AY313*(1+DP!$AR$15),IF(AW313=DP!$AN$16,AY313*(1+DP!$AR$16),IF(AW313=DP!$AN$17,AY313*(1+DP!$AR$17),IF(AW313=DP!$AN$18,AY313*(1+DP!$AR$18),0*1))))</f>
        <v>325619.99999999994</v>
      </c>
      <c r="BU313" s="102">
        <f>IF(AW313=DP!$AN$22,(DP!$AO$22),IF(AW313=DP!$AN$23,(DP!$AO$23),IF(AW313=DP!$AN$24,(DP!$AO$24),IF(AW313=DP!$AN$25,(DP!$AO$25),((0*1))))))</f>
        <v>0.23</v>
      </c>
      <c r="BV313" s="93">
        <f t="shared" si="331"/>
        <v>74892.599999999991</v>
      </c>
      <c r="BW313" s="93">
        <f>IF(AW313=DP!$AN$15,AY313*(1+DP!$AR$15),IF(AW313=DP!$AN$16,AY313*(1+DP!$AR$16),IF(AW313=DP!$AN$17,AY313*(1+DP!$AR$17),IF(AW313=DP!$AN$18,AY313*(1+DP!$AR$18),0*1))))</f>
        <v>325619.99999999994</v>
      </c>
      <c r="BX313" s="102">
        <f>IF(AW313=DP!$AN$22,(DP!$AP$22),IF(AW313=DP!$AN$23,(DP!$AP$23),IF(AW313=DP!$AN$24,(DP!$AP$24),IF(AW313=DP!$AN$25,(DP!$AP$25),((0*1))))))</f>
        <v>5.5E-2</v>
      </c>
      <c r="BY313" s="93">
        <f t="shared" si="332"/>
        <v>17909.099999999999</v>
      </c>
      <c r="BZ313" s="93">
        <f>IF(AW313=DP!$AN$15,(AY313/DP!$AM$15)*(1+DP!$AR$15),IF(AW313=DP!$AN$16,(AY313/DP!$AM$16)*(1+DP!$AR$16),IF(AW313=DP!$AN$17,(AY313/DP!$AM$17)*(1+DP!$AR$17),IF(AW313=DP!$AN$18,(AY313/DP!$AM$18)*(1+DP!$AR$18),0*1))))</f>
        <v>13567.499999999998</v>
      </c>
      <c r="CA313" s="102">
        <f>IF(AW313=DP!$AN$22,(DP!$AQ$22),IF(AW313=DP!$AN$23,(DP!$AQ$23),IF(AW313=DP!$AN$24,(DP!$AQ$24),IF(AW313=DP!$AN$25,(DP!$AQ$25),((0*1))))))</f>
        <v>0.51199999999999923</v>
      </c>
      <c r="CB313" s="93">
        <f t="shared" si="333"/>
        <v>6946.5599999999886</v>
      </c>
      <c r="CC313" s="93">
        <f>IF(AW313=DP!$AN$15,AY313*(1+DP!$AR$15),IF(AW313=DP!$AN$16,AY313*(1+DP!$AR$16),IF(AW313=DP!$AN$17,AY313*(1+DP!$AR$17),IF(AW313=DP!$AN$18,AY313*(1+DP!$AR$18),0*1))))</f>
        <v>325619.99999999994</v>
      </c>
      <c r="CD313" s="102">
        <f>IF(AW313=DP!$AN$22,(DP!$AR$22),IF(AW313=DP!$AN$23,(DP!$AR$23),IF(AW313=DP!$AN$24,(DP!$AR$24),IF(AW313=DP!$AN$25,(DP!$AR$25),((0*1))))))</f>
        <v>3.3045977011494254E-2</v>
      </c>
      <c r="CE313" s="93">
        <f t="shared" si="334"/>
        <v>10760.431034482757</v>
      </c>
      <c r="CF313" s="100"/>
      <c r="CG313" s="149">
        <f t="shared" si="335"/>
        <v>35417.837547201292</v>
      </c>
      <c r="CH313" s="149">
        <f>DP!$N$35*BA313</f>
        <v>1582.7586206896553</v>
      </c>
      <c r="CI313" s="149">
        <f>DP!$O$35*BA313</f>
        <v>6014.4827586206902</v>
      </c>
      <c r="CJ313" s="149">
        <f>DP!$P$35*BA313</f>
        <v>40759.199999999997</v>
      </c>
    </row>
    <row r="314" spans="2:88" x14ac:dyDescent="0.35">
      <c r="B314" s="481">
        <f>DP!S23</f>
        <v>0</v>
      </c>
      <c r="C314" s="481" t="str">
        <f>DP!T23</f>
        <v>PALMITO TROZO 400</v>
      </c>
      <c r="D314" s="481">
        <f>DP!U23</f>
        <v>400</v>
      </c>
      <c r="E314" s="481">
        <f>DP!V23</f>
        <v>236</v>
      </c>
      <c r="F314" s="412">
        <f t="shared" si="313"/>
        <v>0</v>
      </c>
      <c r="G314" s="470">
        <f>DP!AF23</f>
        <v>0</v>
      </c>
      <c r="H314" s="98">
        <f t="shared" si="314"/>
        <v>0</v>
      </c>
      <c r="I314" s="97"/>
      <c r="J314" s="102">
        <f t="shared" si="306"/>
        <v>0</v>
      </c>
      <c r="K314" s="98">
        <f t="shared" si="307"/>
        <v>0</v>
      </c>
      <c r="L314" s="93">
        <f t="shared" si="308"/>
        <v>0</v>
      </c>
      <c r="M314" s="99">
        <f t="shared" si="309"/>
        <v>0</v>
      </c>
      <c r="N314" s="100"/>
      <c r="O314" s="102">
        <f>($E314/DP!$P$29)*F314</f>
        <v>0</v>
      </c>
      <c r="P314" s="102">
        <f>IF(O314&gt;0,(DP!$P$31),0*1)</f>
        <v>0</v>
      </c>
      <c r="Q314" s="102">
        <f t="shared" si="315"/>
        <v>0</v>
      </c>
      <c r="R314" s="102">
        <f t="shared" si="316"/>
        <v>0</v>
      </c>
      <c r="S314" s="418">
        <f t="shared" si="317"/>
        <v>0</v>
      </c>
      <c r="T314" s="475">
        <f>H314*DP!$AC$44</f>
        <v>0</v>
      </c>
      <c r="U314" s="475">
        <f>IF(H314&gt;0,DP!$AD$44,0*1)</f>
        <v>0</v>
      </c>
      <c r="V314" s="475">
        <f t="shared" si="318"/>
        <v>0</v>
      </c>
      <c r="W314" s="475">
        <f>H314*DP!$AC$45</f>
        <v>0</v>
      </c>
      <c r="X314" s="475">
        <f>IF(H314&gt;0,DP!$AD$45,0*1)</f>
        <v>0</v>
      </c>
      <c r="Y314" s="475">
        <f t="shared" si="319"/>
        <v>0</v>
      </c>
      <c r="Z314" s="100"/>
      <c r="AA314" s="93">
        <f>IF(D314=DP!$L$15,F314*(1+DP!$P$15),IF(D314=DP!$L$16,F314*(1+DP!$P$16),IF(D314=DP!$L$17,F314*(1+DP!$P$17),IF(D314=DP!$L$18,F314*(1+DP!$P$18),0*1))))</f>
        <v>0</v>
      </c>
      <c r="AB314" s="102">
        <f>IF(D314=DP!$L$22,(DP!$M$22),IF(D314=DP!$L$23,(DP!$M$23),IF(D314=DP!$L$24,(DP!$M$24),IF(D314=DP!$L$25,(DP!$M$25),((0*1))))))</f>
        <v>0</v>
      </c>
      <c r="AC314" s="93">
        <f t="shared" si="320"/>
        <v>0</v>
      </c>
      <c r="AD314" s="93">
        <f>IF(D314=DP!$L$15,F314*(1+DP!$P$15),IF(D314=DP!$L$16,F314*(1+DP!$P$16),IF(D314=DP!$L$17,F314*(1+DP!$P$17),IF(D314=DP!$L$18,F314*(1+DP!$P$18),0*1))))</f>
        <v>0</v>
      </c>
      <c r="AE314" s="102">
        <f>IF(D314=DP!$L$22,(DP!$N$22),IF(D314=DP!$L$23,(DP!$N$23),IF(D314=DP!$L$24,(DP!$N$24),IF(D314=DP!$L$25,(DP!$N$25),((0*1))))))</f>
        <v>0</v>
      </c>
      <c r="AF314" s="93">
        <f t="shared" si="321"/>
        <v>0</v>
      </c>
      <c r="AG314" s="93">
        <f>IF(D314=DP!$L$15,(F314/DP!$K$15)*(1+DP!$P$15),IF(D314=DP!$L$16,(F314/DP!$K$16)*(1+DP!$P$16),IF(D314=DP!$L$17,(F314/DP!$K$17)*(1+DP!$P$17),IF(D314=DP!$L$18,(F314/DP!$K$18)*(1+DP!$P$18),0*1))))</f>
        <v>0</v>
      </c>
      <c r="AH314" s="102">
        <f>IF(D314=DP!$L$22,(DP!$O$22),IF(D314=DP!$L$23,(DP!$O$23),IF(D314=DP!$L$24,(DP!$O$24),IF(D314=DP!$L$25,(DP!$O$25),((0*1))))))</f>
        <v>0</v>
      </c>
      <c r="AI314" s="93">
        <f t="shared" si="322"/>
        <v>0</v>
      </c>
      <c r="AJ314" s="93">
        <f>IF(D314=DP!$L$15,F314*(1+DP!$P$15),IF(D314=DP!$L$16,F314*(1+DP!$P$16),IF(D314=DP!$L$17,F314*(1+DP!$P$17),IF(D314=DP!$L$18,F314*(1+DP!$P$18),0*1))))</f>
        <v>0</v>
      </c>
      <c r="AK314" s="102">
        <f>IF(D314=DP!$L$22,(DP!$P$22),IF(D314=DP!$L$23,(DP!$P$23),IF(D314=DP!$L$24,(DP!$P$24),IF(D314=DP!$L$25,(DP!$P$25),((0*1))))))</f>
        <v>0</v>
      </c>
      <c r="AL314" s="93">
        <f t="shared" si="323"/>
        <v>0</v>
      </c>
      <c r="AM314" s="100"/>
      <c r="AN314" s="149">
        <f t="shared" si="310"/>
        <v>0</v>
      </c>
      <c r="AO314" s="149">
        <f>DP!$N$35*H314</f>
        <v>0</v>
      </c>
      <c r="AP314" s="149">
        <f>DP!$O$35*H314</f>
        <v>0</v>
      </c>
      <c r="AQ314" s="149">
        <f>DP!$P$35*H314</f>
        <v>0</v>
      </c>
      <c r="AV314" s="489" t="str">
        <f>DP!AV23</f>
        <v>PIÑA TROZO 567</v>
      </c>
      <c r="AW314" s="489">
        <f>DP!AW23</f>
        <v>567</v>
      </c>
      <c r="AX314" s="489">
        <f>DP!AX23</f>
        <v>340</v>
      </c>
      <c r="AY314" s="412">
        <f t="shared" si="324"/>
        <v>162000</v>
      </c>
      <c r="AZ314" s="470">
        <f>DP!BH23</f>
        <v>0.3</v>
      </c>
      <c r="BA314" s="98">
        <f t="shared" si="325"/>
        <v>55080</v>
      </c>
      <c r="BB314" s="97"/>
      <c r="BC314" s="102">
        <f t="shared" si="326"/>
        <v>0.96041166831383962</v>
      </c>
      <c r="BD314" s="98">
        <f t="shared" si="311"/>
        <v>0.83461166831383959</v>
      </c>
      <c r="BE314" s="93">
        <f t="shared" si="327"/>
        <v>155586.69026684202</v>
      </c>
      <c r="BF314" s="99">
        <f t="shared" si="312"/>
        <v>135207.09026684202</v>
      </c>
      <c r="BG314" s="100"/>
      <c r="BH314" s="102">
        <f>IFERROR((BA314*100%)/DP!$AR$29,(0*1))</f>
        <v>122400</v>
      </c>
      <c r="BI314" s="102">
        <f>IF(BH314&gt;0,(DP!$AR$31),0*1)</f>
        <v>0.45</v>
      </c>
      <c r="BJ314" s="435">
        <f t="shared" si="328"/>
        <v>55080</v>
      </c>
      <c r="BK314" s="475">
        <f>BA314*DP!$BE$44</f>
        <v>137.70000000000002</v>
      </c>
      <c r="BL314" s="475">
        <f>IF(BA314&gt;0,DP!$BF$44,0*1)</f>
        <v>0.95</v>
      </c>
      <c r="BM314" s="475">
        <f t="shared" si="329"/>
        <v>130.815</v>
      </c>
      <c r="BN314" s="102">
        <f>BA314*DP!$BE$45</f>
        <v>9143.2800000000007</v>
      </c>
      <c r="BO314" s="102">
        <f>IF(BA314&gt;0,DP!$BF$45,0*1)</f>
        <v>0.76919999999999999</v>
      </c>
      <c r="BP314" s="475">
        <f t="shared" si="330"/>
        <v>7033.0109760000005</v>
      </c>
      <c r="BQ314" s="100"/>
      <c r="BR314" s="100"/>
      <c r="BS314" s="100"/>
      <c r="BT314" s="93">
        <f>IF(AW314=DP!$AN$15,AY314*(1+DP!$AR$15),IF(AW314=DP!$AN$16,AY314*(1+DP!$AR$16),IF(AW314=DP!$AN$17,AY314*(1+DP!$AR$17),IF(AW314=DP!$AN$18,AY314*(1+DP!$AR$18),0*1))))</f>
        <v>162809.99999999997</v>
      </c>
      <c r="BU314" s="102">
        <f>IF(AW314=DP!$AN$22,(DP!$AO$22),IF(AW314=DP!$AN$23,(DP!$AO$23),IF(AW314=DP!$AN$24,(DP!$AO$24),IF(AW314=DP!$AN$25,(DP!$AO$25),((0*1))))))</f>
        <v>0.23</v>
      </c>
      <c r="BV314" s="93">
        <f t="shared" si="331"/>
        <v>37446.299999999996</v>
      </c>
      <c r="BW314" s="93">
        <f>IF(AW314=DP!$AN$15,AY314*(1+DP!$AR$15),IF(AW314=DP!$AN$16,AY314*(1+DP!$AR$16),IF(AW314=DP!$AN$17,AY314*(1+DP!$AR$17),IF(AW314=DP!$AN$18,AY314*(1+DP!$AR$18),0*1))))</f>
        <v>162809.99999999997</v>
      </c>
      <c r="BX314" s="102">
        <f>IF(AW314=DP!$AN$22,(DP!$AP$22),IF(AW314=DP!$AN$23,(DP!$AP$23),IF(AW314=DP!$AN$24,(DP!$AP$24),IF(AW314=DP!$AN$25,(DP!$AP$25),((0*1))))))</f>
        <v>5.5E-2</v>
      </c>
      <c r="BY314" s="93">
        <f t="shared" si="332"/>
        <v>8954.5499999999993</v>
      </c>
      <c r="BZ314" s="93">
        <f>IF(AW314=DP!$AN$15,(AY314/DP!$AM$15)*(1+DP!$AR$15),IF(AW314=DP!$AN$16,(AY314/DP!$AM$16)*(1+DP!$AR$16),IF(AW314=DP!$AN$17,(AY314/DP!$AM$17)*(1+DP!$AR$17),IF(AW314=DP!$AN$18,(AY314/DP!$AM$18)*(1+DP!$AR$18),0*1))))</f>
        <v>6783.7499999999991</v>
      </c>
      <c r="CA314" s="102">
        <f>IF(AW314=DP!$AN$22,(DP!$AQ$22),IF(AW314=DP!$AN$23,(DP!$AQ$23),IF(AW314=DP!$AN$24,(DP!$AQ$24),IF(AW314=DP!$AN$25,(DP!$AQ$25),((0*1))))))</f>
        <v>0.51199999999999923</v>
      </c>
      <c r="CB314" s="93">
        <f t="shared" si="333"/>
        <v>3473.2799999999943</v>
      </c>
      <c r="CC314" s="93">
        <f>IF(AW314=DP!$AN$15,AY314*(1+DP!$AR$15),IF(AW314=DP!$AN$16,AY314*(1+DP!$AR$16),IF(AW314=DP!$AN$17,AY314*(1+DP!$AR$17),IF(AW314=DP!$AN$18,AY314*(1+DP!$AR$18),0*1))))</f>
        <v>162809.99999999997</v>
      </c>
      <c r="CD314" s="102">
        <f>IF(AW314=DP!$AN$22,(DP!$AR$22),IF(AW314=DP!$AN$23,(DP!$AR$23),IF(AW314=DP!$AN$24,(DP!$AR$24),IF(AW314=DP!$AN$25,(DP!$AR$25),((0*1))))))</f>
        <v>3.3045977011494254E-2</v>
      </c>
      <c r="CE314" s="93">
        <f t="shared" si="334"/>
        <v>5380.2155172413786</v>
      </c>
      <c r="CF314" s="100"/>
      <c r="CG314" s="149">
        <f t="shared" si="335"/>
        <v>17708.918773600646</v>
      </c>
      <c r="CH314" s="149">
        <f>DP!$N$35*BA314</f>
        <v>791.37931034482767</v>
      </c>
      <c r="CI314" s="149">
        <f>DP!$O$35*BA314</f>
        <v>3007.2413793103451</v>
      </c>
      <c r="CJ314" s="149">
        <f>DP!$P$35*BA314</f>
        <v>20379.599999999999</v>
      </c>
    </row>
    <row r="315" spans="2:88" x14ac:dyDescent="0.35">
      <c r="B315" s="481">
        <f>DP!S24</f>
        <v>0</v>
      </c>
      <c r="C315" s="481" t="str">
        <f>DP!T24</f>
        <v>PALMITO TROZO  A-10</v>
      </c>
      <c r="D315" s="481">
        <f>DP!U24</f>
        <v>2920</v>
      </c>
      <c r="E315" s="481">
        <f>DP!V24</f>
        <v>1825</v>
      </c>
      <c r="F315" s="412">
        <f t="shared" si="313"/>
        <v>0</v>
      </c>
      <c r="G315" s="470">
        <f>DP!AF24</f>
        <v>0</v>
      </c>
      <c r="H315" s="98">
        <f t="shared" si="314"/>
        <v>0</v>
      </c>
      <c r="I315" s="97"/>
      <c r="J315" s="102">
        <f t="shared" si="306"/>
        <v>0</v>
      </c>
      <c r="K315" s="98">
        <f t="shared" si="307"/>
        <v>0</v>
      </c>
      <c r="L315" s="93">
        <f t="shared" si="308"/>
        <v>0</v>
      </c>
      <c r="M315" s="99">
        <f t="shared" si="309"/>
        <v>0</v>
      </c>
      <c r="N315" s="100"/>
      <c r="O315" s="102">
        <f>($E315/DP!$P$29)*F315</f>
        <v>0</v>
      </c>
      <c r="P315" s="102">
        <f>IF(O315&gt;0,(DP!$P$31),0*1)</f>
        <v>0</v>
      </c>
      <c r="Q315" s="102">
        <f t="shared" si="315"/>
        <v>0</v>
      </c>
      <c r="R315" s="102">
        <f t="shared" si="316"/>
        <v>0</v>
      </c>
      <c r="S315" s="418">
        <f t="shared" si="317"/>
        <v>0</v>
      </c>
      <c r="T315" s="475">
        <f>H315*DP!$AC$44</f>
        <v>0</v>
      </c>
      <c r="U315" s="475">
        <f>IF(H315&gt;0,DP!$AD$44,0*1)</f>
        <v>0</v>
      </c>
      <c r="V315" s="475">
        <f t="shared" si="318"/>
        <v>0</v>
      </c>
      <c r="W315" s="475">
        <f>H315*DP!$AC$45</f>
        <v>0</v>
      </c>
      <c r="X315" s="475">
        <f>IF(H315&gt;0,DP!$AD$45,0*1)</f>
        <v>0</v>
      </c>
      <c r="Y315" s="475">
        <f t="shared" si="319"/>
        <v>0</v>
      </c>
      <c r="Z315" s="100"/>
      <c r="AA315" s="93">
        <f>IF(D315=DP!$L$15,F315*(1+DP!$P$15),IF(D315=DP!$L$16,F315*(1+DP!$P$16),IF(D315=DP!$L$17,F315*(1+DP!$P$17),IF(D315=DP!$L$18,F315*(1+DP!$P$18),0*1))))</f>
        <v>0</v>
      </c>
      <c r="AB315" s="102">
        <f>IF(D315=DP!$L$22,(DP!$M$22),IF(D315=DP!$L$23,(DP!$M$23),IF(D315=DP!$L$24,(DP!$M$24),IF(D315=DP!$L$25,(DP!$M$25),((0*1))))))</f>
        <v>0</v>
      </c>
      <c r="AC315" s="93">
        <f t="shared" si="320"/>
        <v>0</v>
      </c>
      <c r="AD315" s="93">
        <f>IF(D315=DP!$L$15,F315*(1+DP!$P$15),IF(D315=DP!$L$16,F315*(1+DP!$P$16),IF(D315=DP!$L$17,F315*(1+DP!$P$17),IF(D315=DP!$L$18,F315*(1+DP!$P$18),0*1))))</f>
        <v>0</v>
      </c>
      <c r="AE315" s="102">
        <f>IF(D315=DP!$L$22,(DP!$N$22),IF(D315=DP!$L$23,(DP!$N$23),IF(D315=DP!$L$24,(DP!$N$24),IF(D315=DP!$L$25,(DP!$N$25),((0*1))))))</f>
        <v>0</v>
      </c>
      <c r="AF315" s="93">
        <f t="shared" si="321"/>
        <v>0</v>
      </c>
      <c r="AG315" s="93">
        <f>IF(D315=DP!$L$15,(F315/DP!$K$15)*(1+DP!$P$15),IF(D315=DP!$L$16,(F315/DP!$K$16)*(1+DP!$P$16),IF(D315=DP!$L$17,(F315/DP!$K$17)*(1+DP!$P$17),IF(D315=DP!$L$18,(F315/DP!$K$18)*(1+DP!$P$18),0*1))))</f>
        <v>0</v>
      </c>
      <c r="AH315" s="102">
        <f>IF(D315=DP!$L$22,(DP!$O$22),IF(D315=DP!$L$23,(DP!$O$23),IF(D315=DP!$L$24,(DP!$O$24),IF(D315=DP!$L$25,(DP!$O$25),((0*1))))))</f>
        <v>0</v>
      </c>
      <c r="AI315" s="93">
        <f t="shared" si="322"/>
        <v>0</v>
      </c>
      <c r="AJ315" s="93">
        <f>IF(D315=DP!$L$15,F315*(1+DP!$P$15),IF(D315=DP!$L$16,F315*(1+DP!$P$16),IF(D315=DP!$L$17,F315*(1+DP!$P$17),IF(D315=DP!$L$18,F315*(1+DP!$P$18),0*1))))</f>
        <v>0</v>
      </c>
      <c r="AK315" s="102">
        <f>IF(D315=DP!$L$22,(DP!$P$22),IF(D315=DP!$L$23,(DP!$P$23),IF(D315=DP!$L$24,(DP!$P$24),IF(D315=DP!$L$25,(DP!$P$25),((0*1))))))</f>
        <v>0</v>
      </c>
      <c r="AL315" s="93">
        <f t="shared" si="323"/>
        <v>0</v>
      </c>
      <c r="AM315" s="100"/>
      <c r="AN315" s="149">
        <f t="shared" si="310"/>
        <v>0</v>
      </c>
      <c r="AO315" s="149">
        <f>DP!$N$35*H315</f>
        <v>0</v>
      </c>
      <c r="AP315" s="149">
        <f>DP!$O$35*H315</f>
        <v>0</v>
      </c>
      <c r="AQ315" s="149">
        <f>DP!$P$35*H315</f>
        <v>0</v>
      </c>
      <c r="AV315" s="489" t="str">
        <f>DP!AV24</f>
        <v>PIÑA RODAJA 822</v>
      </c>
      <c r="AW315" s="489">
        <f>DP!AW24</f>
        <v>822</v>
      </c>
      <c r="AX315" s="489">
        <f>DP!AX24</f>
        <v>500</v>
      </c>
      <c r="AY315" s="412">
        <f t="shared" si="324"/>
        <v>36720</v>
      </c>
      <c r="AZ315" s="470">
        <f>DP!BH24</f>
        <v>0.1</v>
      </c>
      <c r="BA315" s="98">
        <f t="shared" si="325"/>
        <v>18360</v>
      </c>
      <c r="BB315" s="97"/>
      <c r="BC315" s="102">
        <f t="shared" si="326"/>
        <v>1.2984286501572693</v>
      </c>
      <c r="BD315" s="98">
        <f t="shared" si="311"/>
        <v>1.1134286501572692</v>
      </c>
      <c r="BE315" s="93">
        <f t="shared" si="327"/>
        <v>47678.300033774925</v>
      </c>
      <c r="BF315" s="99">
        <f t="shared" si="312"/>
        <v>40885.100033774928</v>
      </c>
      <c r="BG315" s="100"/>
      <c r="BH315" s="102">
        <f>IFERROR((BA315*100%)/DP!$AR$29,(0*1))</f>
        <v>40800</v>
      </c>
      <c r="BI315" s="102">
        <f>IF(BH315&gt;0,(DP!$AR$31),0*1)</f>
        <v>0.45</v>
      </c>
      <c r="BJ315" s="435">
        <f t="shared" si="328"/>
        <v>18360</v>
      </c>
      <c r="BK315" s="475">
        <f>BA315*DP!$BE$44</f>
        <v>45.9</v>
      </c>
      <c r="BL315" s="475">
        <f>IF(BA315&gt;0,DP!$BF$44,0*1)</f>
        <v>0.95</v>
      </c>
      <c r="BM315" s="475">
        <f t="shared" si="329"/>
        <v>43.604999999999997</v>
      </c>
      <c r="BN315" s="102">
        <f>BA315*DP!$BE$45</f>
        <v>3047.76</v>
      </c>
      <c r="BO315" s="102">
        <f>IF(BA315&gt;0,DP!$BF$45,0*1)</f>
        <v>0.76919999999999999</v>
      </c>
      <c r="BP315" s="475">
        <f t="shared" si="330"/>
        <v>2344.336992</v>
      </c>
      <c r="BQ315" s="100"/>
      <c r="BR315" s="100"/>
      <c r="BS315" s="100"/>
      <c r="BT315" s="93">
        <f>IF(AW315=DP!$AN$15,AY315*(1+DP!$AR$15),IF(AW315=DP!$AN$16,AY315*(1+DP!$AR$16),IF(AW315=DP!$AN$17,AY315*(1+DP!$AR$17),IF(AW315=DP!$AN$18,AY315*(1+DP!$AR$18),0*1))))</f>
        <v>36903.599999999999</v>
      </c>
      <c r="BU315" s="102">
        <f>IF(AW315=DP!$AN$22,(DP!$AO$22),IF(AW315=DP!$AN$23,(DP!$AO$23),IF(AW315=DP!$AN$24,(DP!$AO$24),IF(AW315=DP!$AN$25,(DP!$AO$25),((0*1))))))</f>
        <v>0.24</v>
      </c>
      <c r="BV315" s="93">
        <f t="shared" si="331"/>
        <v>8856.8639999999996</v>
      </c>
      <c r="BW315" s="93">
        <f>IF(AW315=DP!$AN$15,AY315*(1+DP!$AR$15),IF(AW315=DP!$AN$16,AY315*(1+DP!$AR$16),IF(AW315=DP!$AN$17,AY315*(1+DP!$AR$17),IF(AW315=DP!$AN$18,AY315*(1+DP!$AR$18),0*1))))</f>
        <v>36903.599999999999</v>
      </c>
      <c r="BX315" s="102">
        <f>IF(AW315=DP!$AN$22,(DP!$AP$22),IF(AW315=DP!$AN$23,(DP!$AP$23),IF(AW315=DP!$AN$24,(DP!$AP$24),IF(AW315=DP!$AN$25,(DP!$AP$25),((0*1))))))</f>
        <v>7.0000000000000007E-2</v>
      </c>
      <c r="BY315" s="93">
        <f t="shared" si="332"/>
        <v>2583.252</v>
      </c>
      <c r="BZ315" s="93">
        <f>IF(AW315=DP!$AN$15,(AY315/DP!$AM$15)*(1+DP!$AR$15),IF(AW315=DP!$AN$16,(AY315/DP!$AM$16)*(1+DP!$AR$16),IF(AW315=DP!$AN$17,(AY315/DP!$AM$17)*(1+DP!$AR$17),IF(AW315=DP!$AN$18,(AY315/DP!$AM$18)*(1+DP!$AR$18),0*1))))</f>
        <v>3075.2999999999997</v>
      </c>
      <c r="CA315" s="102">
        <f>IF(AW315=DP!$AN$22,(DP!$AQ$22),IF(AW315=DP!$AN$23,(DP!$AQ$23),IF(AW315=DP!$AN$24,(DP!$AQ$24),IF(AW315=DP!$AN$25,(DP!$AQ$25),((0*1))))))</f>
        <v>0.51200000000000045</v>
      </c>
      <c r="CB315" s="93">
        <f t="shared" si="333"/>
        <v>1574.5536000000013</v>
      </c>
      <c r="CC315" s="93">
        <f>IF(AW315=DP!$AN$15,AY315*(1+DP!$AR$15),IF(AW315=DP!$AN$16,AY315*(1+DP!$AR$16),IF(AW315=DP!$AN$17,AY315*(1+DP!$AR$17),IF(AW315=DP!$AN$18,AY315*(1+DP!$AR$18),0*1))))</f>
        <v>36903.599999999999</v>
      </c>
      <c r="CD315" s="102">
        <f>IF(AW315=DP!$AN$22,(DP!$AR$22),IF(AW315=DP!$AN$23,(DP!$AR$23),IF(AW315=DP!$AN$24,(DP!$AR$24),IF(AW315=DP!$AN$25,(DP!$AR$25),((0*1))))))</f>
        <v>3.3045977011494254E-2</v>
      </c>
      <c r="CE315" s="93">
        <f t="shared" si="334"/>
        <v>1219.5155172413793</v>
      </c>
      <c r="CF315" s="100"/>
      <c r="CG315" s="149">
        <f t="shared" si="335"/>
        <v>5902.9729245335484</v>
      </c>
      <c r="CH315" s="149">
        <f>DP!$N$35*BA315</f>
        <v>263.79310344827587</v>
      </c>
      <c r="CI315" s="149">
        <f>DP!$O$35*BA315</f>
        <v>1002.4137931034484</v>
      </c>
      <c r="CJ315" s="149">
        <f>DP!$P$35*BA315</f>
        <v>6793.2</v>
      </c>
    </row>
    <row r="316" spans="2:88" x14ac:dyDescent="0.35">
      <c r="B316" s="481">
        <f>DP!S25</f>
        <v>0</v>
      </c>
      <c r="C316" s="481" t="str">
        <f>DP!T25</f>
        <v>PALMITO RODAJA  A-10</v>
      </c>
      <c r="D316" s="481">
        <f>DP!U25</f>
        <v>2920</v>
      </c>
      <c r="E316" s="481">
        <f>DP!V25</f>
        <v>1825</v>
      </c>
      <c r="F316" s="412">
        <f t="shared" si="313"/>
        <v>0</v>
      </c>
      <c r="G316" s="470">
        <f>DP!AF25</f>
        <v>0</v>
      </c>
      <c r="H316" s="98">
        <f t="shared" si="314"/>
        <v>0</v>
      </c>
      <c r="I316" s="97"/>
      <c r="J316" s="102">
        <f t="shared" si="306"/>
        <v>0</v>
      </c>
      <c r="K316" s="98">
        <f t="shared" si="307"/>
        <v>0</v>
      </c>
      <c r="L316" s="93">
        <f t="shared" si="308"/>
        <v>0</v>
      </c>
      <c r="M316" s="99">
        <f t="shared" si="309"/>
        <v>0</v>
      </c>
      <c r="N316" s="100"/>
      <c r="O316" s="102">
        <f>($E316/DP!$P$29)*F316</f>
        <v>0</v>
      </c>
      <c r="P316" s="102">
        <f>IF(O316&gt;0,(DP!$P$31),0*1)</f>
        <v>0</v>
      </c>
      <c r="Q316" s="102">
        <f t="shared" si="315"/>
        <v>0</v>
      </c>
      <c r="R316" s="102">
        <f t="shared" si="316"/>
        <v>0</v>
      </c>
      <c r="S316" s="418">
        <f t="shared" si="317"/>
        <v>0</v>
      </c>
      <c r="T316" s="475">
        <f>H316*DP!$AC$44</f>
        <v>0</v>
      </c>
      <c r="U316" s="475">
        <f>IF(H316&gt;0,DP!$AD$44,0*1)</f>
        <v>0</v>
      </c>
      <c r="V316" s="475">
        <f t="shared" si="318"/>
        <v>0</v>
      </c>
      <c r="W316" s="475">
        <f>H316*DP!$AC$45</f>
        <v>0</v>
      </c>
      <c r="X316" s="475">
        <f>IF(H316&gt;0,DP!$AD$45,0*1)</f>
        <v>0</v>
      </c>
      <c r="Y316" s="475">
        <f t="shared" si="319"/>
        <v>0</v>
      </c>
      <c r="Z316" s="100"/>
      <c r="AA316" s="93">
        <f>IF(D316=DP!$L$15,F316*(1+DP!$P$15),IF(D316=DP!$L$16,F316*(1+DP!$P$16),IF(D316=DP!$L$17,F316*(1+DP!$P$17),IF(D316=DP!$L$18,F316*(1+DP!$P$18),0*1))))</f>
        <v>0</v>
      </c>
      <c r="AB316" s="102">
        <f>IF(D316=DP!$L$22,(DP!$M$22),IF(D316=DP!$L$23,(DP!$M$23),IF(D316=DP!$L$24,(DP!$M$24),IF(D316=DP!$L$25,(DP!$M$25),((0*1))))))</f>
        <v>0</v>
      </c>
      <c r="AC316" s="93">
        <f t="shared" si="320"/>
        <v>0</v>
      </c>
      <c r="AD316" s="93">
        <f>IF(D316=DP!$L$15,F316*(1+DP!$P$15),IF(D316=DP!$L$16,F316*(1+DP!$P$16),IF(D316=DP!$L$17,F316*(1+DP!$P$17),IF(D316=DP!$L$18,F316*(1+DP!$P$18),0*1))))</f>
        <v>0</v>
      </c>
      <c r="AE316" s="102">
        <f>IF(D316=DP!$L$22,(DP!$N$22),IF(D316=DP!$L$23,(DP!$N$23),IF(D316=DP!$L$24,(DP!$N$24),IF(D316=DP!$L$25,(DP!$N$25),((0*1))))))</f>
        <v>0</v>
      </c>
      <c r="AF316" s="93">
        <f t="shared" si="321"/>
        <v>0</v>
      </c>
      <c r="AG316" s="93">
        <f>IF(D316=DP!$L$15,(F316/DP!$K$15)*(1+DP!$P$15),IF(D316=DP!$L$16,(F316/DP!$K$16)*(1+DP!$P$16),IF(D316=DP!$L$17,(F316/DP!$K$17)*(1+DP!$P$17),IF(D316=DP!$L$18,(F316/DP!$K$18)*(1+DP!$P$18),0*1))))</f>
        <v>0</v>
      </c>
      <c r="AH316" s="102">
        <f>IF(D316=DP!$L$22,(DP!$O$22),IF(D316=DP!$L$23,(DP!$O$23),IF(D316=DP!$L$24,(DP!$O$24),IF(D316=DP!$L$25,(DP!$O$25),((0*1))))))</f>
        <v>0</v>
      </c>
      <c r="AI316" s="93">
        <f t="shared" si="322"/>
        <v>0</v>
      </c>
      <c r="AJ316" s="93">
        <f>IF(D316=DP!$L$15,F316*(1+DP!$P$15),IF(D316=DP!$L$16,F316*(1+DP!$P$16),IF(D316=DP!$L$17,F316*(1+DP!$P$17),IF(D316=DP!$L$18,F316*(1+DP!$P$18),0*1))))</f>
        <v>0</v>
      </c>
      <c r="AK316" s="102">
        <f>IF(D316=DP!$L$22,(DP!$P$22),IF(D316=DP!$L$23,(DP!$P$23),IF(D316=DP!$L$24,(DP!$P$24),IF(D316=DP!$L$25,(DP!$P$25),((0*1))))))</f>
        <v>0</v>
      </c>
      <c r="AL316" s="93">
        <f t="shared" si="323"/>
        <v>0</v>
      </c>
      <c r="AM316" s="100"/>
      <c r="AN316" s="149">
        <f t="shared" si="310"/>
        <v>0</v>
      </c>
      <c r="AO316" s="149">
        <f>DP!$N$35*H316</f>
        <v>0</v>
      </c>
      <c r="AP316" s="149">
        <f>DP!$O$35*H316</f>
        <v>0</v>
      </c>
      <c r="AQ316" s="149">
        <f>DP!$P$35*H316</f>
        <v>0</v>
      </c>
      <c r="AV316" s="489" t="str">
        <f>DP!AV25</f>
        <v>PIÑA TROZO 822</v>
      </c>
      <c r="AW316" s="489">
        <f>DP!AW25</f>
        <v>822</v>
      </c>
      <c r="AX316" s="489">
        <f>DP!AX25</f>
        <v>500</v>
      </c>
      <c r="AY316" s="412">
        <f t="shared" si="324"/>
        <v>0</v>
      </c>
      <c r="AZ316" s="470">
        <f>DP!BH25</f>
        <v>0</v>
      </c>
      <c r="BA316" s="98">
        <f t="shared" si="325"/>
        <v>0</v>
      </c>
      <c r="BB316" s="97"/>
      <c r="BC316" s="102">
        <f t="shared" si="326"/>
        <v>0</v>
      </c>
      <c r="BD316" s="98">
        <f t="shared" si="311"/>
        <v>0</v>
      </c>
      <c r="BE316" s="93">
        <f t="shared" si="327"/>
        <v>0</v>
      </c>
      <c r="BF316" s="99">
        <f t="shared" si="312"/>
        <v>0</v>
      </c>
      <c r="BG316" s="100"/>
      <c r="BH316" s="102">
        <f>IFERROR((BA316*100%)/DP!$AR$29,(0*1))</f>
        <v>0</v>
      </c>
      <c r="BI316" s="102">
        <f>IF(BH316&gt;0,(DP!$AR$31),0*1)</f>
        <v>0</v>
      </c>
      <c r="BJ316" s="435">
        <f t="shared" si="328"/>
        <v>0</v>
      </c>
      <c r="BK316" s="475">
        <f>BA316*DP!$BE$44</f>
        <v>0</v>
      </c>
      <c r="BL316" s="475">
        <f>IF(BA316&gt;0,DP!$BF$44,0*1)</f>
        <v>0</v>
      </c>
      <c r="BM316" s="475">
        <f t="shared" si="329"/>
        <v>0</v>
      </c>
      <c r="BN316" s="102">
        <f>BA316*DP!$BE$45</f>
        <v>0</v>
      </c>
      <c r="BO316" s="102">
        <f>IF(BA316&gt;0,DP!$BF$45,0*1)</f>
        <v>0</v>
      </c>
      <c r="BP316" s="475">
        <f t="shared" si="330"/>
        <v>0</v>
      </c>
      <c r="BQ316" s="100"/>
      <c r="BR316" s="100"/>
      <c r="BS316" s="100"/>
      <c r="BT316" s="93">
        <f>IF(AW316=DP!$AN$15,AY316*(1+DP!$AR$15),IF(AW316=DP!$AN$16,AY316*(1+DP!$AR$16),IF(AW316=DP!$AN$17,AY316*(1+DP!$AR$17),IF(AW316=DP!$AN$18,AY316*(1+DP!$AR$18),0*1))))</f>
        <v>0</v>
      </c>
      <c r="BU316" s="102">
        <f>IF(AW316=DP!$AN$22,(DP!$AO$22),IF(AW316=DP!$AN$23,(DP!$AO$23),IF(AW316=DP!$AN$24,(DP!$AO$24),IF(AW316=DP!$AN$25,(DP!$AO$25),((0*1))))))</f>
        <v>0.24</v>
      </c>
      <c r="BV316" s="93">
        <f t="shared" si="331"/>
        <v>0</v>
      </c>
      <c r="BW316" s="93">
        <f>IF(AW316=DP!$AN$15,AY316*(1+DP!$AR$15),IF(AW316=DP!$AN$16,AY316*(1+DP!$AR$16),IF(AW316=DP!$AN$17,AY316*(1+DP!$AR$17),IF(AW316=DP!$AN$18,AY316*(1+DP!$AR$18),0*1))))</f>
        <v>0</v>
      </c>
      <c r="BX316" s="102">
        <f>IF(AW316=DP!$AN$22,(DP!$AP$22),IF(AW316=DP!$AN$23,(DP!$AP$23),IF(AW316=DP!$AN$24,(DP!$AP$24),IF(AW316=DP!$AN$25,(DP!$AP$25),((0*1))))))</f>
        <v>7.0000000000000007E-2</v>
      </c>
      <c r="BY316" s="93">
        <f t="shared" si="332"/>
        <v>0</v>
      </c>
      <c r="BZ316" s="93">
        <f>IF(AW316=DP!$AN$15,(AY316/DP!$AM$15)*(1+DP!$AR$15),IF(AW316=DP!$AN$16,(AY316/DP!$AM$16)*(1+DP!$AR$16),IF(AW316=DP!$AN$17,(AY316/DP!$AM$17)*(1+DP!$AR$17),IF(AW316=DP!$AN$18,(AY316/DP!$AM$18)*(1+DP!$AR$18),0*1))))</f>
        <v>0</v>
      </c>
      <c r="CA316" s="102">
        <f>IF(AW316=DP!$AN$22,(DP!$AQ$22),IF(AW316=DP!$AN$23,(DP!$AQ$23),IF(AW316=DP!$AN$24,(DP!$AQ$24),IF(AW316=DP!$AN$25,(DP!$AQ$25),((0*1))))))</f>
        <v>0.51200000000000045</v>
      </c>
      <c r="CB316" s="93">
        <f t="shared" si="333"/>
        <v>0</v>
      </c>
      <c r="CC316" s="93">
        <f>IF(AW316=DP!$AN$15,AY316*(1+DP!$AR$15),IF(AW316=DP!$AN$16,AY316*(1+DP!$AR$16),IF(AW316=DP!$AN$17,AY316*(1+DP!$AR$17),IF(AW316=DP!$AN$18,AY316*(1+DP!$AR$18),0*1))))</f>
        <v>0</v>
      </c>
      <c r="CD316" s="102">
        <f>IF(AW316=DP!$AN$22,(DP!$AR$22),IF(AW316=DP!$AN$23,(DP!$AR$23),IF(AW316=DP!$AN$24,(DP!$AR$24),IF(AW316=DP!$AN$25,(DP!$AR$25),((0*1))))))</f>
        <v>3.3045977011494254E-2</v>
      </c>
      <c r="CE316" s="93">
        <f t="shared" si="334"/>
        <v>0</v>
      </c>
      <c r="CF316" s="100"/>
      <c r="CG316" s="149">
        <f t="shared" si="335"/>
        <v>0</v>
      </c>
      <c r="CH316" s="149">
        <f>DP!$N$35*BA316</f>
        <v>0</v>
      </c>
      <c r="CI316" s="149">
        <f>DP!$O$35*BA316</f>
        <v>0</v>
      </c>
      <c r="CJ316" s="149">
        <f>DP!$P$35*BA316</f>
        <v>0</v>
      </c>
    </row>
    <row r="317" spans="2:88" x14ac:dyDescent="0.35">
      <c r="B317" s="481">
        <f>DP!S26</f>
        <v>0</v>
      </c>
      <c r="C317" s="481">
        <f>DP!T26</f>
        <v>0</v>
      </c>
      <c r="D317" s="481">
        <f>DP!U26</f>
        <v>0</v>
      </c>
      <c r="E317" s="481">
        <f>DP!V26</f>
        <v>0</v>
      </c>
      <c r="F317" s="412">
        <f t="shared" si="313"/>
        <v>0</v>
      </c>
      <c r="G317" s="470">
        <f>DP!AF26</f>
        <v>0</v>
      </c>
      <c r="H317" s="98">
        <f t="shared" si="314"/>
        <v>0</v>
      </c>
      <c r="I317" s="97"/>
      <c r="J317" s="102">
        <f t="shared" si="306"/>
        <v>0</v>
      </c>
      <c r="K317" s="98">
        <f t="shared" si="307"/>
        <v>0</v>
      </c>
      <c r="L317" s="93">
        <f t="shared" si="308"/>
        <v>0</v>
      </c>
      <c r="M317" s="99">
        <f t="shared" si="309"/>
        <v>0</v>
      </c>
      <c r="N317" s="100"/>
      <c r="O317" s="102">
        <f>($E317/DP!$P$29)*F317</f>
        <v>0</v>
      </c>
      <c r="P317" s="102">
        <f>IF(O317&gt;0,(DP!$P$31),0*1)</f>
        <v>0</v>
      </c>
      <c r="Q317" s="102">
        <f t="shared" si="315"/>
        <v>0</v>
      </c>
      <c r="R317" s="102">
        <f t="shared" si="316"/>
        <v>0</v>
      </c>
      <c r="S317" s="418">
        <f t="shared" si="317"/>
        <v>0</v>
      </c>
      <c r="T317" s="475">
        <f>H317*DP!$AC$44</f>
        <v>0</v>
      </c>
      <c r="U317" s="475">
        <f>IF(H317&gt;0,DP!$AD$44,0*1)</f>
        <v>0</v>
      </c>
      <c r="V317" s="475">
        <f t="shared" si="318"/>
        <v>0</v>
      </c>
      <c r="W317" s="475">
        <f>H317*DP!$AC$45</f>
        <v>0</v>
      </c>
      <c r="X317" s="475">
        <f>IF(H317&gt;0,DP!$AD$45,0*1)</f>
        <v>0</v>
      </c>
      <c r="Y317" s="475">
        <f t="shared" si="319"/>
        <v>0</v>
      </c>
      <c r="Z317" s="100"/>
      <c r="AA317" s="93">
        <f>IF(D317=DP!$L$15,F317*(1+DP!$P$15),IF(D317=DP!$L$16,F317*(1+DP!$P$16),IF(D317=DP!$L$17,F317*(1+DP!$P$17),IF(D317=DP!$L$18,F317*(1+DP!$P$18),0*1))))</f>
        <v>0</v>
      </c>
      <c r="AB317" s="102">
        <f>IF(D317=DP!$L$22,(DP!$M$22),IF(D317=DP!$L$23,(DP!$M$23),IF(D317=DP!$L$24,(DP!$M$24),IF(D317=DP!$L$25,(DP!$M$25),((0*1))))))</f>
        <v>0</v>
      </c>
      <c r="AC317" s="93">
        <f t="shared" si="320"/>
        <v>0</v>
      </c>
      <c r="AD317" s="93">
        <f>IF(D317=DP!$L$15,F317*(1+DP!$P$15),IF(D317=DP!$L$16,F317*(1+DP!$P$16),IF(D317=DP!$L$17,F317*(1+DP!$P$17),IF(D317=DP!$L$18,F317*(1+DP!$P$18),0*1))))</f>
        <v>0</v>
      </c>
      <c r="AE317" s="102">
        <f>IF(D317=DP!$L$22,(DP!$N$22),IF(D317=DP!$L$23,(DP!$N$23),IF(D317=DP!$L$24,(DP!$N$24),IF(D317=DP!$L$25,(DP!$N$25),((0*1))))))</f>
        <v>0</v>
      </c>
      <c r="AF317" s="93">
        <f t="shared" si="321"/>
        <v>0</v>
      </c>
      <c r="AG317" s="93">
        <f>IF(D317=DP!$L$15,(F317/DP!$K$15)*(1+DP!$P$15),IF(D317=DP!$L$16,(F317/DP!$K$16)*(1+DP!$P$16),IF(D317=DP!$L$17,(F317/DP!$K$17)*(1+DP!$P$17),IF(D317=DP!$L$18,(F317/DP!$K$18)*(1+DP!$P$18),0*1))))</f>
        <v>0</v>
      </c>
      <c r="AH317" s="102">
        <f>IF(D317=DP!$L$22,(DP!$O$22),IF(D317=DP!$L$23,(DP!$O$23),IF(D317=DP!$L$24,(DP!$O$24),IF(D317=DP!$L$25,(DP!$O$25),((0*1))))))</f>
        <v>0</v>
      </c>
      <c r="AI317" s="93">
        <f t="shared" si="322"/>
        <v>0</v>
      </c>
      <c r="AJ317" s="93">
        <f>IF(D317=DP!$L$15,F317*(1+DP!$P$15),IF(D317=DP!$L$16,F317*(1+DP!$P$16),IF(D317=DP!$L$17,F317*(1+DP!$P$17),IF(D317=DP!$L$18,F317*(1+DP!$P$18),0*1))))</f>
        <v>0</v>
      </c>
      <c r="AK317" s="102">
        <f>IF(D317=DP!$L$22,(DP!$P$22),IF(D317=DP!$L$23,(DP!$P$23),IF(D317=DP!$L$24,(DP!$P$24),IF(D317=DP!$L$25,(DP!$P$25),((0*1))))))</f>
        <v>0</v>
      </c>
      <c r="AL317" s="93">
        <f t="shared" si="323"/>
        <v>0</v>
      </c>
      <c r="AM317" s="100"/>
      <c r="AN317" s="149">
        <f t="shared" si="310"/>
        <v>0</v>
      </c>
      <c r="AO317" s="149">
        <f>DP!$N$35*H317</f>
        <v>0</v>
      </c>
      <c r="AP317" s="149">
        <f>DP!$O$35*H317</f>
        <v>0</v>
      </c>
      <c r="AQ317" s="149">
        <f>DP!$P$35*H317</f>
        <v>0</v>
      </c>
      <c r="AV317" s="489">
        <f>DP!AV26</f>
        <v>0</v>
      </c>
      <c r="AW317" s="489">
        <f>DP!AW26</f>
        <v>0</v>
      </c>
      <c r="AX317" s="489">
        <f>DP!AX26</f>
        <v>0</v>
      </c>
      <c r="AY317" s="412">
        <f t="shared" si="324"/>
        <v>0</v>
      </c>
      <c r="AZ317" s="470">
        <f>DP!BH26</f>
        <v>0</v>
      </c>
      <c r="BA317" s="98">
        <f t="shared" si="325"/>
        <v>0</v>
      </c>
      <c r="BB317" s="97"/>
      <c r="BC317" s="102">
        <f t="shared" si="326"/>
        <v>0</v>
      </c>
      <c r="BD317" s="98">
        <f t="shared" si="311"/>
        <v>0</v>
      </c>
      <c r="BE317" s="93">
        <f t="shared" si="327"/>
        <v>0</v>
      </c>
      <c r="BF317" s="99">
        <f t="shared" si="312"/>
        <v>0</v>
      </c>
      <c r="BG317" s="100"/>
      <c r="BH317" s="102">
        <f>IFERROR((BA317*100%)/DP!$AR$29,(0*1))</f>
        <v>0</v>
      </c>
      <c r="BI317" s="102">
        <f>IF(BH317&gt;0,(DP!$AR$31),0*1)</f>
        <v>0</v>
      </c>
      <c r="BJ317" s="435">
        <f t="shared" si="328"/>
        <v>0</v>
      </c>
      <c r="BK317" s="475">
        <f>BA317*DP!$BE$44</f>
        <v>0</v>
      </c>
      <c r="BL317" s="475">
        <f>IF(BA317&gt;0,DP!$BF$44,0*1)</f>
        <v>0</v>
      </c>
      <c r="BM317" s="475">
        <f t="shared" si="329"/>
        <v>0</v>
      </c>
      <c r="BN317" s="102">
        <f>BA317*DP!$BE$45</f>
        <v>0</v>
      </c>
      <c r="BO317" s="102">
        <f>IF(BA317&gt;0,DP!$BF$45,0*1)</f>
        <v>0</v>
      </c>
      <c r="BP317" s="475">
        <f t="shared" si="330"/>
        <v>0</v>
      </c>
      <c r="BQ317" s="100"/>
      <c r="BR317" s="100"/>
      <c r="BS317" s="100"/>
      <c r="BT317" s="93">
        <f>IF(AW317=DP!$AN$15,AY317*(1+DP!$AR$15),IF(AW317=DP!$AN$16,AY317*(1+DP!$AR$16),IF(AW317=DP!$AN$17,AY317*(1+DP!$AR$17),IF(AW317=DP!$AN$18,AY317*(1+DP!$AR$18),0*1))))</f>
        <v>0</v>
      </c>
      <c r="BU317" s="102">
        <f>IF(AW317=DP!$AN$22,(DP!$AO$22),IF(AW317=DP!$AN$23,(DP!$AO$23),IF(AW317=DP!$AN$24,(DP!$AO$24),IF(AW317=DP!$AN$25,(DP!$AO$25),((0*1))))))</f>
        <v>0</v>
      </c>
      <c r="BV317" s="93">
        <f t="shared" si="331"/>
        <v>0</v>
      </c>
      <c r="BW317" s="93">
        <f>IF(AW317=DP!$AN$15,AY317*(1+DP!$AR$15),IF(AW317=DP!$AN$16,AY317*(1+DP!$AR$16),IF(AW317=DP!$AN$17,AY317*(1+DP!$AR$17),IF(AW317=DP!$AN$18,AY317*(1+DP!$AR$18),0*1))))</f>
        <v>0</v>
      </c>
      <c r="BX317" s="102">
        <f>IF(AW317=DP!$AN$22,(DP!$AP$22),IF(AW317=DP!$AN$23,(DP!$AP$23),IF(AW317=DP!$AN$24,(DP!$AP$24),IF(AW317=DP!$AN$25,(DP!$AP$25),((0*1))))))</f>
        <v>0</v>
      </c>
      <c r="BY317" s="93">
        <f t="shared" si="332"/>
        <v>0</v>
      </c>
      <c r="BZ317" s="93">
        <f>IF(AW317=DP!$AN$15,(AY317/DP!$AM$15)*(1+DP!$AR$15),IF(AW317=DP!$AN$16,(AY317/DP!$AM$16)*(1+DP!$AR$16),IF(AW317=DP!$AN$17,(AY317/DP!$AM$17)*(1+DP!$AR$17),IF(AW317=DP!$AN$18,(AY317/DP!$AM$18)*(1+DP!$AR$18),0*1))))</f>
        <v>0</v>
      </c>
      <c r="CA317" s="102">
        <f>IF(AW317=DP!$AN$22,(DP!$AQ$22),IF(AW317=DP!$AN$23,(DP!$AQ$23),IF(AW317=DP!$AN$24,(DP!$AQ$24),IF(AW317=DP!$AN$25,(DP!$AQ$25),((0*1))))))</f>
        <v>0</v>
      </c>
      <c r="CB317" s="93">
        <f t="shared" si="333"/>
        <v>0</v>
      </c>
      <c r="CC317" s="93">
        <f>IF(AW317=DP!$AN$15,AY317*(1+DP!$AR$15),IF(AW317=DP!$AN$16,AY317*(1+DP!$AR$16),IF(AW317=DP!$AN$17,AY317*(1+DP!$AR$17),IF(AW317=DP!$AN$18,AY317*(1+DP!$AR$18),0*1))))</f>
        <v>0</v>
      </c>
      <c r="CD317" s="102">
        <f>IF(AW317=DP!$AN$22,(DP!$AR$22),IF(AW317=DP!$AN$23,(DP!$AR$23),IF(AW317=DP!$AN$24,(DP!$AR$24),IF(AW317=DP!$AN$25,(DP!$AR$25),((0*1))))))</f>
        <v>0</v>
      </c>
      <c r="CE317" s="93">
        <f t="shared" si="334"/>
        <v>0</v>
      </c>
      <c r="CF317" s="100"/>
      <c r="CG317" s="149">
        <f t="shared" si="335"/>
        <v>0</v>
      </c>
      <c r="CH317" s="149">
        <f>DP!$N$35*BA317</f>
        <v>0</v>
      </c>
      <c r="CI317" s="149">
        <f>DP!$O$35*BA317</f>
        <v>0</v>
      </c>
      <c r="CJ317" s="149">
        <f>DP!$P$35*BA317</f>
        <v>0</v>
      </c>
    </row>
    <row r="318" spans="2:88" x14ac:dyDescent="0.35">
      <c r="B318" s="481">
        <f>DP!S27</f>
        <v>0</v>
      </c>
      <c r="C318" s="481">
        <f>DP!T27</f>
        <v>0</v>
      </c>
      <c r="D318" s="481">
        <f>DP!U27</f>
        <v>0</v>
      </c>
      <c r="E318" s="481">
        <f>DP!V27</f>
        <v>0</v>
      </c>
      <c r="F318" s="412">
        <f t="shared" si="313"/>
        <v>0</v>
      </c>
      <c r="G318" s="470">
        <f>DP!AF27</f>
        <v>0</v>
      </c>
      <c r="H318" s="98">
        <f t="shared" si="314"/>
        <v>0</v>
      </c>
      <c r="I318" s="97"/>
      <c r="J318" s="102">
        <f t="shared" si="306"/>
        <v>0</v>
      </c>
      <c r="K318" s="98">
        <f t="shared" si="307"/>
        <v>0</v>
      </c>
      <c r="L318" s="93">
        <f t="shared" si="308"/>
        <v>0</v>
      </c>
      <c r="M318" s="99">
        <f t="shared" si="309"/>
        <v>0</v>
      </c>
      <c r="N318" s="100"/>
      <c r="O318" s="102">
        <f>($E318/DP!$P$29)*F318</f>
        <v>0</v>
      </c>
      <c r="P318" s="102">
        <f>IF(O318&gt;0,(DP!$P$31),0*1)</f>
        <v>0</v>
      </c>
      <c r="Q318" s="102">
        <f t="shared" si="315"/>
        <v>0</v>
      </c>
      <c r="R318" s="102">
        <f t="shared" si="316"/>
        <v>0</v>
      </c>
      <c r="S318" s="418">
        <f t="shared" si="317"/>
        <v>0</v>
      </c>
      <c r="T318" s="475">
        <f>H318*DP!$AC$44</f>
        <v>0</v>
      </c>
      <c r="U318" s="475">
        <f>IF(H318&gt;0,DP!$AD$44,0*1)</f>
        <v>0</v>
      </c>
      <c r="V318" s="475">
        <f t="shared" si="318"/>
        <v>0</v>
      </c>
      <c r="W318" s="475">
        <f>H318*DP!$AC$45</f>
        <v>0</v>
      </c>
      <c r="X318" s="475">
        <f>IF(H318&gt;0,DP!$AD$45,0*1)</f>
        <v>0</v>
      </c>
      <c r="Y318" s="475">
        <f t="shared" si="319"/>
        <v>0</v>
      </c>
      <c r="Z318" s="100"/>
      <c r="AA318" s="93">
        <f>IF(D318=DP!$L$15,F318*(1+DP!$P$15),IF(D318=DP!$L$16,F318*(1+DP!$P$16),IF(D318=DP!$L$17,F318*(1+DP!$P$17),IF(D318=DP!$L$18,F318*(1+DP!$P$18),0*1))))</f>
        <v>0</v>
      </c>
      <c r="AB318" s="102">
        <f>IF(D318=DP!$L$22,(DP!$M$22),IF(D318=DP!$L$23,(DP!$M$23),IF(D318=DP!$L$24,(DP!$M$24),IF(D318=DP!$L$25,(DP!$M$25),((0*1))))))</f>
        <v>0</v>
      </c>
      <c r="AC318" s="93">
        <f t="shared" si="320"/>
        <v>0</v>
      </c>
      <c r="AD318" s="93">
        <f>IF(D318=DP!$L$15,F318*(1+DP!$P$15),IF(D318=DP!$L$16,F318*(1+DP!$P$16),IF(D318=DP!$L$17,F318*(1+DP!$P$17),IF(D318=DP!$L$18,F318*(1+DP!$P$18),0*1))))</f>
        <v>0</v>
      </c>
      <c r="AE318" s="102">
        <f>IF(D318=DP!$L$22,(DP!$N$22),IF(D318=DP!$L$23,(DP!$N$23),IF(D318=DP!$L$24,(DP!$N$24),IF(D318=DP!$L$25,(DP!$N$25),((0*1))))))</f>
        <v>0</v>
      </c>
      <c r="AF318" s="93">
        <f t="shared" si="321"/>
        <v>0</v>
      </c>
      <c r="AG318" s="93">
        <f>IF(D318=DP!$L$15,(F318/DP!$K$15)*(1+DP!$P$15),IF(D318=DP!$L$16,(F318/DP!$K$16)*(1+DP!$P$16),IF(D318=DP!$L$17,(F318/DP!$K$17)*(1+DP!$P$17),IF(D318=DP!$L$18,(F318/DP!$K$18)*(1+DP!$P$18),0*1))))</f>
        <v>0</v>
      </c>
      <c r="AH318" s="102">
        <f>IF(D318=DP!$L$22,(DP!$O$22),IF(D318=DP!$L$23,(DP!$O$23),IF(D318=DP!$L$24,(DP!$O$24),IF(D318=DP!$L$25,(DP!$O$25),((0*1))))))</f>
        <v>0</v>
      </c>
      <c r="AI318" s="93">
        <f t="shared" si="322"/>
        <v>0</v>
      </c>
      <c r="AJ318" s="93">
        <f>IF(D318=DP!$L$15,F318*(1+DP!$P$15),IF(D318=DP!$L$16,F318*(1+DP!$P$16),IF(D318=DP!$L$17,F318*(1+DP!$P$17),IF(D318=DP!$L$18,F318*(1+DP!$P$18),0*1))))</f>
        <v>0</v>
      </c>
      <c r="AK318" s="102">
        <f>IF(D318=DP!$L$22,(DP!$P$22),IF(D318=DP!$L$23,(DP!$P$23),IF(D318=DP!$L$24,(DP!$P$24),IF(D318=DP!$L$25,(DP!$P$25),((0*1))))))</f>
        <v>0</v>
      </c>
      <c r="AL318" s="93">
        <f t="shared" si="323"/>
        <v>0</v>
      </c>
      <c r="AM318" s="100"/>
      <c r="AN318" s="149">
        <f t="shared" si="310"/>
        <v>0</v>
      </c>
      <c r="AO318" s="149">
        <f>DP!$N$35*H318</f>
        <v>0</v>
      </c>
      <c r="AP318" s="149">
        <f>DP!$O$35*H318</f>
        <v>0</v>
      </c>
      <c r="AQ318" s="149">
        <f>DP!$P$35*H318</f>
        <v>0</v>
      </c>
      <c r="AV318" s="489">
        <f>DP!AV27</f>
        <v>0</v>
      </c>
      <c r="AW318" s="489">
        <f>DP!AW27</f>
        <v>0</v>
      </c>
      <c r="AX318" s="489">
        <f>DP!AX27</f>
        <v>0</v>
      </c>
      <c r="AY318" s="412">
        <f t="shared" si="324"/>
        <v>0</v>
      </c>
      <c r="AZ318" s="470">
        <f>DP!BH27</f>
        <v>0</v>
      </c>
      <c r="BA318" s="98">
        <f t="shared" si="325"/>
        <v>0</v>
      </c>
      <c r="BB318" s="97"/>
      <c r="BC318" s="102">
        <f t="shared" si="326"/>
        <v>0</v>
      </c>
      <c r="BD318" s="98">
        <f t="shared" si="311"/>
        <v>0</v>
      </c>
      <c r="BE318" s="93">
        <f t="shared" si="327"/>
        <v>0</v>
      </c>
      <c r="BF318" s="99">
        <f t="shared" si="312"/>
        <v>0</v>
      </c>
      <c r="BG318" s="100"/>
      <c r="BH318" s="102">
        <f>IFERROR((BA318*100%)/DP!$AR$29,(0*1))</f>
        <v>0</v>
      </c>
      <c r="BI318" s="102">
        <f>IF(BH318&gt;0,(DP!$AR$31),0*1)</f>
        <v>0</v>
      </c>
      <c r="BJ318" s="435">
        <f t="shared" si="328"/>
        <v>0</v>
      </c>
      <c r="BK318" s="475">
        <f>BA318*DP!$BE$44</f>
        <v>0</v>
      </c>
      <c r="BL318" s="475">
        <f>IF(BA318&gt;0,DP!$BF$44,0*1)</f>
        <v>0</v>
      </c>
      <c r="BM318" s="475">
        <f t="shared" si="329"/>
        <v>0</v>
      </c>
      <c r="BN318" s="102">
        <f>BA318*DP!$BE$45</f>
        <v>0</v>
      </c>
      <c r="BO318" s="102">
        <f>IF(BA318&gt;0,DP!$BF$45,0*1)</f>
        <v>0</v>
      </c>
      <c r="BP318" s="475">
        <f t="shared" si="330"/>
        <v>0</v>
      </c>
      <c r="BQ318" s="100"/>
      <c r="BR318" s="100"/>
      <c r="BS318" s="100"/>
      <c r="BT318" s="93">
        <f>IF(AW318=DP!$AN$15,AY318*(1+DP!$AR$15),IF(AW318=DP!$AN$16,AY318*(1+DP!$AR$16),IF(AW318=DP!$AN$17,AY318*(1+DP!$AR$17),IF(AW318=DP!$AN$18,AY318*(1+DP!$AR$18),0*1))))</f>
        <v>0</v>
      </c>
      <c r="BU318" s="102">
        <f>IF(AW318=DP!$AN$22,(DP!$AO$22),IF(AW318=DP!$AN$23,(DP!$AO$23),IF(AW318=DP!$AN$24,(DP!$AO$24),IF(AW318=DP!$AN$25,(DP!$AO$25),((0*1))))))</f>
        <v>0</v>
      </c>
      <c r="BV318" s="93">
        <f t="shared" si="331"/>
        <v>0</v>
      </c>
      <c r="BW318" s="93">
        <f>IF(AW318=DP!$AN$15,AY318*(1+DP!$AR$15),IF(AW318=DP!$AN$16,AY318*(1+DP!$AR$16),IF(AW318=DP!$AN$17,AY318*(1+DP!$AR$17),IF(AW318=DP!$AN$18,AY318*(1+DP!$AR$18),0*1))))</f>
        <v>0</v>
      </c>
      <c r="BX318" s="102">
        <f>IF(AW318=DP!$AN$22,(DP!$AP$22),IF(AW318=DP!$AN$23,(DP!$AP$23),IF(AW318=DP!$AN$24,(DP!$AP$24),IF(AW318=DP!$AN$25,(DP!$AP$25),((0*1))))))</f>
        <v>0</v>
      </c>
      <c r="BY318" s="93">
        <f t="shared" si="332"/>
        <v>0</v>
      </c>
      <c r="BZ318" s="93">
        <f>IF(AW318=DP!$AN$15,(AY318/DP!$AM$15)*(1+DP!$AR$15),IF(AW318=DP!$AN$16,(AY318/DP!$AM$16)*(1+DP!$AR$16),IF(AW318=DP!$AN$17,(AY318/DP!$AM$17)*(1+DP!$AR$17),IF(AW318=DP!$AN$18,(AY318/DP!$AM$18)*(1+DP!$AR$18),0*1))))</f>
        <v>0</v>
      </c>
      <c r="CA318" s="102">
        <f>IF(AW318=DP!$AN$22,(DP!$AQ$22),IF(AW318=DP!$AN$23,(DP!$AQ$23),IF(AW318=DP!$AN$24,(DP!$AQ$24),IF(AW318=DP!$AN$25,(DP!$AQ$25),((0*1))))))</f>
        <v>0</v>
      </c>
      <c r="CB318" s="93">
        <f t="shared" si="333"/>
        <v>0</v>
      </c>
      <c r="CC318" s="93">
        <f>IF(AW318=DP!$AN$15,AY318*(1+DP!$AR$15),IF(AW318=DP!$AN$16,AY318*(1+DP!$AR$16),IF(AW318=DP!$AN$17,AY318*(1+DP!$AR$17),IF(AW318=DP!$AN$18,AY318*(1+DP!$AR$18),0*1))))</f>
        <v>0</v>
      </c>
      <c r="CD318" s="102">
        <f>IF(AW318=DP!$AN$22,(DP!$AR$22),IF(AW318=DP!$AN$23,(DP!$AR$23),IF(AW318=DP!$AN$24,(DP!$AR$24),IF(AW318=DP!$AN$25,(DP!$AR$25),((0*1))))))</f>
        <v>0</v>
      </c>
      <c r="CE318" s="93">
        <f t="shared" si="334"/>
        <v>0</v>
      </c>
      <c r="CF318" s="100"/>
      <c r="CG318" s="149">
        <f t="shared" si="335"/>
        <v>0</v>
      </c>
      <c r="CH318" s="149">
        <f>DP!$N$35*BA318</f>
        <v>0</v>
      </c>
      <c r="CI318" s="149">
        <f>DP!$O$35*BA318</f>
        <v>0</v>
      </c>
      <c r="CJ318" s="149">
        <f>DP!$P$35*BA318</f>
        <v>0</v>
      </c>
    </row>
    <row r="319" spans="2:88" x14ac:dyDescent="0.35">
      <c r="B319" s="481">
        <f>DP!S28</f>
        <v>0</v>
      </c>
      <c r="C319" s="481">
        <f>DP!T28</f>
        <v>0</v>
      </c>
      <c r="D319" s="481">
        <f>DP!U28</f>
        <v>0</v>
      </c>
      <c r="E319" s="481">
        <f>DP!V28</f>
        <v>0</v>
      </c>
      <c r="F319" s="412">
        <f t="shared" si="313"/>
        <v>0</v>
      </c>
      <c r="G319" s="470">
        <f>DP!AF28</f>
        <v>0</v>
      </c>
      <c r="H319" s="98">
        <f t="shared" si="314"/>
        <v>0</v>
      </c>
      <c r="I319" s="97"/>
      <c r="J319" s="102">
        <f t="shared" si="306"/>
        <v>0</v>
      </c>
      <c r="K319" s="98">
        <f t="shared" si="307"/>
        <v>0</v>
      </c>
      <c r="L319" s="93">
        <f t="shared" si="308"/>
        <v>0</v>
      </c>
      <c r="M319" s="99">
        <f t="shared" si="309"/>
        <v>0</v>
      </c>
      <c r="N319" s="100"/>
      <c r="O319" s="102">
        <f>($E319/DP!$P$29)*F319</f>
        <v>0</v>
      </c>
      <c r="P319" s="102">
        <f>IF(O319&gt;0,(DP!$P$31),0*1)</f>
        <v>0</v>
      </c>
      <c r="Q319" s="102">
        <f t="shared" si="315"/>
        <v>0</v>
      </c>
      <c r="R319" s="102">
        <f t="shared" si="316"/>
        <v>0</v>
      </c>
      <c r="S319" s="418">
        <f t="shared" si="317"/>
        <v>0</v>
      </c>
      <c r="T319" s="475">
        <f>H319*DP!$AC$44</f>
        <v>0</v>
      </c>
      <c r="U319" s="475">
        <f>IF(H319&gt;0,DP!$AD$44,0*1)</f>
        <v>0</v>
      </c>
      <c r="V319" s="475">
        <f t="shared" si="318"/>
        <v>0</v>
      </c>
      <c r="W319" s="475">
        <f>H319*DP!$AC$45</f>
        <v>0</v>
      </c>
      <c r="X319" s="475">
        <f>IF(H319&gt;0,DP!$AD$45,0*1)</f>
        <v>0</v>
      </c>
      <c r="Y319" s="475">
        <f t="shared" si="319"/>
        <v>0</v>
      </c>
      <c r="Z319" s="100"/>
      <c r="AA319" s="93">
        <f>IF(D319=DP!$L$15,F319*(1+DP!$P$15),IF(D319=DP!$L$16,F319*(1+DP!$P$16),IF(D319=DP!$L$17,F319*(1+DP!$P$17),IF(D319=DP!$L$18,F319*(1+DP!$P$18),0*1))))</f>
        <v>0</v>
      </c>
      <c r="AB319" s="102">
        <f>IF(D319=DP!$L$22,(DP!$M$22),IF(D319=DP!$L$23,(DP!$M$23),IF(D319=DP!$L$24,(DP!$M$24),IF(D319=DP!$L$25,(DP!$M$25),((0*1))))))</f>
        <v>0</v>
      </c>
      <c r="AC319" s="93">
        <f t="shared" si="320"/>
        <v>0</v>
      </c>
      <c r="AD319" s="93">
        <f>IF(D319=DP!$L$15,F319*(1+DP!$P$15),IF(D319=DP!$L$16,F319*(1+DP!$P$16),IF(D319=DP!$L$17,F319*(1+DP!$P$17),IF(D319=DP!$L$18,F319*(1+DP!$P$18),0*1))))</f>
        <v>0</v>
      </c>
      <c r="AE319" s="102">
        <f>IF(D319=DP!$L$22,(DP!$N$22),IF(D319=DP!$L$23,(DP!$N$23),IF(D319=DP!$L$24,(DP!$N$24),IF(D319=DP!$L$25,(DP!$N$25),((0*1))))))</f>
        <v>0</v>
      </c>
      <c r="AF319" s="93">
        <f t="shared" si="321"/>
        <v>0</v>
      </c>
      <c r="AG319" s="93">
        <f>IF(D319=DP!$L$15,(F319/DP!$K$15)*(1+DP!$P$15),IF(D319=DP!$L$16,(F319/DP!$K$16)*(1+DP!$P$16),IF(D319=DP!$L$17,(F319/DP!$K$17)*(1+DP!$P$17),IF(D319=DP!$L$18,(F319/DP!$K$18)*(1+DP!$P$18),0*1))))</f>
        <v>0</v>
      </c>
      <c r="AH319" s="102">
        <f>IF(D319=DP!$L$22,(DP!$O$22),IF(D319=DP!$L$23,(DP!$O$23),IF(D319=DP!$L$24,(DP!$O$24),IF(D319=DP!$L$25,(DP!$O$25),((0*1))))))</f>
        <v>0</v>
      </c>
      <c r="AI319" s="93">
        <f t="shared" si="322"/>
        <v>0</v>
      </c>
      <c r="AJ319" s="93">
        <f>IF(D319=DP!$L$15,F319*(1+DP!$P$15),IF(D319=DP!$L$16,F319*(1+DP!$P$16),IF(D319=DP!$L$17,F319*(1+DP!$P$17),IF(D319=DP!$L$18,F319*(1+DP!$P$18),0*1))))</f>
        <v>0</v>
      </c>
      <c r="AK319" s="102">
        <f>IF(D319=DP!$L$22,(DP!$P$22),IF(D319=DP!$L$23,(DP!$P$23),IF(D319=DP!$L$24,(DP!$P$24),IF(D319=DP!$L$25,(DP!$P$25),((0*1))))))</f>
        <v>0</v>
      </c>
      <c r="AL319" s="93">
        <f t="shared" si="323"/>
        <v>0</v>
      </c>
      <c r="AM319" s="100"/>
      <c r="AN319" s="149">
        <f t="shared" si="310"/>
        <v>0</v>
      </c>
      <c r="AO319" s="149">
        <f>DP!$N$35*H319</f>
        <v>0</v>
      </c>
      <c r="AP319" s="149">
        <f>DP!$O$35*H319</f>
        <v>0</v>
      </c>
      <c r="AQ319" s="149">
        <f>DP!$P$35*H319</f>
        <v>0</v>
      </c>
      <c r="AV319" s="489">
        <f>DP!AV28</f>
        <v>0</v>
      </c>
      <c r="AW319" s="489">
        <f>DP!AW28</f>
        <v>0</v>
      </c>
      <c r="AX319" s="489">
        <f>DP!AX28</f>
        <v>0</v>
      </c>
      <c r="AY319" s="412">
        <f t="shared" si="324"/>
        <v>0</v>
      </c>
      <c r="AZ319" s="470">
        <f>DP!BH28</f>
        <v>0</v>
      </c>
      <c r="BA319" s="98">
        <f t="shared" si="325"/>
        <v>0</v>
      </c>
      <c r="BB319" s="97"/>
      <c r="BC319" s="102">
        <f t="shared" si="326"/>
        <v>0</v>
      </c>
      <c r="BD319" s="98">
        <f t="shared" si="311"/>
        <v>0</v>
      </c>
      <c r="BE319" s="93">
        <f t="shared" si="327"/>
        <v>0</v>
      </c>
      <c r="BF319" s="99">
        <f t="shared" si="312"/>
        <v>0</v>
      </c>
      <c r="BG319" s="100"/>
      <c r="BH319" s="102">
        <f>IFERROR((BA319*100%)/DP!$AR$29,(0*1))</f>
        <v>0</v>
      </c>
      <c r="BI319" s="102">
        <f>IF(BH319&gt;0,(DP!$AR$31),0*1)</f>
        <v>0</v>
      </c>
      <c r="BJ319" s="435">
        <f t="shared" si="328"/>
        <v>0</v>
      </c>
      <c r="BK319" s="475">
        <f>BA319*DP!$BE$44</f>
        <v>0</v>
      </c>
      <c r="BL319" s="475">
        <f>IF(BA319&gt;0,DP!$BF$44,0*1)</f>
        <v>0</v>
      </c>
      <c r="BM319" s="475">
        <f t="shared" si="329"/>
        <v>0</v>
      </c>
      <c r="BN319" s="102">
        <f>BA319*DP!$BE$45</f>
        <v>0</v>
      </c>
      <c r="BO319" s="102">
        <f>IF(BA319&gt;0,DP!$BF$45,0*1)</f>
        <v>0</v>
      </c>
      <c r="BP319" s="475">
        <f t="shared" si="330"/>
        <v>0</v>
      </c>
      <c r="BQ319" s="100"/>
      <c r="BR319" s="100"/>
      <c r="BS319" s="100"/>
      <c r="BT319" s="93">
        <f>IF(AW319=DP!$AN$15,AY319*(1+DP!$AR$15),IF(AW319=DP!$AN$16,AY319*(1+DP!$AR$16),IF(AW319=DP!$AN$17,AY319*(1+DP!$AR$17),IF(AW319=DP!$AN$18,AY319*(1+DP!$AR$18),0*1))))</f>
        <v>0</v>
      </c>
      <c r="BU319" s="102">
        <f>IF(AW319=DP!$AN$22,(DP!$AO$22),IF(AW319=DP!$AN$23,(DP!$AO$23),IF(AW319=DP!$AN$24,(DP!$AO$24),IF(AW319=DP!$AN$25,(DP!$AO$25),((0*1))))))</f>
        <v>0</v>
      </c>
      <c r="BV319" s="93">
        <f t="shared" si="331"/>
        <v>0</v>
      </c>
      <c r="BW319" s="93">
        <f>IF(AW319=DP!$AN$15,AY319*(1+DP!$AR$15),IF(AW319=DP!$AN$16,AY319*(1+DP!$AR$16),IF(AW319=DP!$AN$17,AY319*(1+DP!$AR$17),IF(AW319=DP!$AN$18,AY319*(1+DP!$AR$18),0*1))))</f>
        <v>0</v>
      </c>
      <c r="BX319" s="102">
        <f>IF(AW319=DP!$AN$22,(DP!$AP$22),IF(AW319=DP!$AN$23,(DP!$AP$23),IF(AW319=DP!$AN$24,(DP!$AP$24),IF(AW319=DP!$AN$25,(DP!$AP$25),((0*1))))))</f>
        <v>0</v>
      </c>
      <c r="BY319" s="93">
        <f t="shared" si="332"/>
        <v>0</v>
      </c>
      <c r="BZ319" s="93">
        <f>IF(AW319=DP!$AN$15,(AY319/DP!$AM$15)*(1+DP!$AR$15),IF(AW319=DP!$AN$16,(AY319/DP!$AM$16)*(1+DP!$AR$16),IF(AW319=DP!$AN$17,(AY319/DP!$AM$17)*(1+DP!$AR$17),IF(AW319=DP!$AN$18,(AY319/DP!$AM$18)*(1+DP!$AR$18),0*1))))</f>
        <v>0</v>
      </c>
      <c r="CA319" s="102">
        <f>IF(AW319=DP!$AN$22,(DP!$AQ$22),IF(AW319=DP!$AN$23,(DP!$AQ$23),IF(AW319=DP!$AN$24,(DP!$AQ$24),IF(AW319=DP!$AN$25,(DP!$AQ$25),((0*1))))))</f>
        <v>0</v>
      </c>
      <c r="CB319" s="93">
        <f t="shared" si="333"/>
        <v>0</v>
      </c>
      <c r="CC319" s="93">
        <f>IF(AW319=DP!$AN$15,AY319*(1+DP!$AR$15),IF(AW319=DP!$AN$16,AY319*(1+DP!$AR$16),IF(AW319=DP!$AN$17,AY319*(1+DP!$AR$17),IF(AW319=DP!$AN$18,AY319*(1+DP!$AR$18),0*1))))</f>
        <v>0</v>
      </c>
      <c r="CD319" s="102">
        <f>IF(AW319=DP!$AN$22,(DP!$AR$22),IF(AW319=DP!$AN$23,(DP!$AR$23),IF(AW319=DP!$AN$24,(DP!$AR$24),IF(AW319=DP!$AN$25,(DP!$AR$25),((0*1))))))</f>
        <v>0</v>
      </c>
      <c r="CE319" s="93">
        <f t="shared" si="334"/>
        <v>0</v>
      </c>
      <c r="CF319" s="100"/>
      <c r="CG319" s="149">
        <f t="shared" si="335"/>
        <v>0</v>
      </c>
      <c r="CH319" s="149">
        <f>DP!$N$35*BA319</f>
        <v>0</v>
      </c>
      <c r="CI319" s="149">
        <f>DP!$O$35*BA319</f>
        <v>0</v>
      </c>
      <c r="CJ319" s="149">
        <f>DP!$P$35*BA319</f>
        <v>0</v>
      </c>
    </row>
    <row r="320" spans="2:88" x14ac:dyDescent="0.35">
      <c r="B320" s="481">
        <f>DP!S29</f>
        <v>0</v>
      </c>
      <c r="C320" s="481">
        <f>DP!T29</f>
        <v>0</v>
      </c>
      <c r="D320" s="481">
        <f>DP!U29</f>
        <v>0</v>
      </c>
      <c r="E320" s="481">
        <f>DP!V29</f>
        <v>0</v>
      </c>
      <c r="F320" s="412">
        <f t="shared" si="313"/>
        <v>0</v>
      </c>
      <c r="G320" s="470">
        <f>DP!AF29</f>
        <v>0</v>
      </c>
      <c r="H320" s="98">
        <f t="shared" si="314"/>
        <v>0</v>
      </c>
      <c r="I320" s="97"/>
      <c r="J320" s="102">
        <f t="shared" si="306"/>
        <v>0</v>
      </c>
      <c r="K320" s="98">
        <f t="shared" si="307"/>
        <v>0</v>
      </c>
      <c r="L320" s="93">
        <f t="shared" si="308"/>
        <v>0</v>
      </c>
      <c r="M320" s="99">
        <f t="shared" si="309"/>
        <v>0</v>
      </c>
      <c r="N320" s="100"/>
      <c r="O320" s="102">
        <f>($E320/DP!$P$29)*F320</f>
        <v>0</v>
      </c>
      <c r="P320" s="102">
        <f>IF(O320&gt;0,(DP!$P$31),0*1)</f>
        <v>0</v>
      </c>
      <c r="Q320" s="102">
        <f t="shared" si="315"/>
        <v>0</v>
      </c>
      <c r="R320" s="102">
        <f t="shared" si="316"/>
        <v>0</v>
      </c>
      <c r="S320" s="418">
        <f t="shared" si="317"/>
        <v>0</v>
      </c>
      <c r="T320" s="475">
        <f>H320*DP!$AC$44</f>
        <v>0</v>
      </c>
      <c r="U320" s="475">
        <f>IF(H320&gt;0,DP!$AD$44,0*1)</f>
        <v>0</v>
      </c>
      <c r="V320" s="475">
        <f t="shared" si="318"/>
        <v>0</v>
      </c>
      <c r="W320" s="475">
        <f>H320*DP!$AC$45</f>
        <v>0</v>
      </c>
      <c r="X320" s="475">
        <f>IF(H320&gt;0,DP!$AD$45,0*1)</f>
        <v>0</v>
      </c>
      <c r="Y320" s="475">
        <f t="shared" si="319"/>
        <v>0</v>
      </c>
      <c r="Z320" s="100"/>
      <c r="AA320" s="93">
        <f>IF(D320=DP!$L$15,F320*(1+DP!$P$15),IF(D320=DP!$L$16,F320*(1+DP!$P$16),IF(D320=DP!$L$17,F320*(1+DP!$P$17),IF(D320=DP!$L$18,F320*(1+DP!$P$18),0*1))))</f>
        <v>0</v>
      </c>
      <c r="AB320" s="102">
        <f>IF(D320=DP!$L$22,(DP!$M$22),IF(D320=DP!$L$23,(DP!$M$23),IF(D320=DP!$L$24,(DP!$M$24),IF(D320=DP!$L$25,(DP!$M$25),((0*1))))))</f>
        <v>0</v>
      </c>
      <c r="AC320" s="93">
        <f t="shared" si="320"/>
        <v>0</v>
      </c>
      <c r="AD320" s="93">
        <f>IF(D320=DP!$L$15,F320*(1+DP!$P$15),IF(D320=DP!$L$16,F320*(1+DP!$P$16),IF(D320=DP!$L$17,F320*(1+DP!$P$17),IF(D320=DP!$L$18,F320*(1+DP!$P$18),0*1))))</f>
        <v>0</v>
      </c>
      <c r="AE320" s="102">
        <f>IF(D320=DP!$L$22,(DP!$N$22),IF(D320=DP!$L$23,(DP!$N$23),IF(D320=DP!$L$24,(DP!$N$24),IF(D320=DP!$L$25,(DP!$N$25),((0*1))))))</f>
        <v>0</v>
      </c>
      <c r="AF320" s="93">
        <f t="shared" si="321"/>
        <v>0</v>
      </c>
      <c r="AG320" s="93">
        <f>IF(D320=DP!$L$15,(F320/DP!$K$15)*(1+DP!$P$15),IF(D320=DP!$L$16,(F320/DP!$K$16)*(1+DP!$P$16),IF(D320=DP!$L$17,(F320/DP!$K$17)*(1+DP!$P$17),IF(D320=DP!$L$18,(F320/DP!$K$18)*(1+DP!$P$18),0*1))))</f>
        <v>0</v>
      </c>
      <c r="AH320" s="102">
        <f>IF(D320=DP!$L$22,(DP!$O$22),IF(D320=DP!$L$23,(DP!$O$23),IF(D320=DP!$L$24,(DP!$O$24),IF(D320=DP!$L$25,(DP!$O$25),((0*1))))))</f>
        <v>0</v>
      </c>
      <c r="AI320" s="93">
        <f t="shared" si="322"/>
        <v>0</v>
      </c>
      <c r="AJ320" s="93">
        <f>IF(D320=DP!$L$15,F320*(1+DP!$P$15),IF(D320=DP!$L$16,F320*(1+DP!$P$16),IF(D320=DP!$L$17,F320*(1+DP!$P$17),IF(D320=DP!$L$18,F320*(1+DP!$P$18),0*1))))</f>
        <v>0</v>
      </c>
      <c r="AK320" s="102">
        <f>IF(D320=DP!$L$22,(DP!$P$22),IF(D320=DP!$L$23,(DP!$P$23),IF(D320=DP!$L$24,(DP!$P$24),IF(D320=DP!$L$25,(DP!$P$25),((0*1))))))</f>
        <v>0</v>
      </c>
      <c r="AL320" s="93">
        <f t="shared" si="323"/>
        <v>0</v>
      </c>
      <c r="AM320" s="100"/>
      <c r="AN320" s="149">
        <f t="shared" si="310"/>
        <v>0</v>
      </c>
      <c r="AO320" s="149">
        <f>DP!$N$35*H320</f>
        <v>0</v>
      </c>
      <c r="AP320" s="149">
        <f>DP!$O$35*H320</f>
        <v>0</v>
      </c>
      <c r="AQ320" s="149">
        <f>DP!$P$35*H320</f>
        <v>0</v>
      </c>
      <c r="AV320" s="489">
        <f>DP!AV29</f>
        <v>0</v>
      </c>
      <c r="AW320" s="489">
        <f>DP!AW29</f>
        <v>0</v>
      </c>
      <c r="AX320" s="489">
        <f>DP!AX29</f>
        <v>0</v>
      </c>
      <c r="AY320" s="412">
        <f t="shared" si="324"/>
        <v>0</v>
      </c>
      <c r="AZ320" s="470">
        <f>DP!BH29</f>
        <v>0</v>
      </c>
      <c r="BA320" s="98">
        <f t="shared" si="325"/>
        <v>0</v>
      </c>
      <c r="BB320" s="97"/>
      <c r="BC320" s="102">
        <f t="shared" si="326"/>
        <v>0</v>
      </c>
      <c r="BD320" s="98">
        <f t="shared" si="311"/>
        <v>0</v>
      </c>
      <c r="BE320" s="93">
        <f t="shared" si="327"/>
        <v>0</v>
      </c>
      <c r="BF320" s="99">
        <f t="shared" si="312"/>
        <v>0</v>
      </c>
      <c r="BG320" s="100"/>
      <c r="BH320" s="102">
        <f>IFERROR((BA320*100%)/DP!$AR$29,(0*1))</f>
        <v>0</v>
      </c>
      <c r="BI320" s="102">
        <f>IF(BH320&gt;0,(DP!$AR$31),0*1)</f>
        <v>0</v>
      </c>
      <c r="BJ320" s="435">
        <f t="shared" si="328"/>
        <v>0</v>
      </c>
      <c r="BK320" s="475">
        <f>BA320*DP!$BE$44</f>
        <v>0</v>
      </c>
      <c r="BL320" s="475">
        <f>IF(BA320&gt;0,DP!$BF$44,0*1)</f>
        <v>0</v>
      </c>
      <c r="BM320" s="475">
        <f t="shared" si="329"/>
        <v>0</v>
      </c>
      <c r="BN320" s="102">
        <f>BA320*DP!$BE$45</f>
        <v>0</v>
      </c>
      <c r="BO320" s="102">
        <f>IF(BA320&gt;0,DP!$BF$45,0*1)</f>
        <v>0</v>
      </c>
      <c r="BP320" s="475">
        <f t="shared" si="330"/>
        <v>0</v>
      </c>
      <c r="BQ320" s="100"/>
      <c r="BR320" s="100"/>
      <c r="BS320" s="100"/>
      <c r="BT320" s="93">
        <f>IF(AW320=DP!$AN$15,AY320*(1+DP!$AR$15),IF(AW320=DP!$AN$16,AY320*(1+DP!$AR$16),IF(AW320=DP!$AN$17,AY320*(1+DP!$AR$17),IF(AW320=DP!$AN$18,AY320*(1+DP!$AR$18),0*1))))</f>
        <v>0</v>
      </c>
      <c r="BU320" s="102">
        <f>IF(AW320=DP!$AN$22,(DP!$AO$22),IF(AW320=DP!$AN$23,(DP!$AO$23),IF(AW320=DP!$AN$24,(DP!$AO$24),IF(AW320=DP!$AN$25,(DP!$AO$25),((0*1))))))</f>
        <v>0</v>
      </c>
      <c r="BV320" s="93">
        <f t="shared" si="331"/>
        <v>0</v>
      </c>
      <c r="BW320" s="93">
        <f>IF(AW320=DP!$AN$15,AY320*(1+DP!$AR$15),IF(AW320=DP!$AN$16,AY320*(1+DP!$AR$16),IF(AW320=DP!$AN$17,AY320*(1+DP!$AR$17),IF(AW320=DP!$AN$18,AY320*(1+DP!$AR$18),0*1))))</f>
        <v>0</v>
      </c>
      <c r="BX320" s="102">
        <f>IF(AW320=DP!$AN$22,(DP!$AP$22),IF(AW320=DP!$AN$23,(DP!$AP$23),IF(AW320=DP!$AN$24,(DP!$AP$24),IF(AW320=DP!$AN$25,(DP!$AP$25),((0*1))))))</f>
        <v>0</v>
      </c>
      <c r="BY320" s="93">
        <f t="shared" si="332"/>
        <v>0</v>
      </c>
      <c r="BZ320" s="93">
        <f>IF(AW320=DP!$AN$15,(AY320/DP!$AM$15)*(1+DP!$AR$15),IF(AW320=DP!$AN$16,(AY320/DP!$AM$16)*(1+DP!$AR$16),IF(AW320=DP!$AN$17,(AY320/DP!$AM$17)*(1+DP!$AR$17),IF(AW320=DP!$AN$18,(AY320/DP!$AM$18)*(1+DP!$AR$18),0*1))))</f>
        <v>0</v>
      </c>
      <c r="CA320" s="102">
        <f>IF(AW320=DP!$AN$22,(DP!$AQ$22),IF(AW320=DP!$AN$23,(DP!$AQ$23),IF(AW320=DP!$AN$24,(DP!$AQ$24),IF(AW320=DP!$AN$25,(DP!$AQ$25),((0*1))))))</f>
        <v>0</v>
      </c>
      <c r="CB320" s="93">
        <f t="shared" si="333"/>
        <v>0</v>
      </c>
      <c r="CC320" s="93">
        <f>IF(AW320=DP!$AN$15,AY320*(1+DP!$AR$15),IF(AW320=DP!$AN$16,AY320*(1+DP!$AR$16),IF(AW320=DP!$AN$17,AY320*(1+DP!$AR$17),IF(AW320=DP!$AN$18,AY320*(1+DP!$AR$18),0*1))))</f>
        <v>0</v>
      </c>
      <c r="CD320" s="102">
        <f>IF(AW320=DP!$AN$22,(DP!$AR$22),IF(AW320=DP!$AN$23,(DP!$AR$23),IF(AW320=DP!$AN$24,(DP!$AR$24),IF(AW320=DP!$AN$25,(DP!$AR$25),((0*1))))))</f>
        <v>0</v>
      </c>
      <c r="CE320" s="93">
        <f t="shared" si="334"/>
        <v>0</v>
      </c>
      <c r="CF320" s="100"/>
      <c r="CG320" s="149">
        <f t="shared" si="335"/>
        <v>0</v>
      </c>
      <c r="CH320" s="149">
        <f>DP!$N$35*BA320</f>
        <v>0</v>
      </c>
      <c r="CI320" s="149">
        <f>DP!$O$35*BA320</f>
        <v>0</v>
      </c>
      <c r="CJ320" s="149">
        <f>DP!$P$35*BA320</f>
        <v>0</v>
      </c>
    </row>
    <row r="321" spans="2:88" x14ac:dyDescent="0.35">
      <c r="B321" s="481">
        <f>DP!S30</f>
        <v>0</v>
      </c>
      <c r="C321" s="481">
        <f>DP!T30</f>
        <v>0</v>
      </c>
      <c r="D321" s="481">
        <f>DP!U30</f>
        <v>0</v>
      </c>
      <c r="E321" s="481">
        <f>DP!V30</f>
        <v>0</v>
      </c>
      <c r="F321" s="412">
        <f t="shared" si="313"/>
        <v>0</v>
      </c>
      <c r="G321" s="470">
        <f>DP!AF30</f>
        <v>0</v>
      </c>
      <c r="H321" s="98">
        <f t="shared" si="314"/>
        <v>0</v>
      </c>
      <c r="I321" s="97"/>
      <c r="J321" s="102">
        <f t="shared" si="306"/>
        <v>0</v>
      </c>
      <c r="K321" s="98">
        <f t="shared" si="307"/>
        <v>0</v>
      </c>
      <c r="L321" s="93">
        <f t="shared" si="308"/>
        <v>0</v>
      </c>
      <c r="M321" s="99">
        <f t="shared" si="309"/>
        <v>0</v>
      </c>
      <c r="N321" s="100"/>
      <c r="O321" s="102">
        <f>($E321/DP!$P$29)*F321</f>
        <v>0</v>
      </c>
      <c r="P321" s="102">
        <f>IF(O321&gt;0,(DP!$P$31),0*1)</f>
        <v>0</v>
      </c>
      <c r="Q321" s="102">
        <f t="shared" si="315"/>
        <v>0</v>
      </c>
      <c r="R321" s="102">
        <f t="shared" si="316"/>
        <v>0</v>
      </c>
      <c r="S321" s="418">
        <f t="shared" si="317"/>
        <v>0</v>
      </c>
      <c r="T321" s="475">
        <f>H321*DP!$AC$44</f>
        <v>0</v>
      </c>
      <c r="U321" s="475">
        <f>IF(H321&gt;0,DP!$AD$44,0*1)</f>
        <v>0</v>
      </c>
      <c r="V321" s="475">
        <f t="shared" si="318"/>
        <v>0</v>
      </c>
      <c r="W321" s="475">
        <f>H321*DP!$AC$45</f>
        <v>0</v>
      </c>
      <c r="X321" s="475">
        <f>IF(H321&gt;0,DP!$AD$45,0*1)</f>
        <v>0</v>
      </c>
      <c r="Y321" s="475">
        <f t="shared" si="319"/>
        <v>0</v>
      </c>
      <c r="Z321" s="100"/>
      <c r="AA321" s="93">
        <f>IF(D321=DP!$L$15,F321*(1+DP!$P$15),IF(D321=DP!$L$16,F321*(1+DP!$P$16),IF(D321=DP!$L$17,F321*(1+DP!$P$17),IF(D321=DP!$L$18,F321*(1+DP!$P$18),0*1))))</f>
        <v>0</v>
      </c>
      <c r="AB321" s="102">
        <f>IF(D321=DP!$L$22,(DP!$M$22),IF(D321=DP!$L$23,(DP!$M$23),IF(D321=DP!$L$24,(DP!$M$24),IF(D321=DP!$L$25,(DP!$M$25),((0*1))))))</f>
        <v>0</v>
      </c>
      <c r="AC321" s="93">
        <f t="shared" si="320"/>
        <v>0</v>
      </c>
      <c r="AD321" s="93">
        <f>IF(D321=DP!$L$15,F321*(1+DP!$P$15),IF(D321=DP!$L$16,F321*(1+DP!$P$16),IF(D321=DP!$L$17,F321*(1+DP!$P$17),IF(D321=DP!$L$18,F321*(1+DP!$P$18),0*1))))</f>
        <v>0</v>
      </c>
      <c r="AE321" s="102">
        <f>IF(D321=DP!$L$22,(DP!$N$22),IF(D321=DP!$L$23,(DP!$N$23),IF(D321=DP!$L$24,(DP!$N$24),IF(D321=DP!$L$25,(DP!$N$25),((0*1))))))</f>
        <v>0</v>
      </c>
      <c r="AF321" s="93">
        <f t="shared" si="321"/>
        <v>0</v>
      </c>
      <c r="AG321" s="93">
        <f>IF(D321=DP!$L$15,(F321/DP!$K$15)*(1+DP!$P$15),IF(D321=DP!$L$16,(F321/DP!$K$16)*(1+DP!$P$16),IF(D321=DP!$L$17,(F321/DP!$K$17)*(1+DP!$P$17),IF(D321=DP!$L$18,(F321/DP!$K$18)*(1+DP!$P$18),0*1))))</f>
        <v>0</v>
      </c>
      <c r="AH321" s="102">
        <f>IF(D321=DP!$L$22,(DP!$O$22),IF(D321=DP!$L$23,(DP!$O$23),IF(D321=DP!$L$24,(DP!$O$24),IF(D321=DP!$L$25,(DP!$O$25),((0*1))))))</f>
        <v>0</v>
      </c>
      <c r="AI321" s="93">
        <f t="shared" si="322"/>
        <v>0</v>
      </c>
      <c r="AJ321" s="93">
        <f>IF(D321=DP!$L$15,F321*(1+DP!$P$15),IF(D321=DP!$L$16,F321*(1+DP!$P$16),IF(D321=DP!$L$17,F321*(1+DP!$P$17),IF(D321=DP!$L$18,F321*(1+DP!$P$18),0*1))))</f>
        <v>0</v>
      </c>
      <c r="AK321" s="102">
        <f>IF(D321=DP!$L$22,(DP!$P$22),IF(D321=DP!$L$23,(DP!$P$23),IF(D321=DP!$L$24,(DP!$P$24),IF(D321=DP!$L$25,(DP!$P$25),((0*1))))))</f>
        <v>0</v>
      </c>
      <c r="AL321" s="93">
        <f t="shared" si="323"/>
        <v>0</v>
      </c>
      <c r="AM321" s="100"/>
      <c r="AN321" s="149">
        <f t="shared" si="310"/>
        <v>0</v>
      </c>
      <c r="AO321" s="149">
        <f>DP!$N$35*H321</f>
        <v>0</v>
      </c>
      <c r="AP321" s="149">
        <f>DP!$O$35*H321</f>
        <v>0</v>
      </c>
      <c r="AQ321" s="149">
        <f>DP!$P$35*H321</f>
        <v>0</v>
      </c>
      <c r="AV321" s="489">
        <f>DP!AV30</f>
        <v>0</v>
      </c>
      <c r="AW321" s="489">
        <f>DP!AW30</f>
        <v>0</v>
      </c>
      <c r="AX321" s="489">
        <f>DP!AX30</f>
        <v>0</v>
      </c>
      <c r="AY321" s="412">
        <f t="shared" si="324"/>
        <v>0</v>
      </c>
      <c r="AZ321" s="470">
        <f>DP!BH30</f>
        <v>0</v>
      </c>
      <c r="BA321" s="98">
        <f t="shared" si="325"/>
        <v>0</v>
      </c>
      <c r="BB321" s="97"/>
      <c r="BC321" s="102">
        <f t="shared" si="326"/>
        <v>0</v>
      </c>
      <c r="BD321" s="98">
        <f t="shared" si="311"/>
        <v>0</v>
      </c>
      <c r="BE321" s="93">
        <f t="shared" si="327"/>
        <v>0</v>
      </c>
      <c r="BF321" s="99">
        <f t="shared" si="312"/>
        <v>0</v>
      </c>
      <c r="BG321" s="100"/>
      <c r="BH321" s="102">
        <f>IFERROR((BA321*100%)/DP!$AR$29,(0*1))</f>
        <v>0</v>
      </c>
      <c r="BI321" s="102">
        <f>IF(BH321&gt;0,(DP!$AR$31),0*1)</f>
        <v>0</v>
      </c>
      <c r="BJ321" s="435">
        <f t="shared" si="328"/>
        <v>0</v>
      </c>
      <c r="BK321" s="475">
        <f>BA321*DP!$BE$44</f>
        <v>0</v>
      </c>
      <c r="BL321" s="475">
        <f>IF(BA321&gt;0,DP!$BF$44,0*1)</f>
        <v>0</v>
      </c>
      <c r="BM321" s="475">
        <f t="shared" si="329"/>
        <v>0</v>
      </c>
      <c r="BN321" s="102">
        <f>BA321*DP!$BE$45</f>
        <v>0</v>
      </c>
      <c r="BO321" s="102">
        <f>IF(BA321&gt;0,DP!$BF$45,0*1)</f>
        <v>0</v>
      </c>
      <c r="BP321" s="475">
        <f t="shared" si="330"/>
        <v>0</v>
      </c>
      <c r="BQ321" s="100"/>
      <c r="BR321" s="100"/>
      <c r="BS321" s="100"/>
      <c r="BT321" s="93">
        <f>IF(AW321=DP!$AN$15,AY321*(1+DP!$AR$15),IF(AW321=DP!$AN$16,AY321*(1+DP!$AR$16),IF(AW321=DP!$AN$17,AY321*(1+DP!$AR$17),IF(AW321=DP!$AN$18,AY321*(1+DP!$AR$18),0*1))))</f>
        <v>0</v>
      </c>
      <c r="BU321" s="102">
        <f>IF(AW321=DP!$AN$22,(DP!$AO$22),IF(AW321=DP!$AN$23,(DP!$AO$23),IF(AW321=DP!$AN$24,(DP!$AO$24),IF(AW321=DP!$AN$25,(DP!$AO$25),((0*1))))))</f>
        <v>0</v>
      </c>
      <c r="BV321" s="93">
        <f t="shared" si="331"/>
        <v>0</v>
      </c>
      <c r="BW321" s="93">
        <f>IF(AW321=DP!$AN$15,AY321*(1+DP!$AR$15),IF(AW321=DP!$AN$16,AY321*(1+DP!$AR$16),IF(AW321=DP!$AN$17,AY321*(1+DP!$AR$17),IF(AW321=DP!$AN$18,AY321*(1+DP!$AR$18),0*1))))</f>
        <v>0</v>
      </c>
      <c r="BX321" s="102">
        <f>IF(AW321=DP!$AN$22,(DP!$AP$22),IF(AW321=DP!$AN$23,(DP!$AP$23),IF(AW321=DP!$AN$24,(DP!$AP$24),IF(AW321=DP!$AN$25,(DP!$AP$25),((0*1))))))</f>
        <v>0</v>
      </c>
      <c r="BY321" s="93">
        <f t="shared" si="332"/>
        <v>0</v>
      </c>
      <c r="BZ321" s="93">
        <f>IF(AW321=DP!$AN$15,(AY321/DP!$AM$15)*(1+DP!$AR$15),IF(AW321=DP!$AN$16,(AY321/DP!$AM$16)*(1+DP!$AR$16),IF(AW321=DP!$AN$17,(AY321/DP!$AM$17)*(1+DP!$AR$17),IF(AW321=DP!$AN$18,(AY321/DP!$AM$18)*(1+DP!$AR$18),0*1))))</f>
        <v>0</v>
      </c>
      <c r="CA321" s="102">
        <f>IF(AW321=DP!$AN$22,(DP!$AQ$22),IF(AW321=DP!$AN$23,(DP!$AQ$23),IF(AW321=DP!$AN$24,(DP!$AQ$24),IF(AW321=DP!$AN$25,(DP!$AQ$25),((0*1))))))</f>
        <v>0</v>
      </c>
      <c r="CB321" s="93">
        <f t="shared" si="333"/>
        <v>0</v>
      </c>
      <c r="CC321" s="93">
        <f>IF(AW321=DP!$AN$15,AY321*(1+DP!$AR$15),IF(AW321=DP!$AN$16,AY321*(1+DP!$AR$16),IF(AW321=DP!$AN$17,AY321*(1+DP!$AR$17),IF(AW321=DP!$AN$18,AY321*(1+DP!$AR$18),0*1))))</f>
        <v>0</v>
      </c>
      <c r="CD321" s="102">
        <f>IF(AW321=DP!$AN$22,(DP!$AR$22),IF(AW321=DP!$AN$23,(DP!$AR$23),IF(AW321=DP!$AN$24,(DP!$AR$24),IF(AW321=DP!$AN$25,(DP!$AR$25),((0*1))))))</f>
        <v>0</v>
      </c>
      <c r="CE321" s="93">
        <f t="shared" si="334"/>
        <v>0</v>
      </c>
      <c r="CF321" s="100"/>
      <c r="CG321" s="149">
        <f t="shared" si="335"/>
        <v>0</v>
      </c>
      <c r="CH321" s="149">
        <f>DP!$N$35*BA321</f>
        <v>0</v>
      </c>
      <c r="CI321" s="149">
        <f>DP!$O$35*BA321</f>
        <v>0</v>
      </c>
      <c r="CJ321" s="149">
        <f>DP!$P$35*BA321</f>
        <v>0</v>
      </c>
    </row>
    <row r="322" spans="2:88" x14ac:dyDescent="0.35">
      <c r="B322" s="481">
        <f>DP!S31</f>
        <v>0</v>
      </c>
      <c r="C322" s="481">
        <f>DP!T31</f>
        <v>0</v>
      </c>
      <c r="D322" s="481">
        <f>DP!U31</f>
        <v>0</v>
      </c>
      <c r="E322" s="481">
        <f>DP!V31</f>
        <v>0</v>
      </c>
      <c r="F322" s="412">
        <f t="shared" si="313"/>
        <v>0</v>
      </c>
      <c r="G322" s="470">
        <f>DP!AF31</f>
        <v>0</v>
      </c>
      <c r="H322" s="98">
        <f t="shared" si="314"/>
        <v>0</v>
      </c>
      <c r="I322" s="97"/>
      <c r="J322" s="102">
        <f t="shared" si="306"/>
        <v>0</v>
      </c>
      <c r="K322" s="98">
        <f t="shared" si="307"/>
        <v>0</v>
      </c>
      <c r="L322" s="93">
        <f t="shared" si="308"/>
        <v>0</v>
      </c>
      <c r="M322" s="99">
        <f t="shared" si="309"/>
        <v>0</v>
      </c>
      <c r="N322" s="100"/>
      <c r="O322" s="102">
        <f>($E322/DP!$P$29)*F322</f>
        <v>0</v>
      </c>
      <c r="P322" s="102">
        <f>IF(O322&gt;0,(DP!$P$31),0*1)</f>
        <v>0</v>
      </c>
      <c r="Q322" s="102">
        <f t="shared" si="315"/>
        <v>0</v>
      </c>
      <c r="R322" s="102">
        <f t="shared" si="316"/>
        <v>0</v>
      </c>
      <c r="S322" s="418">
        <f t="shared" si="317"/>
        <v>0</v>
      </c>
      <c r="T322" s="475">
        <f>H322*DP!$AC$44</f>
        <v>0</v>
      </c>
      <c r="U322" s="475">
        <f>IF(H322&gt;0,DP!$AD$44,0*1)</f>
        <v>0</v>
      </c>
      <c r="V322" s="475">
        <f t="shared" si="318"/>
        <v>0</v>
      </c>
      <c r="W322" s="475">
        <f>H322*DP!$AC$45</f>
        <v>0</v>
      </c>
      <c r="X322" s="475">
        <f>IF(H322&gt;0,DP!$AD$45,0*1)</f>
        <v>0</v>
      </c>
      <c r="Y322" s="475">
        <f t="shared" si="319"/>
        <v>0</v>
      </c>
      <c r="Z322" s="100"/>
      <c r="AA322" s="93">
        <f>IF(D322=DP!$L$15,F322*(1+DP!$P$15),IF(D322=DP!$L$16,F322*(1+DP!$P$16),IF(D322=DP!$L$17,F322*(1+DP!$P$17),IF(D322=DP!$L$18,F322*(1+DP!$P$18),0*1))))</f>
        <v>0</v>
      </c>
      <c r="AB322" s="102">
        <f>IF(D322=DP!$L$22,(DP!$M$22),IF(D322=DP!$L$23,(DP!$M$23),IF(D322=DP!$L$24,(DP!$M$24),IF(D322=DP!$L$25,(DP!$M$25),((0*1))))))</f>
        <v>0</v>
      </c>
      <c r="AC322" s="93">
        <f t="shared" si="320"/>
        <v>0</v>
      </c>
      <c r="AD322" s="93">
        <f>IF(D322=DP!$L$15,F322*(1+DP!$P$15),IF(D322=DP!$L$16,F322*(1+DP!$P$16),IF(D322=DP!$L$17,F322*(1+DP!$P$17),IF(D322=DP!$L$18,F322*(1+DP!$P$18),0*1))))</f>
        <v>0</v>
      </c>
      <c r="AE322" s="102">
        <f>IF(D322=DP!$L$22,(DP!$N$22),IF(D322=DP!$L$23,(DP!$N$23),IF(D322=DP!$L$24,(DP!$N$24),IF(D322=DP!$L$25,(DP!$N$25),((0*1))))))</f>
        <v>0</v>
      </c>
      <c r="AF322" s="93">
        <f t="shared" si="321"/>
        <v>0</v>
      </c>
      <c r="AG322" s="93">
        <f>IF(D322=DP!$L$15,(F322/DP!$K$15)*(1+DP!$P$15),IF(D322=DP!$L$16,(F322/DP!$K$16)*(1+DP!$P$16),IF(D322=DP!$L$17,(F322/DP!$K$17)*(1+DP!$P$17),IF(D322=DP!$L$18,(F322/DP!$K$18)*(1+DP!$P$18),0*1))))</f>
        <v>0</v>
      </c>
      <c r="AH322" s="102">
        <f>IF(D322=DP!$L$22,(DP!$O$22),IF(D322=DP!$L$23,(DP!$O$23),IF(D322=DP!$L$24,(DP!$O$24),IF(D322=DP!$L$25,(DP!$O$25),((0*1))))))</f>
        <v>0</v>
      </c>
      <c r="AI322" s="93">
        <f t="shared" si="322"/>
        <v>0</v>
      </c>
      <c r="AJ322" s="93">
        <f>IF(D322=DP!$L$15,F322*(1+DP!$P$15),IF(D322=DP!$L$16,F322*(1+DP!$P$16),IF(D322=DP!$L$17,F322*(1+DP!$P$17),IF(D322=DP!$L$18,F322*(1+DP!$P$18),0*1))))</f>
        <v>0</v>
      </c>
      <c r="AK322" s="102">
        <f>IF(D322=DP!$L$22,(DP!$P$22),IF(D322=DP!$L$23,(DP!$P$23),IF(D322=DP!$L$24,(DP!$P$24),IF(D322=DP!$L$25,(DP!$P$25),((0*1))))))</f>
        <v>0</v>
      </c>
      <c r="AL322" s="93">
        <f t="shared" si="323"/>
        <v>0</v>
      </c>
      <c r="AM322" s="100"/>
      <c r="AN322" s="149">
        <f t="shared" si="310"/>
        <v>0</v>
      </c>
      <c r="AO322" s="149">
        <f>DP!$N$35*H322</f>
        <v>0</v>
      </c>
      <c r="AP322" s="149">
        <f>DP!$O$35*H322</f>
        <v>0</v>
      </c>
      <c r="AQ322" s="149">
        <f>DP!$P$35*H322</f>
        <v>0</v>
      </c>
      <c r="AV322" s="489">
        <f>DP!AV31</f>
        <v>0</v>
      </c>
      <c r="AW322" s="489">
        <f>DP!AW31</f>
        <v>0</v>
      </c>
      <c r="AX322" s="489">
        <f>DP!AX31</f>
        <v>0</v>
      </c>
      <c r="AY322" s="412">
        <f t="shared" si="324"/>
        <v>0</v>
      </c>
      <c r="AZ322" s="470">
        <f>DP!BH31</f>
        <v>0</v>
      </c>
      <c r="BA322" s="98">
        <f t="shared" si="325"/>
        <v>0</v>
      </c>
      <c r="BB322" s="97"/>
      <c r="BC322" s="102">
        <f t="shared" si="326"/>
        <v>0</v>
      </c>
      <c r="BD322" s="98">
        <f t="shared" si="311"/>
        <v>0</v>
      </c>
      <c r="BE322" s="93">
        <f t="shared" si="327"/>
        <v>0</v>
      </c>
      <c r="BF322" s="99">
        <f t="shared" si="312"/>
        <v>0</v>
      </c>
      <c r="BG322" s="100"/>
      <c r="BH322" s="102">
        <f>IFERROR((BA322*100%)/DP!$AR$29,(0*1))</f>
        <v>0</v>
      </c>
      <c r="BI322" s="102">
        <f>IF(BH322&gt;0,(DP!$AR$31),0*1)</f>
        <v>0</v>
      </c>
      <c r="BJ322" s="435">
        <f t="shared" si="328"/>
        <v>0</v>
      </c>
      <c r="BK322" s="475">
        <f>BA322*DP!$BE$44</f>
        <v>0</v>
      </c>
      <c r="BL322" s="475">
        <f>IF(BA322&gt;0,DP!$BF$44,0*1)</f>
        <v>0</v>
      </c>
      <c r="BM322" s="475">
        <f t="shared" si="329"/>
        <v>0</v>
      </c>
      <c r="BN322" s="102">
        <f>BA322*DP!$BE$45</f>
        <v>0</v>
      </c>
      <c r="BO322" s="102">
        <f>IF(BA322&gt;0,DP!$BF$45,0*1)</f>
        <v>0</v>
      </c>
      <c r="BP322" s="475">
        <f t="shared" si="330"/>
        <v>0</v>
      </c>
      <c r="BQ322" s="100"/>
      <c r="BR322" s="100"/>
      <c r="BS322" s="100"/>
      <c r="BT322" s="93">
        <f>IF(AW322=DP!$AN$15,AY322*(1+DP!$AR$15),IF(AW322=DP!$AN$16,AY322*(1+DP!$AR$16),IF(AW322=DP!$AN$17,AY322*(1+DP!$AR$17),IF(AW322=DP!$AN$18,AY322*(1+DP!$AR$18),0*1))))</f>
        <v>0</v>
      </c>
      <c r="BU322" s="102">
        <f>IF(AW322=DP!$AN$22,(DP!$AO$22),IF(AW322=DP!$AN$23,(DP!$AO$23),IF(AW322=DP!$AN$24,(DP!$AO$24),IF(AW322=DP!$AN$25,(DP!$AO$25),((0*1))))))</f>
        <v>0</v>
      </c>
      <c r="BV322" s="93">
        <f t="shared" si="331"/>
        <v>0</v>
      </c>
      <c r="BW322" s="93">
        <f>IF(AW322=DP!$AN$15,AY322*(1+DP!$AR$15),IF(AW322=DP!$AN$16,AY322*(1+DP!$AR$16),IF(AW322=DP!$AN$17,AY322*(1+DP!$AR$17),IF(AW322=DP!$AN$18,AY322*(1+DP!$AR$18),0*1))))</f>
        <v>0</v>
      </c>
      <c r="BX322" s="102">
        <f>IF(AW322=DP!$AN$22,(DP!$AP$22),IF(AW322=DP!$AN$23,(DP!$AP$23),IF(AW322=DP!$AN$24,(DP!$AP$24),IF(AW322=DP!$AN$25,(DP!$AP$25),((0*1))))))</f>
        <v>0</v>
      </c>
      <c r="BY322" s="93">
        <f t="shared" si="332"/>
        <v>0</v>
      </c>
      <c r="BZ322" s="93">
        <f>IF(AW322=DP!$AN$15,(AY322/DP!$AM$15)*(1+DP!$AR$15),IF(AW322=DP!$AN$16,(AY322/DP!$AM$16)*(1+DP!$AR$16),IF(AW322=DP!$AN$17,(AY322/DP!$AM$17)*(1+DP!$AR$17),IF(AW322=DP!$AN$18,(AY322/DP!$AM$18)*(1+DP!$AR$18),0*1))))</f>
        <v>0</v>
      </c>
      <c r="CA322" s="102">
        <f>IF(AW322=DP!$AN$22,(DP!$AQ$22),IF(AW322=DP!$AN$23,(DP!$AQ$23),IF(AW322=DP!$AN$24,(DP!$AQ$24),IF(AW322=DP!$AN$25,(DP!$AQ$25),((0*1))))))</f>
        <v>0</v>
      </c>
      <c r="CB322" s="93">
        <f t="shared" si="333"/>
        <v>0</v>
      </c>
      <c r="CC322" s="93">
        <f>IF(AW322=DP!$AN$15,AY322*(1+DP!$AR$15),IF(AW322=DP!$AN$16,AY322*(1+DP!$AR$16),IF(AW322=DP!$AN$17,AY322*(1+DP!$AR$17),IF(AW322=DP!$AN$18,AY322*(1+DP!$AR$18),0*1))))</f>
        <v>0</v>
      </c>
      <c r="CD322" s="102">
        <f>IF(AW322=DP!$AN$22,(DP!$AR$22),IF(AW322=DP!$AN$23,(DP!$AR$23),IF(AW322=DP!$AN$24,(DP!$AR$24),IF(AW322=DP!$AN$25,(DP!$AR$25),((0*1))))))</f>
        <v>0</v>
      </c>
      <c r="CE322" s="93">
        <f t="shared" si="334"/>
        <v>0</v>
      </c>
      <c r="CF322" s="100"/>
      <c r="CG322" s="149">
        <f t="shared" si="335"/>
        <v>0</v>
      </c>
      <c r="CH322" s="149">
        <f>DP!$N$35*BA322</f>
        <v>0</v>
      </c>
      <c r="CI322" s="149">
        <f>DP!$O$35*BA322</f>
        <v>0</v>
      </c>
      <c r="CJ322" s="149">
        <f>DP!$P$35*BA322</f>
        <v>0</v>
      </c>
    </row>
    <row r="323" spans="2:88" x14ac:dyDescent="0.35">
      <c r="B323" s="481">
        <f>DP!S32</f>
        <v>0</v>
      </c>
      <c r="C323" s="481">
        <f>DP!T32</f>
        <v>0</v>
      </c>
      <c r="D323" s="481">
        <f>DP!U32</f>
        <v>0</v>
      </c>
      <c r="E323" s="481">
        <f>DP!V32</f>
        <v>0</v>
      </c>
      <c r="F323" s="412">
        <f t="shared" si="313"/>
        <v>0</v>
      </c>
      <c r="G323" s="470">
        <f>DP!AF32</f>
        <v>0</v>
      </c>
      <c r="H323" s="98">
        <f t="shared" si="314"/>
        <v>0</v>
      </c>
      <c r="I323" s="97"/>
      <c r="J323" s="102">
        <f t="shared" si="306"/>
        <v>0</v>
      </c>
      <c r="K323" s="98">
        <f t="shared" si="307"/>
        <v>0</v>
      </c>
      <c r="L323" s="93">
        <f t="shared" si="308"/>
        <v>0</v>
      </c>
      <c r="M323" s="99">
        <f t="shared" si="309"/>
        <v>0</v>
      </c>
      <c r="N323" s="100"/>
      <c r="O323" s="102">
        <f>($E323/DP!$P$29)*F323</f>
        <v>0</v>
      </c>
      <c r="P323" s="102">
        <f>IF(O323&gt;0,(DP!$P$31),0*1)</f>
        <v>0</v>
      </c>
      <c r="Q323" s="102">
        <f t="shared" si="315"/>
        <v>0</v>
      </c>
      <c r="R323" s="102">
        <f t="shared" si="316"/>
        <v>0</v>
      </c>
      <c r="S323" s="418">
        <f t="shared" si="317"/>
        <v>0</v>
      </c>
      <c r="T323" s="475">
        <f>H323*DP!$AC$44</f>
        <v>0</v>
      </c>
      <c r="U323" s="475">
        <f>IF(H323&gt;0,DP!$AD$44,0*1)</f>
        <v>0</v>
      </c>
      <c r="V323" s="475">
        <f t="shared" si="318"/>
        <v>0</v>
      </c>
      <c r="W323" s="475">
        <f>H323*DP!$AC$45</f>
        <v>0</v>
      </c>
      <c r="X323" s="475">
        <f>IF(H323&gt;0,DP!$AD$45,0*1)</f>
        <v>0</v>
      </c>
      <c r="Y323" s="475">
        <f t="shared" si="319"/>
        <v>0</v>
      </c>
      <c r="Z323" s="100"/>
      <c r="AA323" s="93">
        <f>IF(D323=DP!$L$15,F323*(1+DP!$P$15),IF(D323=DP!$L$16,F323*(1+DP!$P$16),IF(D323=DP!$L$17,F323*(1+DP!$P$17),IF(D323=DP!$L$18,F323*(1+DP!$P$18),0*1))))</f>
        <v>0</v>
      </c>
      <c r="AB323" s="102">
        <f>IF(D323=DP!$L$22,(DP!$M$22),IF(D323=DP!$L$23,(DP!$M$23),IF(D323=DP!$L$24,(DP!$M$24),IF(D323=DP!$L$25,(DP!$M$25),((0*1))))))</f>
        <v>0</v>
      </c>
      <c r="AC323" s="93">
        <f t="shared" si="320"/>
        <v>0</v>
      </c>
      <c r="AD323" s="93">
        <f>IF(D323=DP!$L$15,F323*(1+DP!$P$15),IF(D323=DP!$L$16,F323*(1+DP!$P$16),IF(D323=DP!$L$17,F323*(1+DP!$P$17),IF(D323=DP!$L$18,F323*(1+DP!$P$18),0*1))))</f>
        <v>0</v>
      </c>
      <c r="AE323" s="102">
        <f>IF(D323=DP!$L$22,(DP!$N$22),IF(D323=DP!$L$23,(DP!$N$23),IF(D323=DP!$L$24,(DP!$N$24),IF(D323=DP!$L$25,(DP!$N$25),((0*1))))))</f>
        <v>0</v>
      </c>
      <c r="AF323" s="93">
        <f t="shared" si="321"/>
        <v>0</v>
      </c>
      <c r="AG323" s="93">
        <f>IF(D323=DP!$L$15,(F323/DP!$K$15)*(1+DP!$P$15),IF(D323=DP!$L$16,(F323/DP!$K$16)*(1+DP!$P$16),IF(D323=DP!$L$17,(F323/DP!$K$17)*(1+DP!$P$17),IF(D323=DP!$L$18,(F323/DP!$K$18)*(1+DP!$P$18),0*1))))</f>
        <v>0</v>
      </c>
      <c r="AH323" s="102">
        <f>IF(D323=DP!$L$22,(DP!$O$22),IF(D323=DP!$L$23,(DP!$O$23),IF(D323=DP!$L$24,(DP!$O$24),IF(D323=DP!$L$25,(DP!$O$25),((0*1))))))</f>
        <v>0</v>
      </c>
      <c r="AI323" s="93">
        <f t="shared" si="322"/>
        <v>0</v>
      </c>
      <c r="AJ323" s="93">
        <f>IF(D323=DP!$L$15,F323*(1+DP!$P$15),IF(D323=DP!$L$16,F323*(1+DP!$P$16),IF(D323=DP!$L$17,F323*(1+DP!$P$17),IF(D323=DP!$L$18,F323*(1+DP!$P$18),0*1))))</f>
        <v>0</v>
      </c>
      <c r="AK323" s="102">
        <f>IF(D323=DP!$L$22,(DP!$P$22),IF(D323=DP!$L$23,(DP!$P$23),IF(D323=DP!$L$24,(DP!$P$24),IF(D323=DP!$L$25,(DP!$P$25),((0*1))))))</f>
        <v>0</v>
      </c>
      <c r="AL323" s="93">
        <f t="shared" si="323"/>
        <v>0</v>
      </c>
      <c r="AM323" s="100"/>
      <c r="AN323" s="149">
        <f t="shared" si="310"/>
        <v>0</v>
      </c>
      <c r="AO323" s="149">
        <f>DP!$N$35*H323</f>
        <v>0</v>
      </c>
      <c r="AP323" s="149">
        <f>DP!$O$35*H323</f>
        <v>0</v>
      </c>
      <c r="AQ323" s="149">
        <f>DP!$P$35*H323</f>
        <v>0</v>
      </c>
      <c r="AV323" s="489">
        <f>DP!AV32</f>
        <v>0</v>
      </c>
      <c r="AW323" s="489">
        <f>DP!AW32</f>
        <v>0</v>
      </c>
      <c r="AX323" s="489">
        <f>DP!AX32</f>
        <v>0</v>
      </c>
      <c r="AY323" s="412">
        <f t="shared" si="324"/>
        <v>0</v>
      </c>
      <c r="AZ323" s="470">
        <f>DP!BH32</f>
        <v>0</v>
      </c>
      <c r="BA323" s="98">
        <f t="shared" si="325"/>
        <v>0</v>
      </c>
      <c r="BB323" s="97"/>
      <c r="BC323" s="102">
        <f t="shared" si="326"/>
        <v>0</v>
      </c>
      <c r="BD323" s="98">
        <f t="shared" si="311"/>
        <v>0</v>
      </c>
      <c r="BE323" s="93">
        <f t="shared" si="327"/>
        <v>0</v>
      </c>
      <c r="BF323" s="99">
        <f t="shared" si="312"/>
        <v>0</v>
      </c>
      <c r="BG323" s="100"/>
      <c r="BH323" s="102">
        <f>IFERROR((BA323*100%)/DP!$AR$29,(0*1))</f>
        <v>0</v>
      </c>
      <c r="BI323" s="102">
        <f>IF(BH323&gt;0,(DP!$AR$31),0*1)</f>
        <v>0</v>
      </c>
      <c r="BJ323" s="435">
        <f t="shared" si="328"/>
        <v>0</v>
      </c>
      <c r="BK323" s="475">
        <f>BA323*DP!$BE$44</f>
        <v>0</v>
      </c>
      <c r="BL323" s="475">
        <f>IF(BA323&gt;0,DP!$BF$44,0*1)</f>
        <v>0</v>
      </c>
      <c r="BM323" s="475">
        <f t="shared" si="329"/>
        <v>0</v>
      </c>
      <c r="BN323" s="102">
        <f>BA323*DP!$BE$45</f>
        <v>0</v>
      </c>
      <c r="BO323" s="102">
        <f>IF(BA323&gt;0,DP!$BF$45,0*1)</f>
        <v>0</v>
      </c>
      <c r="BP323" s="475">
        <f t="shared" si="330"/>
        <v>0</v>
      </c>
      <c r="BQ323" s="100"/>
      <c r="BR323" s="100"/>
      <c r="BS323" s="100"/>
      <c r="BT323" s="93">
        <f>IF(AW323=DP!$AN$15,AY323*(1+DP!$AR$15),IF(AW323=DP!$AN$16,AY323*(1+DP!$AR$16),IF(AW323=DP!$AN$17,AY323*(1+DP!$AR$17),IF(AW323=DP!$AN$18,AY323*(1+DP!$AR$18),0*1))))</f>
        <v>0</v>
      </c>
      <c r="BU323" s="102">
        <f>IF(AW323=DP!$AN$22,(DP!$AO$22),IF(AW323=DP!$AN$23,(DP!$AO$23),IF(AW323=DP!$AN$24,(DP!$AO$24),IF(AW323=DP!$AN$25,(DP!$AO$25),((0*1))))))</f>
        <v>0</v>
      </c>
      <c r="BV323" s="93">
        <f t="shared" si="331"/>
        <v>0</v>
      </c>
      <c r="BW323" s="93">
        <f>IF(AW323=DP!$AN$15,AY323*(1+DP!$AR$15),IF(AW323=DP!$AN$16,AY323*(1+DP!$AR$16),IF(AW323=DP!$AN$17,AY323*(1+DP!$AR$17),IF(AW323=DP!$AN$18,AY323*(1+DP!$AR$18),0*1))))</f>
        <v>0</v>
      </c>
      <c r="BX323" s="102">
        <f>IF(AW323=DP!$AN$22,(DP!$AP$22),IF(AW323=DP!$AN$23,(DP!$AP$23),IF(AW323=DP!$AN$24,(DP!$AP$24),IF(AW323=DP!$AN$25,(DP!$AP$25),((0*1))))))</f>
        <v>0</v>
      </c>
      <c r="BY323" s="93">
        <f t="shared" si="332"/>
        <v>0</v>
      </c>
      <c r="BZ323" s="93">
        <f>IF(AW323=DP!$AN$15,(AY323/DP!$AM$15)*(1+DP!$AR$15),IF(AW323=DP!$AN$16,(AY323/DP!$AM$16)*(1+DP!$AR$16),IF(AW323=DP!$AN$17,(AY323/DP!$AM$17)*(1+DP!$AR$17),IF(AW323=DP!$AN$18,(AY323/DP!$AM$18)*(1+DP!$AR$18),0*1))))</f>
        <v>0</v>
      </c>
      <c r="CA323" s="102">
        <f>IF(AW323=DP!$AN$22,(DP!$AQ$22),IF(AW323=DP!$AN$23,(DP!$AQ$23),IF(AW323=DP!$AN$24,(DP!$AQ$24),IF(AW323=DP!$AN$25,(DP!$AQ$25),((0*1))))))</f>
        <v>0</v>
      </c>
      <c r="CB323" s="93">
        <f t="shared" si="333"/>
        <v>0</v>
      </c>
      <c r="CC323" s="93">
        <f>IF(AW323=DP!$AN$15,AY323*(1+DP!$AR$15),IF(AW323=DP!$AN$16,AY323*(1+DP!$AR$16),IF(AW323=DP!$AN$17,AY323*(1+DP!$AR$17),IF(AW323=DP!$AN$18,AY323*(1+DP!$AR$18),0*1))))</f>
        <v>0</v>
      </c>
      <c r="CD323" s="102">
        <f>IF(AW323=DP!$AN$22,(DP!$AR$22),IF(AW323=DP!$AN$23,(DP!$AR$23),IF(AW323=DP!$AN$24,(DP!$AR$24),IF(AW323=DP!$AN$25,(DP!$AR$25),((0*1))))))</f>
        <v>0</v>
      </c>
      <c r="CE323" s="93">
        <f t="shared" si="334"/>
        <v>0</v>
      </c>
      <c r="CF323" s="100"/>
      <c r="CG323" s="149">
        <f t="shared" si="335"/>
        <v>0</v>
      </c>
      <c r="CH323" s="149">
        <f>DP!$N$35*BA323</f>
        <v>0</v>
      </c>
      <c r="CI323" s="149">
        <f>DP!$O$35*BA323</f>
        <v>0</v>
      </c>
      <c r="CJ323" s="149">
        <f>DP!$P$35*BA323</f>
        <v>0</v>
      </c>
    </row>
    <row r="324" spans="2:88" x14ac:dyDescent="0.35">
      <c r="B324" s="481">
        <f>DP!S33</f>
        <v>0</v>
      </c>
      <c r="C324" s="481">
        <f>DP!T33</f>
        <v>0</v>
      </c>
      <c r="D324" s="481">
        <f>DP!U33</f>
        <v>0</v>
      </c>
      <c r="E324" s="481">
        <f>DP!V33</f>
        <v>0</v>
      </c>
      <c r="F324" s="412">
        <f t="shared" si="313"/>
        <v>0</v>
      </c>
      <c r="G324" s="470">
        <f>DP!AF33</f>
        <v>0</v>
      </c>
      <c r="H324" s="98">
        <f t="shared" si="314"/>
        <v>0</v>
      </c>
      <c r="I324" s="97"/>
      <c r="J324" s="102">
        <f t="shared" si="306"/>
        <v>0</v>
      </c>
      <c r="K324" s="98">
        <f t="shared" si="307"/>
        <v>0</v>
      </c>
      <c r="L324" s="93">
        <f t="shared" si="308"/>
        <v>0</v>
      </c>
      <c r="M324" s="99">
        <f t="shared" si="309"/>
        <v>0</v>
      </c>
      <c r="N324" s="100"/>
      <c r="O324" s="102">
        <f>($E324/DP!$P$29)*F324</f>
        <v>0</v>
      </c>
      <c r="P324" s="102">
        <f>IF(O324&gt;0,(DP!$P$31),0*1)</f>
        <v>0</v>
      </c>
      <c r="Q324" s="102">
        <f t="shared" si="315"/>
        <v>0</v>
      </c>
      <c r="R324" s="102">
        <f t="shared" si="316"/>
        <v>0</v>
      </c>
      <c r="S324" s="418">
        <f t="shared" si="317"/>
        <v>0</v>
      </c>
      <c r="T324" s="475">
        <f>H324*DP!$AC$44</f>
        <v>0</v>
      </c>
      <c r="U324" s="475">
        <f>IF(H324&gt;0,DP!$AD$44,0*1)</f>
        <v>0</v>
      </c>
      <c r="V324" s="475">
        <f t="shared" si="318"/>
        <v>0</v>
      </c>
      <c r="W324" s="475">
        <f>H324*DP!$AC$45</f>
        <v>0</v>
      </c>
      <c r="X324" s="475">
        <f>IF(H324&gt;0,DP!$AD$45,0*1)</f>
        <v>0</v>
      </c>
      <c r="Y324" s="475">
        <f t="shared" si="319"/>
        <v>0</v>
      </c>
      <c r="Z324" s="100"/>
      <c r="AA324" s="93">
        <f>IF(D324=DP!$L$15,F324*(1+DP!$P$15),IF(D324=DP!$L$16,F324*(1+DP!$P$16),IF(D324=DP!$L$17,F324*(1+DP!$P$17),IF(D324=DP!$L$18,F324*(1+DP!$P$18),0*1))))</f>
        <v>0</v>
      </c>
      <c r="AB324" s="102">
        <f>IF(D324=DP!$L$22,(DP!$M$22),IF(D324=DP!$L$23,(DP!$M$23),IF(D324=DP!$L$24,(DP!$M$24),IF(D324=DP!$L$25,(DP!$M$25),((0*1))))))</f>
        <v>0</v>
      </c>
      <c r="AC324" s="93">
        <f t="shared" si="320"/>
        <v>0</v>
      </c>
      <c r="AD324" s="93">
        <f>IF(D324=DP!$L$15,F324*(1+DP!$P$15),IF(D324=DP!$L$16,F324*(1+DP!$P$16),IF(D324=DP!$L$17,F324*(1+DP!$P$17),IF(D324=DP!$L$18,F324*(1+DP!$P$18),0*1))))</f>
        <v>0</v>
      </c>
      <c r="AE324" s="102">
        <f>IF(D324=DP!$L$22,(DP!$N$22),IF(D324=DP!$L$23,(DP!$N$23),IF(D324=DP!$L$24,(DP!$N$24),IF(D324=DP!$L$25,(DP!$N$25),((0*1))))))</f>
        <v>0</v>
      </c>
      <c r="AF324" s="93">
        <f t="shared" si="321"/>
        <v>0</v>
      </c>
      <c r="AG324" s="93">
        <f>IF(D324=DP!$L$15,(F324/DP!$K$15)*(1+DP!$P$15),IF(D324=DP!$L$16,(F324/DP!$K$16)*(1+DP!$P$16),IF(D324=DP!$L$17,(F324/DP!$K$17)*(1+DP!$P$17),IF(D324=DP!$L$18,(F324/DP!$K$18)*(1+DP!$P$18),0*1))))</f>
        <v>0</v>
      </c>
      <c r="AH324" s="102">
        <f>IF(D324=DP!$L$22,(DP!$O$22),IF(D324=DP!$L$23,(DP!$O$23),IF(D324=DP!$L$24,(DP!$O$24),IF(D324=DP!$L$25,(DP!$O$25),((0*1))))))</f>
        <v>0</v>
      </c>
      <c r="AI324" s="93">
        <f t="shared" si="322"/>
        <v>0</v>
      </c>
      <c r="AJ324" s="93">
        <f>IF(D324=DP!$L$15,F324*(1+DP!$P$15),IF(D324=DP!$L$16,F324*(1+DP!$P$16),IF(D324=DP!$L$17,F324*(1+DP!$P$17),IF(D324=DP!$L$18,F324*(1+DP!$P$18),0*1))))</f>
        <v>0</v>
      </c>
      <c r="AK324" s="102">
        <f>IF(D324=DP!$L$22,(DP!$P$22),IF(D324=DP!$L$23,(DP!$P$23),IF(D324=DP!$L$24,(DP!$P$24),IF(D324=DP!$L$25,(DP!$P$25),((0*1))))))</f>
        <v>0</v>
      </c>
      <c r="AL324" s="93">
        <f t="shared" si="323"/>
        <v>0</v>
      </c>
      <c r="AM324" s="100"/>
      <c r="AN324" s="149">
        <f t="shared" si="310"/>
        <v>0</v>
      </c>
      <c r="AO324" s="149">
        <f>DP!$N$35*H324</f>
        <v>0</v>
      </c>
      <c r="AP324" s="149">
        <f>DP!$O$35*H324</f>
        <v>0</v>
      </c>
      <c r="AQ324" s="149">
        <f>DP!$P$35*H324</f>
        <v>0</v>
      </c>
      <c r="AV324" s="489">
        <f>DP!AV33</f>
        <v>0</v>
      </c>
      <c r="AW324" s="489">
        <f>DP!AW33</f>
        <v>0</v>
      </c>
      <c r="AX324" s="489">
        <f>DP!AX33</f>
        <v>0</v>
      </c>
      <c r="AY324" s="412">
        <f t="shared" si="324"/>
        <v>0</v>
      </c>
      <c r="AZ324" s="470">
        <f>DP!BH33</f>
        <v>0</v>
      </c>
      <c r="BA324" s="98">
        <f t="shared" si="325"/>
        <v>0</v>
      </c>
      <c r="BB324" s="97"/>
      <c r="BC324" s="102">
        <f t="shared" si="326"/>
        <v>0</v>
      </c>
      <c r="BD324" s="98">
        <f t="shared" si="311"/>
        <v>0</v>
      </c>
      <c r="BE324" s="93">
        <f t="shared" si="327"/>
        <v>0</v>
      </c>
      <c r="BF324" s="99">
        <f t="shared" si="312"/>
        <v>0</v>
      </c>
      <c r="BG324" s="100"/>
      <c r="BH324" s="102">
        <f>IFERROR((BA324*100%)/DP!$AR$29,(0*1))</f>
        <v>0</v>
      </c>
      <c r="BI324" s="102">
        <f>IF(BH324&gt;0,(DP!$AR$31),0*1)</f>
        <v>0</v>
      </c>
      <c r="BJ324" s="435">
        <f t="shared" si="328"/>
        <v>0</v>
      </c>
      <c r="BK324" s="475">
        <f>BA324*DP!$BE$44</f>
        <v>0</v>
      </c>
      <c r="BL324" s="475">
        <f>IF(BA324&gt;0,DP!$BF$44,0*1)</f>
        <v>0</v>
      </c>
      <c r="BM324" s="475">
        <f t="shared" si="329"/>
        <v>0</v>
      </c>
      <c r="BN324" s="102">
        <f>BA324*DP!$BE$45</f>
        <v>0</v>
      </c>
      <c r="BO324" s="102">
        <f>IF(BA324&gt;0,DP!$BF$45,0*1)</f>
        <v>0</v>
      </c>
      <c r="BP324" s="475">
        <f t="shared" si="330"/>
        <v>0</v>
      </c>
      <c r="BQ324" s="100"/>
      <c r="BR324" s="100"/>
      <c r="BS324" s="100"/>
      <c r="BT324" s="93">
        <f>IF(AW324=DP!$AN$15,AY324*(1+DP!$AR$15),IF(AW324=DP!$AN$16,AY324*(1+DP!$AR$16),IF(AW324=DP!$AN$17,AY324*(1+DP!$AR$17),IF(AW324=DP!$AN$18,AY324*(1+DP!$AR$18),0*1))))</f>
        <v>0</v>
      </c>
      <c r="BU324" s="102">
        <f>IF(AW324=DP!$AN$22,(DP!$AO$22),IF(AW324=DP!$AN$23,(DP!$AO$23),IF(AW324=DP!$AN$24,(DP!$AO$24),IF(AW324=DP!$AN$25,(DP!$AO$25),((0*1))))))</f>
        <v>0</v>
      </c>
      <c r="BV324" s="93">
        <f t="shared" si="331"/>
        <v>0</v>
      </c>
      <c r="BW324" s="93">
        <f>IF(AW324=DP!$AN$15,AY324*(1+DP!$AR$15),IF(AW324=DP!$AN$16,AY324*(1+DP!$AR$16),IF(AW324=DP!$AN$17,AY324*(1+DP!$AR$17),IF(AW324=DP!$AN$18,AY324*(1+DP!$AR$18),0*1))))</f>
        <v>0</v>
      </c>
      <c r="BX324" s="102">
        <f>IF(AW324=DP!$AN$22,(DP!$AP$22),IF(AW324=DP!$AN$23,(DP!$AP$23),IF(AW324=DP!$AN$24,(DP!$AP$24),IF(AW324=DP!$AN$25,(DP!$AP$25),((0*1))))))</f>
        <v>0</v>
      </c>
      <c r="BY324" s="93">
        <f t="shared" si="332"/>
        <v>0</v>
      </c>
      <c r="BZ324" s="93">
        <f>IF(AW324=DP!$AN$15,(AY324/DP!$AM$15)*(1+DP!$AR$15),IF(AW324=DP!$AN$16,(AY324/DP!$AM$16)*(1+DP!$AR$16),IF(AW324=DP!$AN$17,(AY324/DP!$AM$17)*(1+DP!$AR$17),IF(AW324=DP!$AN$18,(AY324/DP!$AM$18)*(1+DP!$AR$18),0*1))))</f>
        <v>0</v>
      </c>
      <c r="CA324" s="102">
        <f>IF(AW324=DP!$AN$22,(DP!$AQ$22),IF(AW324=DP!$AN$23,(DP!$AQ$23),IF(AW324=DP!$AN$24,(DP!$AQ$24),IF(AW324=DP!$AN$25,(DP!$AQ$25),((0*1))))))</f>
        <v>0</v>
      </c>
      <c r="CB324" s="93">
        <f t="shared" si="333"/>
        <v>0</v>
      </c>
      <c r="CC324" s="93">
        <f>IF(AW324=DP!$AN$15,AY324*(1+DP!$AR$15),IF(AW324=DP!$AN$16,AY324*(1+DP!$AR$16),IF(AW324=DP!$AN$17,AY324*(1+DP!$AR$17),IF(AW324=DP!$AN$18,AY324*(1+DP!$AR$18),0*1))))</f>
        <v>0</v>
      </c>
      <c r="CD324" s="102">
        <f>IF(AW324=DP!$AN$22,(DP!$AR$22),IF(AW324=DP!$AN$23,(DP!$AR$23),IF(AW324=DP!$AN$24,(DP!$AR$24),IF(AW324=DP!$AN$25,(DP!$AR$25),((0*1))))))</f>
        <v>0</v>
      </c>
      <c r="CE324" s="93">
        <f t="shared" si="334"/>
        <v>0</v>
      </c>
      <c r="CF324" s="100"/>
      <c r="CG324" s="149">
        <f t="shared" si="335"/>
        <v>0</v>
      </c>
      <c r="CH324" s="149">
        <f>DP!$N$35*BA324</f>
        <v>0</v>
      </c>
      <c r="CI324" s="149">
        <f>DP!$O$35*BA324</f>
        <v>0</v>
      </c>
      <c r="CJ324" s="149">
        <f>DP!$P$35*BA324</f>
        <v>0</v>
      </c>
    </row>
    <row r="325" spans="2:88" x14ac:dyDescent="0.35">
      <c r="B325" s="481">
        <f>DP!S34</f>
        <v>0</v>
      </c>
      <c r="C325" s="481">
        <f>DP!T34</f>
        <v>0</v>
      </c>
      <c r="D325" s="481">
        <f>DP!U34</f>
        <v>0</v>
      </c>
      <c r="E325" s="481">
        <f>DP!V34</f>
        <v>0</v>
      </c>
      <c r="F325" s="412">
        <f t="shared" si="313"/>
        <v>0</v>
      </c>
      <c r="G325" s="470">
        <f>DP!AF34</f>
        <v>0</v>
      </c>
      <c r="H325" s="98">
        <f t="shared" si="314"/>
        <v>0</v>
      </c>
      <c r="I325" s="97"/>
      <c r="J325" s="102">
        <f t="shared" si="306"/>
        <v>0</v>
      </c>
      <c r="K325" s="98">
        <f t="shared" si="307"/>
        <v>0</v>
      </c>
      <c r="L325" s="93">
        <f t="shared" si="308"/>
        <v>0</v>
      </c>
      <c r="M325" s="99">
        <f t="shared" si="309"/>
        <v>0</v>
      </c>
      <c r="N325" s="100"/>
      <c r="O325" s="102">
        <f>($E325/DP!$P$29)*F325</f>
        <v>0</v>
      </c>
      <c r="P325" s="102">
        <f>IF(O325&gt;0,(DP!$P$31),0*1)</f>
        <v>0</v>
      </c>
      <c r="Q325" s="102">
        <f t="shared" si="315"/>
        <v>0</v>
      </c>
      <c r="R325" s="102">
        <f t="shared" si="316"/>
        <v>0</v>
      </c>
      <c r="S325" s="418">
        <f t="shared" si="317"/>
        <v>0</v>
      </c>
      <c r="T325" s="475">
        <f>H325*DP!$AC$44</f>
        <v>0</v>
      </c>
      <c r="U325" s="475">
        <f>IF(H325&gt;0,DP!$AD$44,0*1)</f>
        <v>0</v>
      </c>
      <c r="V325" s="475">
        <f t="shared" si="318"/>
        <v>0</v>
      </c>
      <c r="W325" s="475">
        <f>H325*DP!$AC$45</f>
        <v>0</v>
      </c>
      <c r="X325" s="475">
        <f>IF(H325&gt;0,DP!$AD$45,0*1)</f>
        <v>0</v>
      </c>
      <c r="Y325" s="475">
        <f t="shared" si="319"/>
        <v>0</v>
      </c>
      <c r="Z325" s="100"/>
      <c r="AA325" s="93">
        <f>IF(D325=DP!$L$15,F325*(1+DP!$P$15),IF(D325=DP!$L$16,F325*(1+DP!$P$16),IF(D325=DP!$L$17,F325*(1+DP!$P$17),IF(D325=DP!$L$18,F325*(1+DP!$P$18),0*1))))</f>
        <v>0</v>
      </c>
      <c r="AB325" s="102">
        <f>IF(D325=DP!$L$22,(DP!$M$22),IF(D325=DP!$L$23,(DP!$M$23),IF(D325=DP!$L$24,(DP!$M$24),IF(D325=DP!$L$25,(DP!$M$25),((0*1))))))</f>
        <v>0</v>
      </c>
      <c r="AC325" s="93">
        <f t="shared" si="320"/>
        <v>0</v>
      </c>
      <c r="AD325" s="93">
        <f>IF(D325=DP!$L$15,F325*(1+DP!$P$15),IF(D325=DP!$L$16,F325*(1+DP!$P$16),IF(D325=DP!$L$17,F325*(1+DP!$P$17),IF(D325=DP!$L$18,F325*(1+DP!$P$18),0*1))))</f>
        <v>0</v>
      </c>
      <c r="AE325" s="102">
        <f>IF(D325=DP!$L$22,(DP!$N$22),IF(D325=DP!$L$23,(DP!$N$23),IF(D325=DP!$L$24,(DP!$N$24),IF(D325=DP!$L$25,(DP!$N$25),((0*1))))))</f>
        <v>0</v>
      </c>
      <c r="AF325" s="93">
        <f t="shared" si="321"/>
        <v>0</v>
      </c>
      <c r="AG325" s="93">
        <f>IF(D325=DP!$L$15,(F325/DP!$K$15)*(1+DP!$P$15),IF(D325=DP!$L$16,(F325/DP!$K$16)*(1+DP!$P$16),IF(D325=DP!$L$17,(F325/DP!$K$17)*(1+DP!$P$17),IF(D325=DP!$L$18,(F325/DP!$K$18)*(1+DP!$P$18),0*1))))</f>
        <v>0</v>
      </c>
      <c r="AH325" s="102">
        <f>IF(D325=DP!$L$22,(DP!$O$22),IF(D325=DP!$L$23,(DP!$O$23),IF(D325=DP!$L$24,(DP!$O$24),IF(D325=DP!$L$25,(DP!$O$25),((0*1))))))</f>
        <v>0</v>
      </c>
      <c r="AI325" s="93">
        <f t="shared" si="322"/>
        <v>0</v>
      </c>
      <c r="AJ325" s="93">
        <f>IF(D325=DP!$L$15,F325*(1+DP!$P$15),IF(D325=DP!$L$16,F325*(1+DP!$P$16),IF(D325=DP!$L$17,F325*(1+DP!$P$17),IF(D325=DP!$L$18,F325*(1+DP!$P$18),0*1))))</f>
        <v>0</v>
      </c>
      <c r="AK325" s="102">
        <f>IF(D325=DP!$L$22,(DP!$P$22),IF(D325=DP!$L$23,(DP!$P$23),IF(D325=DP!$L$24,(DP!$P$24),IF(D325=DP!$L$25,(DP!$P$25),((0*1))))))</f>
        <v>0</v>
      </c>
      <c r="AL325" s="93">
        <f t="shared" si="323"/>
        <v>0</v>
      </c>
      <c r="AM325" s="100"/>
      <c r="AN325" s="149">
        <f t="shared" si="310"/>
        <v>0</v>
      </c>
      <c r="AO325" s="149">
        <f>DP!$N$35*H325</f>
        <v>0</v>
      </c>
      <c r="AP325" s="149">
        <f>DP!$O$35*H325</f>
        <v>0</v>
      </c>
      <c r="AQ325" s="149">
        <f>DP!$P$35*H325</f>
        <v>0</v>
      </c>
      <c r="AV325" s="489">
        <f>DP!AV34</f>
        <v>0</v>
      </c>
      <c r="AW325" s="489">
        <f>DP!AW34</f>
        <v>0</v>
      </c>
      <c r="AX325" s="489">
        <f>DP!AX34</f>
        <v>0</v>
      </c>
      <c r="AY325" s="412">
        <f t="shared" si="324"/>
        <v>0</v>
      </c>
      <c r="AZ325" s="470">
        <f>DP!BH34</f>
        <v>0</v>
      </c>
      <c r="BA325" s="98">
        <f t="shared" si="325"/>
        <v>0</v>
      </c>
      <c r="BB325" s="97"/>
      <c r="BC325" s="102">
        <f t="shared" si="326"/>
        <v>0</v>
      </c>
      <c r="BD325" s="98">
        <f t="shared" si="311"/>
        <v>0</v>
      </c>
      <c r="BE325" s="93">
        <f t="shared" si="327"/>
        <v>0</v>
      </c>
      <c r="BF325" s="99">
        <f t="shared" si="312"/>
        <v>0</v>
      </c>
      <c r="BG325" s="100"/>
      <c r="BH325" s="102">
        <f>IFERROR((BA325*100%)/DP!$AR$29,(0*1))</f>
        <v>0</v>
      </c>
      <c r="BI325" s="102">
        <f>IF(BH325&gt;0,(DP!$AR$31),0*1)</f>
        <v>0</v>
      </c>
      <c r="BJ325" s="435">
        <f>BH325*BI325</f>
        <v>0</v>
      </c>
      <c r="BK325" s="475">
        <f>BA325*DP!$BE$44</f>
        <v>0</v>
      </c>
      <c r="BL325" s="475">
        <f>IF(BA325&gt;0,DP!$BF$44,0*1)</f>
        <v>0</v>
      </c>
      <c r="BM325" s="475">
        <f t="shared" si="329"/>
        <v>0</v>
      </c>
      <c r="BN325" s="102">
        <f>BA325*DP!$BE$45</f>
        <v>0</v>
      </c>
      <c r="BO325" s="102">
        <f>IF(BA325&gt;0,DP!$BF$45,0*1)</f>
        <v>0</v>
      </c>
      <c r="BP325" s="475">
        <f t="shared" si="330"/>
        <v>0</v>
      </c>
      <c r="BQ325" s="100"/>
      <c r="BR325" s="100"/>
      <c r="BS325" s="100"/>
      <c r="BT325" s="93">
        <f>IF(AW325=DP!$AN$15,AY325*(1+DP!$AR$15),IF(AW325=DP!$AN$16,AY325*(1+DP!$AR$16),IF(AW325=DP!$AN$17,AY325*(1+DP!$AR$17),IF(AW325=DP!$AN$18,AY325*(1+DP!$AR$18),0*1))))</f>
        <v>0</v>
      </c>
      <c r="BU325" s="102">
        <f>IF(AW325=DP!$AN$22,(DP!$AO$22),IF(AW325=DP!$AN$23,(DP!$AO$23),IF(AW325=DP!$AN$24,(DP!$AO$24),IF(AW325=DP!$AN$25,(DP!$AO$25),((0*1))))))</f>
        <v>0</v>
      </c>
      <c r="BV325" s="93">
        <f t="shared" si="331"/>
        <v>0</v>
      </c>
      <c r="BW325" s="93">
        <f>IF(AW325=DP!$AN$15,AY325*(1+DP!$AR$15),IF(AW325=DP!$AN$16,AY325*(1+DP!$AR$16),IF(AW325=DP!$AN$17,AY325*(1+DP!$AR$17),IF(AW325=DP!$AN$18,AY325*(1+DP!$AR$18),0*1))))</f>
        <v>0</v>
      </c>
      <c r="BX325" s="102">
        <f>IF(AW325=DP!$AN$22,(DP!$AP$22),IF(AW325=DP!$AN$23,(DP!$AP$23),IF(AW325=DP!$AN$24,(DP!$AP$24),IF(AW325=DP!$AN$25,(DP!$AP$25),((0*1))))))</f>
        <v>0</v>
      </c>
      <c r="BY325" s="93">
        <f t="shared" si="332"/>
        <v>0</v>
      </c>
      <c r="BZ325" s="93">
        <f>IF(AW325=DP!$AN$15,(AY325/DP!$AM$15)*(1+DP!$AR$15),IF(AW325=DP!$AN$16,(AY325/DP!$AM$16)*(1+DP!$AR$16),IF(AW325=DP!$AN$17,(AY325/DP!$AM$17)*(1+DP!$AR$17),IF(AW325=DP!$AN$18,(AY325/DP!$AM$18)*(1+DP!$AR$18),0*1))))</f>
        <v>0</v>
      </c>
      <c r="CA325" s="102">
        <f>IF(AW325=DP!$AN$22,(DP!$AQ$22),IF(AW325=DP!$AN$23,(DP!$AQ$23),IF(AW325=DP!$AN$24,(DP!$AQ$24),IF(AW325=DP!$AN$25,(DP!$AQ$25),((0*1))))))</f>
        <v>0</v>
      </c>
      <c r="CB325" s="93">
        <f t="shared" si="333"/>
        <v>0</v>
      </c>
      <c r="CC325" s="93">
        <f>IF(AW325=DP!$AN$15,AY325*(1+DP!$AR$15),IF(AW325=DP!$AN$16,AY325*(1+DP!$AR$16),IF(AW325=DP!$AN$17,AY325*(1+DP!$AR$17),IF(AW325=DP!$AN$18,AY325*(1+DP!$AR$18),0*1))))</f>
        <v>0</v>
      </c>
      <c r="CD325" s="102">
        <f>IF(AW325=DP!$AN$22,(DP!$AR$22),IF(AW325=DP!$AN$23,(DP!$AR$23),IF(AW325=DP!$AN$24,(DP!$AR$24),IF(AW325=DP!$AN$25,(DP!$AR$25),((0*1))))))</f>
        <v>0</v>
      </c>
      <c r="CE325" s="93">
        <f t="shared" si="334"/>
        <v>0</v>
      </c>
      <c r="CF325" s="100"/>
      <c r="CG325" s="149">
        <f t="shared" si="335"/>
        <v>0</v>
      </c>
      <c r="CH325" s="149">
        <f>DP!$N$35*BA325</f>
        <v>0</v>
      </c>
      <c r="CI325" s="149">
        <f>DP!$O$35*BA325</f>
        <v>0</v>
      </c>
      <c r="CJ325" s="149">
        <f>DP!$P$35*BA325</f>
        <v>0</v>
      </c>
    </row>
    <row r="326" spans="2:88" x14ac:dyDescent="0.35">
      <c r="B326" s="481">
        <f>DP!S35</f>
        <v>0</v>
      </c>
      <c r="C326" s="481">
        <f>DP!T35</f>
        <v>0</v>
      </c>
      <c r="D326" s="481">
        <f>DP!U35</f>
        <v>0</v>
      </c>
      <c r="E326" s="481">
        <f>DP!V35</f>
        <v>0</v>
      </c>
      <c r="F326" s="412">
        <f t="shared" si="313"/>
        <v>0</v>
      </c>
      <c r="G326" s="470">
        <f>DP!AF35</f>
        <v>0</v>
      </c>
      <c r="H326" s="98">
        <f t="shared" si="314"/>
        <v>0</v>
      </c>
      <c r="I326" s="97"/>
      <c r="J326" s="102">
        <f t="shared" si="306"/>
        <v>0</v>
      </c>
      <c r="K326" s="98">
        <f t="shared" si="307"/>
        <v>0</v>
      </c>
      <c r="L326" s="93">
        <f t="shared" si="308"/>
        <v>0</v>
      </c>
      <c r="M326" s="99">
        <f t="shared" si="309"/>
        <v>0</v>
      </c>
      <c r="N326" s="100"/>
      <c r="O326" s="102">
        <f>($E326/DP!$P$29)*F326</f>
        <v>0</v>
      </c>
      <c r="P326" s="102">
        <f>IF(O326&gt;0,(DP!$P$31),0*1)</f>
        <v>0</v>
      </c>
      <c r="Q326" s="102">
        <f t="shared" si="315"/>
        <v>0</v>
      </c>
      <c r="R326" s="102">
        <f t="shared" si="316"/>
        <v>0</v>
      </c>
      <c r="S326" s="418">
        <f t="shared" si="317"/>
        <v>0</v>
      </c>
      <c r="T326" s="475">
        <f>H326*DP!$AC$44</f>
        <v>0</v>
      </c>
      <c r="U326" s="475">
        <f>IF(H326&gt;0,DP!$AD$44,0*1)</f>
        <v>0</v>
      </c>
      <c r="V326" s="475">
        <f t="shared" si="318"/>
        <v>0</v>
      </c>
      <c r="W326" s="475">
        <f>H326*DP!$AC$45</f>
        <v>0</v>
      </c>
      <c r="X326" s="475">
        <f>IF(H326&gt;0,DP!$AD$45,0*1)</f>
        <v>0</v>
      </c>
      <c r="Y326" s="475">
        <f t="shared" si="319"/>
        <v>0</v>
      </c>
      <c r="Z326" s="100"/>
      <c r="AA326" s="93">
        <f>IF(D326=DP!$L$15,F326*(1+DP!$P$15),IF(D326=DP!$L$16,F326*(1+DP!$P$16),IF(D326=DP!$L$17,F326*(1+DP!$P$17),IF(D326=DP!$L$18,F326*(1+DP!$P$18),0*1))))</f>
        <v>0</v>
      </c>
      <c r="AB326" s="102">
        <f>IF(D326=DP!$L$22,(DP!$M$22),IF(D326=DP!$L$23,(DP!$M$23),IF(D326=DP!$L$24,(DP!$M$24),IF(D326=DP!$L$25,(DP!$M$25),((0*1))))))</f>
        <v>0</v>
      </c>
      <c r="AC326" s="93">
        <f t="shared" si="320"/>
        <v>0</v>
      </c>
      <c r="AD326" s="93">
        <f>IF(D326=DP!$L$15,F326*(1+DP!$P$15),IF(D326=DP!$L$16,F326*(1+DP!$P$16),IF(D326=DP!$L$17,F326*(1+DP!$P$17),IF(D326=DP!$L$18,F326*(1+DP!$P$18),0*1))))</f>
        <v>0</v>
      </c>
      <c r="AE326" s="102">
        <f>IF(D326=DP!$L$22,(DP!$N$22),IF(D326=DP!$L$23,(DP!$N$23),IF(D326=DP!$L$24,(DP!$N$24),IF(D326=DP!$L$25,(DP!$N$25),((0*1))))))</f>
        <v>0</v>
      </c>
      <c r="AF326" s="93">
        <f t="shared" si="321"/>
        <v>0</v>
      </c>
      <c r="AG326" s="93">
        <f>IF(D326=DP!$L$15,(F326/DP!$K$15)*(1+DP!$P$15),IF(D326=DP!$L$16,(F326/DP!$K$16)*(1+DP!$P$16),IF(D326=DP!$L$17,(F326/DP!$K$17)*(1+DP!$P$17),IF(D326=DP!$L$18,(F326/DP!$K$18)*(1+DP!$P$18),0*1))))</f>
        <v>0</v>
      </c>
      <c r="AH326" s="102">
        <f>IF(D326=DP!$L$22,(DP!$O$22),IF(D326=DP!$L$23,(DP!$O$23),IF(D326=DP!$L$24,(DP!$O$24),IF(D326=DP!$L$25,(DP!$O$25),((0*1))))))</f>
        <v>0</v>
      </c>
      <c r="AI326" s="93">
        <f t="shared" si="322"/>
        <v>0</v>
      </c>
      <c r="AJ326" s="93">
        <f>IF(D326=DP!$L$15,F326*(1+DP!$P$15),IF(D326=DP!$L$16,F326*(1+DP!$P$16),IF(D326=DP!$L$17,F326*(1+DP!$P$17),IF(D326=DP!$L$18,F326*(1+DP!$P$18),0*1))))</f>
        <v>0</v>
      </c>
      <c r="AK326" s="102">
        <f>IF(D326=DP!$L$22,(DP!$P$22),IF(D326=DP!$L$23,(DP!$P$23),IF(D326=DP!$L$24,(DP!$P$24),IF(D326=DP!$L$25,(DP!$P$25),((0*1))))))</f>
        <v>0</v>
      </c>
      <c r="AL326" s="93">
        <f t="shared" si="323"/>
        <v>0</v>
      </c>
      <c r="AM326" s="100"/>
      <c r="AN326" s="149">
        <f t="shared" si="310"/>
        <v>0</v>
      </c>
      <c r="AO326" s="149">
        <f>DP!$N$35*H326</f>
        <v>0</v>
      </c>
      <c r="AP326" s="149">
        <f>DP!$O$35*H326</f>
        <v>0</v>
      </c>
      <c r="AQ326" s="149">
        <f>DP!$P$35*H326</f>
        <v>0</v>
      </c>
      <c r="AV326" s="489">
        <f>DP!AV35</f>
        <v>0</v>
      </c>
      <c r="AW326" s="489">
        <f>DP!AW35</f>
        <v>0</v>
      </c>
      <c r="AX326" s="489">
        <f>DP!AX35</f>
        <v>0</v>
      </c>
      <c r="AY326" s="412">
        <f t="shared" si="324"/>
        <v>0</v>
      </c>
      <c r="AZ326" s="470">
        <f>DP!BH35</f>
        <v>0</v>
      </c>
      <c r="BA326" s="98">
        <f t="shared" si="325"/>
        <v>0</v>
      </c>
      <c r="BB326" s="97"/>
      <c r="BC326" s="102">
        <f t="shared" si="326"/>
        <v>0</v>
      </c>
      <c r="BD326" s="98">
        <f t="shared" si="311"/>
        <v>0</v>
      </c>
      <c r="BE326" s="93">
        <f t="shared" si="327"/>
        <v>0</v>
      </c>
      <c r="BF326" s="99">
        <f t="shared" si="312"/>
        <v>0</v>
      </c>
      <c r="BG326" s="100"/>
      <c r="BH326" s="102">
        <f>IFERROR((BA326*100%)/DP!$AR$29,(0*1))</f>
        <v>0</v>
      </c>
      <c r="BI326" s="102">
        <f>IF(BH326&gt;0,(DP!$AR$31),0*1)</f>
        <v>0</v>
      </c>
      <c r="BJ326" s="435">
        <f t="shared" ref="BJ326:BJ327" si="336">BH326*BI326</f>
        <v>0</v>
      </c>
      <c r="BK326" s="475">
        <f>BA326*DP!$BE$44</f>
        <v>0</v>
      </c>
      <c r="BL326" s="475">
        <f>IF(BA326&gt;0,DP!$BF$44,0*1)</f>
        <v>0</v>
      </c>
      <c r="BM326" s="475">
        <f t="shared" si="329"/>
        <v>0</v>
      </c>
      <c r="BN326" s="102">
        <f>BA326*DP!$BE$45</f>
        <v>0</v>
      </c>
      <c r="BO326" s="102">
        <f>IF(BA326&gt;0,DP!$BF$45,0*1)</f>
        <v>0</v>
      </c>
      <c r="BP326" s="475">
        <f t="shared" si="330"/>
        <v>0</v>
      </c>
      <c r="BQ326" s="100"/>
      <c r="BR326" s="100"/>
      <c r="BS326" s="100"/>
      <c r="BT326" s="93">
        <f>IF(AW326=DP!$AN$15,AY326*(1+DP!$AR$15),IF(AW326=DP!$AN$16,AY326*(1+DP!$AR$16),IF(AW326=DP!$AN$17,AY326*(1+DP!$AR$17),IF(AW326=DP!$AN$18,AY326*(1+DP!$AR$18),0*1))))</f>
        <v>0</v>
      </c>
      <c r="BU326" s="102">
        <f>IF(AW326=DP!$AN$22,(DP!$AO$22),IF(AW326=DP!$AN$23,(DP!$AO$23),IF(AW326=DP!$AN$24,(DP!$AO$24),IF(AW326=DP!$AN$25,(DP!$AO$25),((0*1))))))</f>
        <v>0</v>
      </c>
      <c r="BV326" s="93">
        <f t="shared" si="331"/>
        <v>0</v>
      </c>
      <c r="BW326" s="93">
        <f>IF(AW326=DP!$AN$15,AY326*(1+DP!$AR$15),IF(AW326=DP!$AN$16,AY326*(1+DP!$AR$16),IF(AW326=DP!$AN$17,AY326*(1+DP!$AR$17),IF(AW326=DP!$AN$18,AY326*(1+DP!$AR$18),0*1))))</f>
        <v>0</v>
      </c>
      <c r="BX326" s="102">
        <f>IF(AW326=DP!$AN$22,(DP!$AP$22),IF(AW326=DP!$AN$23,(DP!$AP$23),IF(AW326=DP!$AN$24,(DP!$AP$24),IF(AW326=DP!$AN$25,(DP!$AP$25),((0*1))))))</f>
        <v>0</v>
      </c>
      <c r="BY326" s="93">
        <f t="shared" si="332"/>
        <v>0</v>
      </c>
      <c r="BZ326" s="93">
        <f>IF(AW326=DP!$AN$15,(AY326/DP!$AM$15)*(1+DP!$AR$15),IF(AW326=DP!$AN$16,(AY326/DP!$AM$16)*(1+DP!$AR$16),IF(AW326=DP!$AN$17,(AY326/DP!$AM$17)*(1+DP!$AR$17),IF(AW326=DP!$AN$18,(AY326/DP!$AM$18)*(1+DP!$AR$18),0*1))))</f>
        <v>0</v>
      </c>
      <c r="CA326" s="102">
        <f>IF(AW326=DP!$AN$22,(DP!$AQ$22),IF(AW326=DP!$AN$23,(DP!$AQ$23),IF(AW326=DP!$AN$24,(DP!$AQ$24),IF(AW326=DP!$AN$25,(DP!$AQ$25),((0*1))))))</f>
        <v>0</v>
      </c>
      <c r="CB326" s="93">
        <f t="shared" si="333"/>
        <v>0</v>
      </c>
      <c r="CC326" s="93">
        <f>IF(AW326=DP!$AN$15,AY326*(1+DP!$AR$15),IF(AW326=DP!$AN$16,AY326*(1+DP!$AR$16),IF(AW326=DP!$AN$17,AY326*(1+DP!$AR$17),IF(AW326=DP!$AN$18,AY326*(1+DP!$AR$18),0*1))))</f>
        <v>0</v>
      </c>
      <c r="CD326" s="102">
        <f>IF(AW326=DP!$AN$22,(DP!$AR$22),IF(AW326=DP!$AN$23,(DP!$AR$23),IF(AW326=DP!$AN$24,(DP!$AR$24),IF(AW326=DP!$AN$25,(DP!$AR$25),((0*1))))))</f>
        <v>0</v>
      </c>
      <c r="CE326" s="93">
        <f t="shared" si="334"/>
        <v>0</v>
      </c>
      <c r="CF326" s="100"/>
      <c r="CG326" s="149">
        <f t="shared" si="335"/>
        <v>0</v>
      </c>
      <c r="CH326" s="149">
        <f>DP!$N$35*BA326</f>
        <v>0</v>
      </c>
      <c r="CI326" s="149">
        <f>DP!$O$35*BA326</f>
        <v>0</v>
      </c>
      <c r="CJ326" s="149">
        <f>DP!$P$35*BA326</f>
        <v>0</v>
      </c>
    </row>
    <row r="327" spans="2:88" ht="16" thickBot="1" x14ac:dyDescent="0.4">
      <c r="B327" s="481">
        <f>DP!S36</f>
        <v>0</v>
      </c>
      <c r="C327" s="481">
        <f>DP!T36</f>
        <v>0</v>
      </c>
      <c r="D327" s="481">
        <f>DP!U36</f>
        <v>0</v>
      </c>
      <c r="E327" s="481">
        <f>DP!V36</f>
        <v>0</v>
      </c>
      <c r="F327" s="412">
        <f t="shared" si="313"/>
        <v>0</v>
      </c>
      <c r="G327" s="470">
        <f>DP!AF36</f>
        <v>0</v>
      </c>
      <c r="H327" s="98">
        <f t="shared" si="314"/>
        <v>0</v>
      </c>
      <c r="I327" s="97"/>
      <c r="J327" s="102">
        <f t="shared" si="306"/>
        <v>0</v>
      </c>
      <c r="K327" s="98">
        <f t="shared" si="307"/>
        <v>0</v>
      </c>
      <c r="L327" s="93">
        <f t="shared" si="308"/>
        <v>0</v>
      </c>
      <c r="M327" s="99">
        <f t="shared" si="309"/>
        <v>0</v>
      </c>
      <c r="N327" s="100"/>
      <c r="O327" s="102">
        <f>($E327/DP!$P$29)*F327</f>
        <v>0</v>
      </c>
      <c r="P327" s="102">
        <f>IF(O327&gt;0,(DP!$P$31),0*1)</f>
        <v>0</v>
      </c>
      <c r="Q327" s="102">
        <f t="shared" si="315"/>
        <v>0</v>
      </c>
      <c r="R327" s="102">
        <f t="shared" si="316"/>
        <v>0</v>
      </c>
      <c r="S327" s="418">
        <f t="shared" si="317"/>
        <v>0</v>
      </c>
      <c r="T327" s="475">
        <f>H327*DP!$AC$44</f>
        <v>0</v>
      </c>
      <c r="U327" s="475">
        <f>IF(H327&gt;0,DP!$AD$44,0*1)</f>
        <v>0</v>
      </c>
      <c r="V327" s="475">
        <f t="shared" si="318"/>
        <v>0</v>
      </c>
      <c r="W327" s="475">
        <f>H327*DP!$AC$45</f>
        <v>0</v>
      </c>
      <c r="X327" s="475">
        <f>IF(H327&gt;0,DP!$AD$45,0*1)</f>
        <v>0</v>
      </c>
      <c r="Y327" s="475">
        <f t="shared" si="319"/>
        <v>0</v>
      </c>
      <c r="Z327" s="100"/>
      <c r="AA327" s="93">
        <f>IF(D327=DP!$L$15,F327*(1+DP!$P$15),IF(D327=DP!$L$16,F327*(1+DP!$P$16),IF(D327=DP!$L$17,F327*(1+DP!$P$17),IF(D327=DP!$L$18,F327*(1+DP!$P$18),0*1))))</f>
        <v>0</v>
      </c>
      <c r="AB327" s="102">
        <f>IF(D327=DP!$L$22,(DP!$M$22),IF(D327=DP!$L$23,(DP!$M$23),IF(D327=DP!$L$24,(DP!$M$24),IF(D327=DP!$L$25,(DP!$M$25),((0*1))))))</f>
        <v>0</v>
      </c>
      <c r="AC327" s="93">
        <f t="shared" si="320"/>
        <v>0</v>
      </c>
      <c r="AD327" s="93">
        <f>IF(D327=DP!$L$15,F327*(1+DP!$P$15),IF(D327=DP!$L$16,F327*(1+DP!$P$16),IF(D327=DP!$L$17,F327*(1+DP!$P$17),IF(D327=DP!$L$18,F327*(1+DP!$P$18),0*1))))</f>
        <v>0</v>
      </c>
      <c r="AE327" s="102">
        <f>IF(D327=DP!$L$22,(DP!$N$22),IF(D327=DP!$L$23,(DP!$N$23),IF(D327=DP!$L$24,(DP!$N$24),IF(D327=DP!$L$25,(DP!$N$25),((0*1))))))</f>
        <v>0</v>
      </c>
      <c r="AF327" s="93">
        <f t="shared" si="321"/>
        <v>0</v>
      </c>
      <c r="AG327" s="93">
        <f>IF(D327=DP!$L$15,(F327/DP!$K$15)*(1+DP!$P$15),IF(D327=DP!$L$16,(F327/DP!$K$16)*(1+DP!$P$16),IF(D327=DP!$L$17,(F327/DP!$K$17)*(1+DP!$P$17),IF(D327=DP!$L$18,(F327/DP!$K$18)*(1+DP!$P$18),0*1))))</f>
        <v>0</v>
      </c>
      <c r="AH327" s="102">
        <f>IF(D327=DP!$L$22,(DP!$O$22),IF(D327=DP!$L$23,(DP!$O$23),IF(D327=DP!$L$24,(DP!$O$24),IF(D327=DP!$L$25,(DP!$O$25),((0*1))))))</f>
        <v>0</v>
      </c>
      <c r="AI327" s="93">
        <f t="shared" si="322"/>
        <v>0</v>
      </c>
      <c r="AJ327" s="93">
        <f>IF(D327=DP!$L$15,F327*(1+DP!$P$15),IF(D327=DP!$L$16,F327*(1+DP!$P$16),IF(D327=DP!$L$17,F327*(1+DP!$P$17),IF(D327=DP!$L$18,F327*(1+DP!$P$18),0*1))))</f>
        <v>0</v>
      </c>
      <c r="AK327" s="102">
        <f>IF(D327=DP!$L$22,(DP!$P$22),IF(D327=DP!$L$23,(DP!$P$23),IF(D327=DP!$L$24,(DP!$P$24),IF(D327=DP!$L$25,(DP!$P$25),((0*1))))))</f>
        <v>0</v>
      </c>
      <c r="AL327" s="93">
        <f t="shared" si="323"/>
        <v>0</v>
      </c>
      <c r="AM327" s="100"/>
      <c r="AN327" s="149">
        <f t="shared" si="310"/>
        <v>0</v>
      </c>
      <c r="AO327" s="149">
        <f>DP!$N$35*H327</f>
        <v>0</v>
      </c>
      <c r="AP327" s="149">
        <f>DP!$O$35*H327</f>
        <v>0</v>
      </c>
      <c r="AQ327" s="149">
        <f>DP!$P$35*H327</f>
        <v>0</v>
      </c>
      <c r="AV327" s="489">
        <f>DP!AV36</f>
        <v>0</v>
      </c>
      <c r="AW327" s="489">
        <f>DP!AW36</f>
        <v>0</v>
      </c>
      <c r="AX327" s="489">
        <f>DP!AX36</f>
        <v>0</v>
      </c>
      <c r="AY327" s="412">
        <f t="shared" si="324"/>
        <v>0</v>
      </c>
      <c r="AZ327" s="470">
        <f>DP!BH36</f>
        <v>0</v>
      </c>
      <c r="BA327" s="98">
        <f t="shared" si="325"/>
        <v>0</v>
      </c>
      <c r="BB327" s="97"/>
      <c r="BC327" s="102">
        <f t="shared" si="326"/>
        <v>0</v>
      </c>
      <c r="BD327" s="98">
        <f t="shared" si="311"/>
        <v>0</v>
      </c>
      <c r="BE327" s="93">
        <f t="shared" si="327"/>
        <v>0</v>
      </c>
      <c r="BF327" s="99">
        <f t="shared" si="312"/>
        <v>0</v>
      </c>
      <c r="BG327" s="100"/>
      <c r="BH327" s="102">
        <f>IFERROR((BA327*100%)/DP!$AR$29,(0*1))</f>
        <v>0</v>
      </c>
      <c r="BI327" s="102">
        <f>IF(BH327&gt;0,(DP!$AR$31),0*1)</f>
        <v>0</v>
      </c>
      <c r="BJ327" s="435">
        <f t="shared" si="336"/>
        <v>0</v>
      </c>
      <c r="BK327" s="475">
        <f>BA327*DP!$BE$44</f>
        <v>0</v>
      </c>
      <c r="BL327" s="475">
        <f>IF(BA327&gt;0,DP!$BF$44,0*1)</f>
        <v>0</v>
      </c>
      <c r="BM327" s="475">
        <f t="shared" si="329"/>
        <v>0</v>
      </c>
      <c r="BN327" s="102">
        <f>BA327*DP!$BE$45</f>
        <v>0</v>
      </c>
      <c r="BO327" s="102">
        <f>IF(BA327&gt;0,DP!$BF$45,0*1)</f>
        <v>0</v>
      </c>
      <c r="BP327" s="475">
        <f>BN327*BO327</f>
        <v>0</v>
      </c>
      <c r="BQ327" s="100"/>
      <c r="BR327" s="100"/>
      <c r="BS327" s="100"/>
      <c r="BT327" s="93">
        <f>IF(AW327=DP!$AN$15,AY327*(1+DP!$AR$15),IF(AW327=DP!$AN$16,AY327*(1+DP!$AR$16),IF(AW327=DP!$AN$17,AY327*(1+DP!$AR$17),IF(AW327=DP!$AN$18,AY327*(1+DP!$AR$18),0*1))))</f>
        <v>0</v>
      </c>
      <c r="BU327" s="102">
        <f>IF(AW327=DP!$AN$22,(DP!$AO$22),IF(AW327=DP!$AN$23,(DP!$AO$23),IF(AW327=DP!$AN$24,(DP!$AO$24),IF(AW327=DP!$AN$25,(DP!$AO$25),((0*1))))))</f>
        <v>0</v>
      </c>
      <c r="BV327" s="93">
        <f t="shared" si="331"/>
        <v>0</v>
      </c>
      <c r="BW327" s="93">
        <f>IF(AW327=DP!$AN$15,AY327*(1+DP!$AR$15),IF(AW327=DP!$AN$16,AY327*(1+DP!$AR$16),IF(AW327=DP!$AN$17,AY327*(1+DP!$AR$17),IF(AW327=DP!$AN$18,AY327*(1+DP!$AR$18),0*1))))</f>
        <v>0</v>
      </c>
      <c r="BX327" s="102">
        <f>IF(AW327=DP!$AN$22,(DP!$AP$22),IF(AW327=DP!$AN$23,(DP!$AP$23),IF(AW327=DP!$AN$24,(DP!$AP$24),IF(AW327=DP!$AN$25,(DP!$AP$25),((0*1))))))</f>
        <v>0</v>
      </c>
      <c r="BY327" s="93">
        <f t="shared" si="332"/>
        <v>0</v>
      </c>
      <c r="BZ327" s="93">
        <f>IF(AW327=DP!$AN$15,(AY327/DP!$AM$15)*(1+DP!$AR$15),IF(AW327=DP!$AN$16,(AY327/DP!$AM$16)*(1+DP!$AR$16),IF(AW327=DP!$AN$17,(AY327/DP!$AM$17)*(1+DP!$AR$17),IF(AW327=DP!$AN$18,(AY327/DP!$AM$18)*(1+DP!$AR$18),0*1))))</f>
        <v>0</v>
      </c>
      <c r="CA327" s="102">
        <f>IF(AW327=DP!$AN$22,(DP!$AQ$22),IF(AW327=DP!$AN$23,(DP!$AQ$23),IF(AW327=DP!$AN$24,(DP!$AQ$24),IF(AW327=DP!$AN$25,(DP!$AQ$25),((0*1))))))</f>
        <v>0</v>
      </c>
      <c r="CB327" s="93">
        <f t="shared" si="333"/>
        <v>0</v>
      </c>
      <c r="CC327" s="93">
        <f>IF(AW327=DP!$AN$15,AY327*(1+DP!$AR$15),IF(AW327=DP!$AN$16,AY327*(1+DP!$AR$16),IF(AW327=DP!$AN$17,AY327*(1+DP!$AR$17),IF(AW327=DP!$AN$18,AY327*(1+DP!$AR$18),0*1))))</f>
        <v>0</v>
      </c>
      <c r="CD327" s="102">
        <f>IF(AW327=DP!$AN$22,(DP!$AR$22),IF(AW327=DP!$AN$23,(DP!$AR$23),IF(AW327=DP!$AN$24,(DP!$AR$24),IF(AW327=DP!$AN$25,(DP!$AR$25),((0*1))))))</f>
        <v>0</v>
      </c>
      <c r="CE327" s="93">
        <f t="shared" si="334"/>
        <v>0</v>
      </c>
      <c r="CF327" s="100"/>
      <c r="CG327" s="149">
        <f t="shared" si="335"/>
        <v>0</v>
      </c>
      <c r="CH327" s="149">
        <f>DP!$N$35*BA327</f>
        <v>0</v>
      </c>
      <c r="CI327" s="149">
        <f>DP!$O$35*BA327</f>
        <v>0</v>
      </c>
      <c r="CJ327" s="149">
        <f>DP!$P$35*BA327</f>
        <v>0</v>
      </c>
    </row>
    <row r="328" spans="2:88" ht="16" thickBot="1" x14ac:dyDescent="0.4">
      <c r="C328" s="103" t="s">
        <v>222</v>
      </c>
      <c r="D328" s="104"/>
      <c r="E328" s="104"/>
      <c r="F328" s="120">
        <f>SUM(F309:F327)</f>
        <v>0</v>
      </c>
      <c r="G328" s="411">
        <f>SUM(G309:G327)</f>
        <v>0</v>
      </c>
      <c r="H328" s="121">
        <f>SUM(H309:H327)</f>
        <v>0</v>
      </c>
      <c r="I328" s="87"/>
      <c r="J328" s="151"/>
      <c r="K328" s="106"/>
      <c r="L328" s="107">
        <f t="shared" ref="L328" si="337">SUM(L309:L327)</f>
        <v>0</v>
      </c>
      <c r="M328" s="105">
        <f>SUM(M309:M327)</f>
        <v>0</v>
      </c>
      <c r="N328" s="87"/>
      <c r="O328" s="152">
        <f>SUM(O309:O327)</f>
        <v>0</v>
      </c>
      <c r="P328" s="416"/>
      <c r="Q328" s="152">
        <f>SUM(Q309:Q327)</f>
        <v>0</v>
      </c>
      <c r="R328" s="126"/>
      <c r="S328" s="419">
        <f>SUM(S309:S327)</f>
        <v>0</v>
      </c>
      <c r="T328" s="476">
        <f>SUM(T309:T327)</f>
        <v>0</v>
      </c>
      <c r="U328" s="477"/>
      <c r="V328" s="478">
        <f>SUM(V309:V327)</f>
        <v>0</v>
      </c>
      <c r="W328" s="478">
        <f>SUM(W309:W327)</f>
        <v>0</v>
      </c>
      <c r="X328" s="477"/>
      <c r="Y328" s="479">
        <f>SUM(Y309:Y327)</f>
        <v>0</v>
      </c>
      <c r="Z328" s="87"/>
      <c r="AA328" s="152">
        <f>SUM(AA309:AA327)</f>
        <v>0</v>
      </c>
      <c r="AB328" s="77"/>
      <c r="AC328" s="153">
        <f>SUM(AC309:AC327)</f>
        <v>0</v>
      </c>
      <c r="AD328" s="153">
        <f>SUM(AD309:AD327)</f>
        <v>0</v>
      </c>
      <c r="AE328" s="77"/>
      <c r="AF328" s="153">
        <f>SUM(AF309:AF327)</f>
        <v>0</v>
      </c>
      <c r="AG328" s="153">
        <f>SUM(AG309:AG327)</f>
        <v>0</v>
      </c>
      <c r="AH328" s="77"/>
      <c r="AI328" s="153">
        <f>SUM(AI309:AI327)</f>
        <v>0</v>
      </c>
      <c r="AJ328" s="153">
        <f>SUM(AJ309:AJ327)</f>
        <v>0</v>
      </c>
      <c r="AK328" s="77"/>
      <c r="AL328" s="154">
        <f>SUM(AL309:AL327)</f>
        <v>0</v>
      </c>
      <c r="AM328" s="87"/>
      <c r="AN328" s="152">
        <f>SUM(AN309:AN327)</f>
        <v>0</v>
      </c>
      <c r="AO328" s="153">
        <f t="shared" ref="AO328:AQ328" si="338">SUM(AO309:AO327)</f>
        <v>0</v>
      </c>
      <c r="AP328" s="153">
        <f t="shared" si="338"/>
        <v>0</v>
      </c>
      <c r="AQ328" s="153">
        <f t="shared" si="338"/>
        <v>0</v>
      </c>
      <c r="AV328" s="103" t="s">
        <v>222</v>
      </c>
      <c r="AW328" s="104"/>
      <c r="AX328" s="104"/>
      <c r="AY328" s="120">
        <f>SUM(AY309:AY327)</f>
        <v>522720</v>
      </c>
      <c r="AZ328" s="411">
        <f>SUM(AZ309:AZ327)</f>
        <v>0.99999999999999989</v>
      </c>
      <c r="BA328" s="121">
        <f>SUM(BA309:BA327)</f>
        <v>183600</v>
      </c>
      <c r="BB328" s="87"/>
      <c r="BC328" s="151"/>
      <c r="BD328" s="106"/>
      <c r="BE328" s="107">
        <f>SUM(BE309:BE327)</f>
        <v>514438.37083430099</v>
      </c>
      <c r="BF328" s="105">
        <f>SUM(BF309:BF327)</f>
        <v>446506.37083430093</v>
      </c>
      <c r="BG328" s="87"/>
      <c r="BH328" s="152">
        <f>SUM(BH309:BH327)</f>
        <v>408000</v>
      </c>
      <c r="BI328" s="126"/>
      <c r="BJ328" s="419">
        <f>SUM(BJ309:BJ327)</f>
        <v>183600</v>
      </c>
      <c r="BK328" s="492">
        <f>SUM(BK309:BK327)</f>
        <v>459</v>
      </c>
      <c r="BL328" s="491"/>
      <c r="BM328" s="492">
        <f>SUM(BM309:BM327)</f>
        <v>436.05</v>
      </c>
      <c r="BN328" s="492">
        <f>SUM(BN309:BN327)</f>
        <v>30477.600000000006</v>
      </c>
      <c r="BO328" s="491"/>
      <c r="BP328" s="492">
        <f>SUM(BP309:BP327)</f>
        <v>23443.369920000001</v>
      </c>
      <c r="BQ328" s="87"/>
      <c r="BR328" s="87"/>
      <c r="BS328" s="87"/>
      <c r="BT328" s="152">
        <f>SUM(BT309:BT327)</f>
        <v>525333.59999999986</v>
      </c>
      <c r="BU328" s="77"/>
      <c r="BV328" s="153">
        <f>SUM(BV309:BV327)</f>
        <v>121195.764</v>
      </c>
      <c r="BW328" s="153">
        <f>SUM(BW309:BW327)</f>
        <v>525333.59999999986</v>
      </c>
      <c r="BX328" s="77"/>
      <c r="BY328" s="153">
        <f>SUM(BY309:BY327)</f>
        <v>29446.901999999998</v>
      </c>
      <c r="BZ328" s="153">
        <f>SUM(BZ309:BZ327)</f>
        <v>23426.549999999996</v>
      </c>
      <c r="CA328" s="77"/>
      <c r="CB328" s="153">
        <f>SUM(CB309:CB327)</f>
        <v>11994.393599999983</v>
      </c>
      <c r="CC328" s="153">
        <f>SUM(CC309:CC327)</f>
        <v>525333.59999999986</v>
      </c>
      <c r="CD328" s="77"/>
      <c r="CE328" s="154">
        <f>SUM(CE309:CE327)</f>
        <v>17360.162068965514</v>
      </c>
      <c r="CF328" s="87"/>
      <c r="CG328" s="152">
        <f>SUM(CG309:CG327)</f>
        <v>59029.729245335489</v>
      </c>
      <c r="CH328" s="153">
        <f t="shared" ref="CH328:CJ328" si="339">SUM(CH309:CH327)</f>
        <v>2637.9310344827586</v>
      </c>
      <c r="CI328" s="153">
        <f t="shared" si="339"/>
        <v>10024.137931034486</v>
      </c>
      <c r="CJ328" s="153">
        <f t="shared" si="339"/>
        <v>67932</v>
      </c>
    </row>
    <row r="329" spans="2:88" x14ac:dyDescent="0.35">
      <c r="C329" s="108"/>
      <c r="D329" s="108"/>
      <c r="E329" s="108"/>
      <c r="F329" s="87"/>
      <c r="G329" s="87"/>
      <c r="H329" s="87"/>
      <c r="I329" s="109"/>
      <c r="J329" s="87"/>
      <c r="K329" s="87"/>
      <c r="L329" s="87"/>
      <c r="M329" s="87"/>
      <c r="N329" s="87"/>
      <c r="O329" s="220"/>
      <c r="P329" s="220"/>
      <c r="Q329" s="220"/>
      <c r="R329" s="87"/>
      <c r="S329" s="422">
        <f>Q328</f>
        <v>0</v>
      </c>
      <c r="T329"/>
      <c r="U329"/>
      <c r="V329"/>
      <c r="W329"/>
      <c r="X329"/>
      <c r="Y329"/>
      <c r="Z329" s="87"/>
      <c r="AA329" s="87"/>
      <c r="AB329" s="87"/>
      <c r="AC329" s="87"/>
      <c r="AD329" s="87"/>
      <c r="AM329" s="87"/>
      <c r="AN329" s="420">
        <f>IFERROR(IF(DP!$C$16=PS!$B$3,PS!$K$23*D304/(D304+AW304),IF(DP!$C$16=PS!$N$3,PS!$AC$23*D304/(D304+AW304),IF(DP!$C$16=PS!$AF$3,PS!$AP$23*D304/(D304+AW304)))),0*1)</f>
        <v>0</v>
      </c>
      <c r="AO329" s="220"/>
      <c r="AP329" s="220"/>
      <c r="AQ329" s="433"/>
      <c r="AV329" s="108"/>
      <c r="AW329" s="108"/>
      <c r="AX329" s="108"/>
      <c r="AY329" s="87"/>
      <c r="AZ329" s="87"/>
      <c r="BA329" s="87"/>
      <c r="BB329" s="109"/>
      <c r="BC329" s="87"/>
      <c r="BD329" s="87"/>
      <c r="BE329" s="87"/>
      <c r="BF329" s="87"/>
      <c r="BG329" s="87"/>
      <c r="BH329" s="87"/>
      <c r="BI329" s="87"/>
      <c r="BJ329" s="87"/>
      <c r="BK329"/>
      <c r="BL329"/>
      <c r="BM329"/>
      <c r="BN329"/>
      <c r="BO329"/>
      <c r="BP329"/>
      <c r="BQ329" s="87"/>
      <c r="BR329" s="87"/>
      <c r="BS329" s="87"/>
      <c r="BT329" s="87"/>
      <c r="BU329" s="87"/>
      <c r="BV329" s="87"/>
      <c r="BW329" s="87"/>
      <c r="CF329" s="87"/>
      <c r="CG329" s="420">
        <f>IFERROR(IF(DP!$C$16=PS!$B$3,PS!$K$23*AW304/(AW304+D304),IF(DP!$C$16=PS!$N$3,PS!$AC$23*AW304/(AW304+D304),IF(DP!$C$16=PS!$AF$3,PS!$AP$23*AW304/(AW304+D304)))),0*1)</f>
        <v>59029.729245335482</v>
      </c>
      <c r="CH329" s="220"/>
      <c r="CI329" s="220"/>
      <c r="CJ329" s="433"/>
    </row>
    <row r="330" spans="2:88" x14ac:dyDescent="0.35">
      <c r="C330" s="108"/>
      <c r="D330" s="108"/>
      <c r="E330" s="108"/>
      <c r="F330" s="87"/>
      <c r="G330" s="87"/>
      <c r="H330" s="87"/>
      <c r="I330" s="109"/>
      <c r="J330" s="87"/>
      <c r="K330" s="87"/>
      <c r="L330" s="87"/>
      <c r="M330" s="87"/>
      <c r="N330" s="87"/>
      <c r="O330" s="87"/>
      <c r="P330" s="87"/>
      <c r="Q330" s="87"/>
      <c r="T330" s="87"/>
      <c r="U330" s="87"/>
      <c r="V330" s="87"/>
      <c r="W330" s="87"/>
      <c r="X330" s="87"/>
      <c r="Y330" s="87"/>
      <c r="Z330" s="87"/>
      <c r="AM330" s="87"/>
      <c r="AV330" s="108"/>
      <c r="AW330" s="108"/>
      <c r="AX330" s="108"/>
      <c r="AY330" s="87"/>
      <c r="AZ330" s="87"/>
      <c r="BA330" s="87"/>
      <c r="BB330" s="109"/>
      <c r="BC330" s="87"/>
      <c r="BD330" s="87"/>
      <c r="BE330" s="87"/>
      <c r="BF330" s="87"/>
      <c r="BG330" s="87"/>
      <c r="BH330" s="87"/>
      <c r="BK330" s="87"/>
      <c r="BL330" s="87"/>
      <c r="BM330" s="87"/>
      <c r="BN330" s="87"/>
      <c r="BO330" s="87"/>
      <c r="BP330" s="87"/>
      <c r="BQ330" s="87"/>
      <c r="BR330" s="87"/>
      <c r="BS330" s="87"/>
      <c r="BT330"/>
      <c r="BU330"/>
      <c r="BV330"/>
      <c r="BW330"/>
      <c r="BX330"/>
      <c r="BY330"/>
      <c r="BZ330"/>
      <c r="CA330"/>
      <c r="CB330"/>
      <c r="CC330"/>
      <c r="CF330" s="87"/>
    </row>
    <row r="331" spans="2:88" x14ac:dyDescent="0.35">
      <c r="C331" s="108"/>
      <c r="D331" s="108"/>
      <c r="E331" s="108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116" t="s">
        <v>228</v>
      </c>
      <c r="S331" s="94">
        <f>IFERROR((SUMIF(B309:B327,1,H309:H327))/H328*S329,0*1)</f>
        <v>0</v>
      </c>
      <c r="T331" s="109"/>
      <c r="U331" s="87"/>
      <c r="V331" s="87"/>
      <c r="W331" s="87"/>
      <c r="X331" s="87"/>
      <c r="Y331" s="87"/>
      <c r="Z331" s="87"/>
      <c r="AM331" s="87"/>
      <c r="AV331" s="108"/>
      <c r="AW331" s="108"/>
      <c r="AX331" s="108"/>
      <c r="AY331" s="87"/>
      <c r="AZ331" s="87"/>
      <c r="BA331" s="87"/>
      <c r="BB331" s="87"/>
      <c r="BC331" s="87"/>
      <c r="BD331" s="87"/>
      <c r="BE331" s="87"/>
      <c r="BF331" s="87"/>
      <c r="BG331" s="87"/>
      <c r="BK331" s="109"/>
      <c r="BL331" s="87"/>
      <c r="BM331" s="87"/>
      <c r="BN331" s="87"/>
      <c r="BO331" s="87"/>
      <c r="BP331" s="87"/>
      <c r="BQ331" s="87"/>
      <c r="BR331" s="87"/>
      <c r="BS331" s="87"/>
      <c r="BT331"/>
      <c r="BU331"/>
      <c r="BV331"/>
      <c r="BW331"/>
      <c r="BX331"/>
      <c r="BY331"/>
      <c r="BZ331"/>
      <c r="CA331"/>
      <c r="CB331"/>
      <c r="CC331"/>
      <c r="CF331" s="87"/>
    </row>
    <row r="332" spans="2:88" x14ac:dyDescent="0.35">
      <c r="C332" s="108"/>
      <c r="D332" s="108"/>
      <c r="E332" s="108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116" t="s">
        <v>229</v>
      </c>
      <c r="S332" s="94">
        <f>S329-S331</f>
        <v>0</v>
      </c>
      <c r="T332" s="109"/>
      <c r="U332" s="87"/>
      <c r="V332" s="87"/>
      <c r="W332" s="87"/>
      <c r="X332" s="87"/>
      <c r="Y332" s="87"/>
      <c r="Z332" s="87"/>
      <c r="AM332" s="87"/>
      <c r="AV332" s="108"/>
      <c r="AW332" s="108"/>
      <c r="AX332" s="108"/>
      <c r="AY332" s="87"/>
      <c r="AZ332" s="87"/>
      <c r="BA332" s="87"/>
      <c r="BB332" s="87"/>
      <c r="BC332" s="87"/>
      <c r="BD332" s="87"/>
      <c r="BE332" s="87"/>
      <c r="BF332" s="87"/>
      <c r="BG332" s="87"/>
      <c r="BK332" s="109"/>
      <c r="BL332" s="87"/>
      <c r="BM332" s="87"/>
      <c r="BN332" s="87"/>
      <c r="BO332" s="87"/>
      <c r="BP332" s="87"/>
      <c r="BQ332" s="87"/>
      <c r="BR332" s="87"/>
      <c r="BS332" s="87"/>
      <c r="BT332"/>
      <c r="BU332"/>
      <c r="BV332"/>
      <c r="BW332"/>
      <c r="BX332"/>
      <c r="BY332"/>
      <c r="BZ332"/>
      <c r="CA332"/>
      <c r="CB332"/>
      <c r="CC332"/>
      <c r="CF332" s="87"/>
    </row>
    <row r="333" spans="2:88" x14ac:dyDescent="0.35">
      <c r="C333" s="108"/>
      <c r="D333" s="108"/>
      <c r="E333" s="108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T333" s="87"/>
      <c r="U333" s="87"/>
      <c r="V333" s="87"/>
      <c r="W333" s="87"/>
      <c r="X333" s="87"/>
      <c r="Y333" s="87"/>
      <c r="Z333" s="87"/>
      <c r="AM333" s="87"/>
      <c r="AV333" s="108"/>
      <c r="AW333" s="108"/>
      <c r="AX333" s="108"/>
      <c r="AY333" s="87"/>
      <c r="AZ333" s="87"/>
      <c r="BA333" s="87"/>
      <c r="BB333" s="87"/>
      <c r="BC333" s="87"/>
      <c r="BD333" s="87"/>
      <c r="BE333" s="87"/>
      <c r="BF333" s="87"/>
      <c r="BG333" s="87"/>
      <c r="BK333" s="87"/>
      <c r="BL333" s="87"/>
      <c r="BM333" s="87"/>
      <c r="BN333" s="87"/>
      <c r="BO333" s="87"/>
      <c r="BP333" s="87"/>
      <c r="BQ333" s="87"/>
      <c r="BR333" s="87"/>
      <c r="BS333" s="87"/>
      <c r="BT333"/>
      <c r="BU333"/>
      <c r="BV333"/>
      <c r="BW333"/>
      <c r="BX333"/>
      <c r="BY333"/>
      <c r="BZ333"/>
      <c r="CA333"/>
      <c r="CB333"/>
      <c r="CC333"/>
      <c r="CF333" s="87"/>
    </row>
    <row r="334" spans="2:88" x14ac:dyDescent="0.35">
      <c r="C334" s="108"/>
      <c r="D334" s="108"/>
      <c r="E334" s="108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T334" s="87"/>
      <c r="U334" s="87"/>
      <c r="V334" s="87"/>
      <c r="W334" s="87"/>
      <c r="X334" s="87"/>
      <c r="Y334" s="87"/>
      <c r="Z334" s="87"/>
      <c r="AM334" s="87"/>
      <c r="AV334" s="108"/>
      <c r="AW334" s="108"/>
      <c r="AX334" s="108"/>
      <c r="AY334" s="87"/>
      <c r="AZ334" s="87"/>
      <c r="BA334" s="87"/>
      <c r="BB334" s="87"/>
      <c r="BC334" s="87"/>
      <c r="BD334" s="87"/>
      <c r="BE334" s="87"/>
      <c r="BF334" s="87"/>
      <c r="BG334" s="87"/>
      <c r="BH334" s="87"/>
      <c r="BK334" s="87"/>
      <c r="BL334" s="87"/>
      <c r="BM334" s="87"/>
      <c r="BN334" s="87"/>
      <c r="BO334" s="87"/>
      <c r="BP334" s="87"/>
      <c r="BQ334" s="87"/>
      <c r="BR334" s="87"/>
      <c r="BS334" s="87"/>
      <c r="BT334"/>
      <c r="BU334"/>
      <c r="BV334"/>
      <c r="BW334"/>
      <c r="BX334"/>
      <c r="BY334"/>
      <c r="BZ334"/>
      <c r="CA334"/>
      <c r="CB334"/>
      <c r="CC334"/>
      <c r="CF334" s="87"/>
    </row>
    <row r="335" spans="2:88" x14ac:dyDescent="0.35">
      <c r="C335" s="108"/>
      <c r="D335" s="108"/>
      <c r="E335" s="108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T335" s="87"/>
      <c r="U335" s="87"/>
      <c r="V335" s="87"/>
      <c r="W335" s="87"/>
      <c r="X335" s="87"/>
      <c r="Y335" s="87"/>
      <c r="Z335" s="87"/>
      <c r="AM335" s="87"/>
      <c r="AV335" s="108"/>
      <c r="AW335" s="108"/>
      <c r="AX335" s="108"/>
      <c r="AY335" s="87"/>
      <c r="AZ335" s="87"/>
      <c r="BA335" s="87"/>
      <c r="BB335" s="87"/>
      <c r="BC335" s="87"/>
      <c r="BD335" s="87"/>
      <c r="BE335" s="87"/>
      <c r="BF335" s="87"/>
      <c r="BG335" s="87"/>
      <c r="BH335" s="87"/>
      <c r="BK335" s="87"/>
      <c r="BL335" s="87"/>
      <c r="BM335" s="87"/>
      <c r="BN335" s="87"/>
      <c r="BO335" s="87"/>
      <c r="BP335" s="87"/>
      <c r="BQ335" s="87"/>
      <c r="BR335" s="87"/>
      <c r="BS335" s="87"/>
      <c r="BT335"/>
      <c r="BU335"/>
      <c r="BV335"/>
      <c r="BW335"/>
      <c r="BX335"/>
      <c r="BY335"/>
      <c r="BZ335"/>
      <c r="CA335"/>
      <c r="CB335"/>
      <c r="CC335"/>
      <c r="CF335" s="87"/>
    </row>
    <row r="337" spans="2:88" ht="16" thickBot="1" x14ac:dyDescent="0.4">
      <c r="C337" s="421" t="s">
        <v>346</v>
      </c>
      <c r="D337" s="482">
        <f>DP!AG14</f>
        <v>0</v>
      </c>
      <c r="E337" s="110"/>
      <c r="AV337" s="436" t="s">
        <v>358</v>
      </c>
      <c r="AW337" s="482">
        <f>DP!BI14</f>
        <v>183600</v>
      </c>
    </row>
    <row r="338" spans="2:88" ht="15.5" customHeight="1" x14ac:dyDescent="0.35">
      <c r="C338" s="1026" t="s">
        <v>78</v>
      </c>
      <c r="D338" s="1009" t="s">
        <v>169</v>
      </c>
      <c r="E338" s="1010"/>
      <c r="F338" s="1010"/>
      <c r="G338" s="1010"/>
      <c r="H338" s="1011"/>
      <c r="I338" s="130"/>
      <c r="J338" s="1015" t="s">
        <v>170</v>
      </c>
      <c r="K338" s="1015" t="s">
        <v>215</v>
      </c>
      <c r="L338" s="1015" t="s">
        <v>216</v>
      </c>
      <c r="M338" s="1017" t="s">
        <v>217</v>
      </c>
      <c r="N338" s="130"/>
      <c r="O338" s="1019" t="s">
        <v>213</v>
      </c>
      <c r="P338" s="1007"/>
      <c r="Q338" s="1007"/>
      <c r="R338" s="1007"/>
      <c r="S338" s="1007"/>
      <c r="T338" s="1007"/>
      <c r="U338" s="1007"/>
      <c r="V338" s="1007"/>
      <c r="W338" s="1007"/>
      <c r="X338" s="1007"/>
      <c r="Y338" s="1007"/>
      <c r="Z338" s="130"/>
      <c r="AA338" s="1019" t="s">
        <v>180</v>
      </c>
      <c r="AB338" s="1007"/>
      <c r="AC338" s="1007"/>
      <c r="AD338" s="1007"/>
      <c r="AE338" s="1007"/>
      <c r="AF338" s="1007"/>
      <c r="AG338" s="1007"/>
      <c r="AH338" s="1007"/>
      <c r="AI338" s="1007"/>
      <c r="AJ338" s="1007"/>
      <c r="AK338" s="1007"/>
      <c r="AL338" s="1020"/>
      <c r="AM338" s="130"/>
      <c r="AN338" s="131" t="s">
        <v>214</v>
      </c>
      <c r="AO338" s="1006" t="s">
        <v>361</v>
      </c>
      <c r="AP338" s="1007"/>
      <c r="AQ338" s="1008"/>
      <c r="AV338" s="1026" t="s">
        <v>78</v>
      </c>
      <c r="AW338" s="1009" t="s">
        <v>169</v>
      </c>
      <c r="AX338" s="1010"/>
      <c r="AY338" s="1010"/>
      <c r="AZ338" s="1010"/>
      <c r="BA338" s="1011"/>
      <c r="BB338" s="130"/>
      <c r="BC338" s="1015" t="s">
        <v>170</v>
      </c>
      <c r="BD338" s="1015" t="s">
        <v>215</v>
      </c>
      <c r="BE338" s="1015" t="s">
        <v>216</v>
      </c>
      <c r="BF338" s="1017" t="s">
        <v>217</v>
      </c>
      <c r="BG338" s="130"/>
      <c r="BH338" s="1019" t="s">
        <v>213</v>
      </c>
      <c r="BI338" s="1007"/>
      <c r="BJ338" s="1007"/>
      <c r="BK338" s="1007"/>
      <c r="BL338" s="1007"/>
      <c r="BM338" s="1007"/>
      <c r="BN338" s="1007"/>
      <c r="BO338" s="1007"/>
      <c r="BP338" s="1007"/>
      <c r="BQ338" s="130"/>
      <c r="BR338" s="130"/>
      <c r="BS338" s="130"/>
      <c r="BT338" s="1019" t="s">
        <v>180</v>
      </c>
      <c r="BU338" s="1007"/>
      <c r="BV338" s="1007"/>
      <c r="BW338" s="1007"/>
      <c r="BX338" s="1007"/>
      <c r="BY338" s="1007"/>
      <c r="BZ338" s="1007"/>
      <c r="CA338" s="1007"/>
      <c r="CB338" s="1007"/>
      <c r="CC338" s="1007"/>
      <c r="CD338" s="1007"/>
      <c r="CE338" s="1020"/>
      <c r="CF338" s="130"/>
      <c r="CG338" s="131" t="s">
        <v>214</v>
      </c>
      <c r="CH338" s="1006" t="s">
        <v>361</v>
      </c>
      <c r="CI338" s="1007"/>
      <c r="CJ338" s="1008"/>
    </row>
    <row r="339" spans="2:88" ht="30.5" thickBot="1" x14ac:dyDescent="0.4">
      <c r="C339" s="1027"/>
      <c r="D339" s="1012"/>
      <c r="E339" s="1013"/>
      <c r="F339" s="1013"/>
      <c r="G339" s="1013"/>
      <c r="H339" s="1014"/>
      <c r="I339" s="130"/>
      <c r="J339" s="1016"/>
      <c r="K339" s="1016"/>
      <c r="L339" s="1016"/>
      <c r="M339" s="1018"/>
      <c r="N339" s="130"/>
      <c r="O339" s="134" t="s">
        <v>218</v>
      </c>
      <c r="P339" s="415"/>
      <c r="Q339" s="415"/>
      <c r="R339" s="135"/>
      <c r="S339" s="135"/>
      <c r="T339" s="69" t="s">
        <v>171</v>
      </c>
      <c r="U339" s="69"/>
      <c r="V339" s="69"/>
      <c r="W339" s="69" t="s">
        <v>172</v>
      </c>
      <c r="X339" s="69"/>
      <c r="Y339" s="69"/>
      <c r="Z339" s="130"/>
      <c r="AA339" s="1021" t="s">
        <v>173</v>
      </c>
      <c r="AB339" s="1022"/>
      <c r="AC339" s="1023"/>
      <c r="AD339" s="1024" t="s">
        <v>174</v>
      </c>
      <c r="AE339" s="1022"/>
      <c r="AF339" s="1023"/>
      <c r="AG339" s="1024" t="s">
        <v>175</v>
      </c>
      <c r="AH339" s="1022"/>
      <c r="AI339" s="1023"/>
      <c r="AJ339" s="1024" t="s">
        <v>176</v>
      </c>
      <c r="AK339" s="1022"/>
      <c r="AL339" s="1025"/>
      <c r="AM339" s="130"/>
      <c r="AN339" s="115" t="s">
        <v>177</v>
      </c>
      <c r="AO339" s="458" t="s">
        <v>362</v>
      </c>
      <c r="AP339" s="458" t="s">
        <v>363</v>
      </c>
      <c r="AQ339" s="494" t="s">
        <v>364</v>
      </c>
      <c r="AV339" s="1027"/>
      <c r="AW339" s="1012"/>
      <c r="AX339" s="1013"/>
      <c r="AY339" s="1013"/>
      <c r="AZ339" s="1013"/>
      <c r="BA339" s="1014"/>
      <c r="BB339" s="130"/>
      <c r="BC339" s="1016"/>
      <c r="BD339" s="1016"/>
      <c r="BE339" s="1016"/>
      <c r="BF339" s="1018"/>
      <c r="BG339" s="130"/>
      <c r="BH339" s="1031" t="s">
        <v>234</v>
      </c>
      <c r="BI339" s="1032"/>
      <c r="BJ339" s="1033"/>
      <c r="BK339" s="1024" t="s">
        <v>171</v>
      </c>
      <c r="BL339" s="1022"/>
      <c r="BM339" s="1023"/>
      <c r="BN339" s="1024" t="s">
        <v>231</v>
      </c>
      <c r="BO339" s="1022"/>
      <c r="BP339" s="1023"/>
      <c r="BQ339" s="130"/>
      <c r="BR339" s="130"/>
      <c r="BS339" s="130"/>
      <c r="BT339" s="1021" t="s">
        <v>173</v>
      </c>
      <c r="BU339" s="1022"/>
      <c r="BV339" s="1023"/>
      <c r="BW339" s="1024" t="s">
        <v>174</v>
      </c>
      <c r="BX339" s="1022"/>
      <c r="BY339" s="1023"/>
      <c r="BZ339" s="1024" t="s">
        <v>175</v>
      </c>
      <c r="CA339" s="1022"/>
      <c r="CB339" s="1023"/>
      <c r="CC339" s="1024" t="s">
        <v>176</v>
      </c>
      <c r="CD339" s="1022"/>
      <c r="CE339" s="1025"/>
      <c r="CF339" s="130"/>
      <c r="CG339" s="115" t="s">
        <v>177</v>
      </c>
      <c r="CH339" s="458" t="s">
        <v>362</v>
      </c>
      <c r="CI339" s="458" t="s">
        <v>363</v>
      </c>
      <c r="CJ339" s="629" t="s">
        <v>364</v>
      </c>
    </row>
    <row r="340" spans="2:88" ht="16" thickBot="1" x14ac:dyDescent="0.4">
      <c r="C340" s="1028"/>
      <c r="D340" s="111" t="s">
        <v>225</v>
      </c>
      <c r="E340" s="111"/>
      <c r="F340" s="112" t="s">
        <v>178</v>
      </c>
      <c r="G340" s="113" t="s">
        <v>226</v>
      </c>
      <c r="H340" s="114" t="s">
        <v>227</v>
      </c>
      <c r="I340" s="136"/>
      <c r="J340" s="119" t="s">
        <v>179</v>
      </c>
      <c r="K340" s="137" t="s">
        <v>224</v>
      </c>
      <c r="L340" s="137" t="s">
        <v>224</v>
      </c>
      <c r="M340" s="138" t="s">
        <v>224</v>
      </c>
      <c r="N340" s="136"/>
      <c r="O340" s="118" t="s">
        <v>223</v>
      </c>
      <c r="P340" s="119" t="s">
        <v>179</v>
      </c>
      <c r="Q340" s="137" t="s">
        <v>224</v>
      </c>
      <c r="R340" s="119" t="s">
        <v>330</v>
      </c>
      <c r="S340" s="137" t="s">
        <v>224</v>
      </c>
      <c r="T340" s="119" t="s">
        <v>219</v>
      </c>
      <c r="U340" s="119" t="s">
        <v>179</v>
      </c>
      <c r="V340" s="137" t="s">
        <v>224</v>
      </c>
      <c r="W340" s="119" t="s">
        <v>219</v>
      </c>
      <c r="X340" s="119" t="s">
        <v>179</v>
      </c>
      <c r="Y340" s="137" t="s">
        <v>224</v>
      </c>
      <c r="Z340" s="136"/>
      <c r="AA340" s="118" t="s">
        <v>220</v>
      </c>
      <c r="AB340" s="119" t="s">
        <v>179</v>
      </c>
      <c r="AC340" s="137" t="s">
        <v>224</v>
      </c>
      <c r="AD340" s="119" t="s">
        <v>220</v>
      </c>
      <c r="AE340" s="119" t="s">
        <v>179</v>
      </c>
      <c r="AF340" s="137" t="s">
        <v>224</v>
      </c>
      <c r="AG340" s="119" t="s">
        <v>220</v>
      </c>
      <c r="AH340" s="119" t="s">
        <v>179</v>
      </c>
      <c r="AI340" s="137" t="s">
        <v>224</v>
      </c>
      <c r="AJ340" s="119" t="s">
        <v>221</v>
      </c>
      <c r="AK340" s="119" t="s">
        <v>179</v>
      </c>
      <c r="AL340" s="138" t="s">
        <v>224</v>
      </c>
      <c r="AM340" s="136"/>
      <c r="AN340" s="139" t="s">
        <v>224</v>
      </c>
      <c r="AO340" s="137" t="s">
        <v>224</v>
      </c>
      <c r="AP340" s="137" t="s">
        <v>224</v>
      </c>
      <c r="AQ340" s="137" t="s">
        <v>224</v>
      </c>
      <c r="AV340" s="1028"/>
      <c r="AW340" s="111" t="s">
        <v>225</v>
      </c>
      <c r="AX340" s="111"/>
      <c r="AY340" s="112" t="s">
        <v>178</v>
      </c>
      <c r="AZ340" s="113" t="s">
        <v>226</v>
      </c>
      <c r="BA340" s="114" t="s">
        <v>227</v>
      </c>
      <c r="BB340" s="136"/>
      <c r="BC340" s="119" t="s">
        <v>179</v>
      </c>
      <c r="BD340" s="137" t="s">
        <v>224</v>
      </c>
      <c r="BE340" s="137" t="s">
        <v>224</v>
      </c>
      <c r="BF340" s="138" t="s">
        <v>224</v>
      </c>
      <c r="BG340" s="136"/>
      <c r="BH340" s="118" t="s">
        <v>219</v>
      </c>
      <c r="BI340" s="119" t="s">
        <v>179</v>
      </c>
      <c r="BJ340" s="137" t="s">
        <v>224</v>
      </c>
      <c r="BK340" s="119" t="s">
        <v>219</v>
      </c>
      <c r="BL340" s="119" t="s">
        <v>179</v>
      </c>
      <c r="BM340" s="137" t="s">
        <v>224</v>
      </c>
      <c r="BN340" s="119" t="s">
        <v>219</v>
      </c>
      <c r="BO340" s="119" t="s">
        <v>179</v>
      </c>
      <c r="BP340" s="137" t="s">
        <v>224</v>
      </c>
      <c r="BQ340" s="136"/>
      <c r="BR340" s="136"/>
      <c r="BS340" s="136"/>
      <c r="BT340" s="118" t="s">
        <v>220</v>
      </c>
      <c r="BU340" s="119" t="s">
        <v>179</v>
      </c>
      <c r="BV340" s="137" t="s">
        <v>224</v>
      </c>
      <c r="BW340" s="119" t="s">
        <v>220</v>
      </c>
      <c r="BX340" s="119" t="s">
        <v>179</v>
      </c>
      <c r="BY340" s="137" t="s">
        <v>224</v>
      </c>
      <c r="BZ340" s="119" t="s">
        <v>220</v>
      </c>
      <c r="CA340" s="119" t="s">
        <v>179</v>
      </c>
      <c r="CB340" s="137" t="s">
        <v>224</v>
      </c>
      <c r="CC340" s="119" t="s">
        <v>221</v>
      </c>
      <c r="CD340" s="119" t="s">
        <v>179</v>
      </c>
      <c r="CE340" s="138" t="s">
        <v>224</v>
      </c>
      <c r="CF340" s="136"/>
      <c r="CG340" s="139" t="s">
        <v>224</v>
      </c>
      <c r="CH340" s="137" t="s">
        <v>224</v>
      </c>
      <c r="CI340" s="137" t="s">
        <v>224</v>
      </c>
      <c r="CJ340" s="137" t="s">
        <v>224</v>
      </c>
    </row>
    <row r="341" spans="2:88" ht="16" thickBot="1" x14ac:dyDescent="0.4">
      <c r="C341" s="117" t="s">
        <v>331</v>
      </c>
      <c r="D341" s="117"/>
      <c r="E341" s="11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  <c r="AA341" s="87"/>
      <c r="AB341" s="87"/>
      <c r="AC341" s="87"/>
      <c r="AD341" s="87"/>
      <c r="AE341" s="87"/>
      <c r="AF341" s="87"/>
      <c r="AG341" s="87"/>
      <c r="AH341" s="87"/>
      <c r="AI341" s="87"/>
      <c r="AJ341" s="87"/>
      <c r="AK341" s="87"/>
      <c r="AL341" s="87"/>
      <c r="AM341" s="87"/>
      <c r="AN341" s="87"/>
      <c r="AO341" s="87"/>
      <c r="AP341" s="87"/>
      <c r="AQ341" s="87"/>
      <c r="AV341" s="117" t="s">
        <v>357</v>
      </c>
      <c r="AW341" s="117"/>
      <c r="AX341" s="117"/>
      <c r="AY341" s="87"/>
      <c r="AZ341" s="87"/>
      <c r="BA341" s="87"/>
      <c r="BB341" s="87"/>
      <c r="BC341" s="87"/>
      <c r="BD341" s="87"/>
      <c r="BE341" s="87"/>
      <c r="BF341" s="87"/>
      <c r="BG341" s="87"/>
      <c r="BH341" s="87"/>
      <c r="BI341" s="87"/>
      <c r="BJ341" s="87"/>
      <c r="BK341" s="87"/>
      <c r="BL341" s="87"/>
      <c r="BM341" s="87"/>
      <c r="BN341" s="87"/>
      <c r="BO341" s="87"/>
      <c r="BP341" s="87"/>
      <c r="BQ341" s="87"/>
      <c r="BR341" s="87"/>
      <c r="BS341" s="87"/>
      <c r="BT341" s="87"/>
      <c r="BU341" s="87"/>
      <c r="BV341" s="87"/>
      <c r="BW341" s="87"/>
      <c r="BX341" s="87"/>
      <c r="BY341" s="87"/>
      <c r="BZ341" s="87"/>
      <c r="CA341" s="87"/>
      <c r="CB341" s="87"/>
      <c r="CC341" s="87"/>
      <c r="CD341" s="87"/>
      <c r="CE341" s="87"/>
      <c r="CF341" s="87"/>
      <c r="CG341" s="87"/>
      <c r="CH341" s="87"/>
      <c r="CI341" s="87"/>
      <c r="CJ341" s="87"/>
    </row>
    <row r="342" spans="2:88" x14ac:dyDescent="0.35">
      <c r="B342" s="480">
        <f>DP!S18</f>
        <v>1</v>
      </c>
      <c r="C342" s="480" t="str">
        <f>DP!T18</f>
        <v xml:space="preserve">PALMITO ENTERO 800 </v>
      </c>
      <c r="D342" s="480">
        <f>DP!U18</f>
        <v>800</v>
      </c>
      <c r="E342" s="480">
        <f>DP!V18</f>
        <v>500</v>
      </c>
      <c r="F342" s="412">
        <f>IFERROR((H342*1000)/E342,0*1)</f>
        <v>0</v>
      </c>
      <c r="G342" s="470">
        <f>DP!AG18</f>
        <v>0</v>
      </c>
      <c r="H342" s="98">
        <f>$D$337*G342</f>
        <v>0</v>
      </c>
      <c r="I342" s="97"/>
      <c r="J342" s="101">
        <f t="shared" ref="J342:J360" si="340">IF(F342&gt;0,L342/F342,0*1)</f>
        <v>0</v>
      </c>
      <c r="K342" s="122">
        <f t="shared" ref="K342:K360" si="341">IF(F342&gt;0,M342/F342,0*1)</f>
        <v>0</v>
      </c>
      <c r="L342" s="140">
        <f t="shared" ref="L342:L360" si="342">IF(F342&gt;0,M342+AQ342,0*1)</f>
        <v>0</v>
      </c>
      <c r="M342" s="123">
        <f t="shared" ref="M342:M360" si="343">IF(F342&gt;0,(S342+V342+Y342+AC342+AF342+AI342+AL342+AN342),0*1)</f>
        <v>0</v>
      </c>
      <c r="N342" s="100"/>
      <c r="O342" s="102">
        <f>($E342/DP!$P$29)*F342</f>
        <v>0</v>
      </c>
      <c r="P342" s="102">
        <f>IF(O342&gt;0,(DP!$P$31),0*1)</f>
        <v>0</v>
      </c>
      <c r="Q342" s="102">
        <f>O342*P342</f>
        <v>0</v>
      </c>
      <c r="R342" s="102">
        <f>IF(O342&gt;0,S342/O342,0*1)</f>
        <v>0</v>
      </c>
      <c r="S342" s="418">
        <f>IFERROR(IF(B342=1,(S$364+70%*S$365)/(SUMIF($B$342:$B$360,1,$H$342:$H$360))*H342,(30%*S$365)/(SUMIF($B$342:$B$360,0,$H$342:$H$360))*H342),0*1)</f>
        <v>0</v>
      </c>
      <c r="T342" s="475">
        <f>H342*DP!$AE$44</f>
        <v>0</v>
      </c>
      <c r="U342" s="475">
        <f>IF(H342&gt;0,DP!$AF$44,0*1)</f>
        <v>0</v>
      </c>
      <c r="V342" s="475">
        <f>T342*U342</f>
        <v>0</v>
      </c>
      <c r="W342" s="475">
        <f>H342*DP!$AE$45</f>
        <v>0</v>
      </c>
      <c r="X342" s="475">
        <f>IF(H342&gt;0,DP!$AF$45,0*1)</f>
        <v>0</v>
      </c>
      <c r="Y342" s="475">
        <f>W342*X342</f>
        <v>0</v>
      </c>
      <c r="Z342" s="100"/>
      <c r="AA342" s="93">
        <f>IF(D342=DP!$L$15,F342*(1+DP!$P$15),IF(D342=DP!$L$16,F342*(1+DP!$P$16),IF(D342=DP!$L$17,F342*(1+DP!$P$17),IF(D342=DP!$L$18,F342*(1+DP!$P$18),0*1))))</f>
        <v>0</v>
      </c>
      <c r="AB342" s="102">
        <f>IF(D342=DP!$L$22,(DP!$M$22),IF(D342=DP!$L$23,(DP!$M$23),IF(D342=DP!$L$24,(DP!$M$24),IF(D342=DP!$L$25,(DP!$M$25),((0*1))))))</f>
        <v>0</v>
      </c>
      <c r="AC342" s="93">
        <f>AA342*AB342</f>
        <v>0</v>
      </c>
      <c r="AD342" s="93">
        <f>IF(D342=DP!$L$15,F342*(1+DP!$P$15),IF(D342=DP!$L$16,F342*(1+DP!$P$16),IF(D342=DP!$L$17,F342*(1+DP!$P$17),IF(D342=DP!$L$18,F342*(1+DP!$P$18),0*1))))</f>
        <v>0</v>
      </c>
      <c r="AE342" s="102">
        <f>IF(D342=DP!$L$22,(DP!$N$22),IF(D342=DP!$L$23,(DP!$N$23),IF(D342=DP!$L$24,(DP!$N$24),IF(D342=DP!$L$25,(DP!$N$25),((0*1))))))</f>
        <v>0</v>
      </c>
      <c r="AF342" s="93">
        <f>AD342*AE342</f>
        <v>0</v>
      </c>
      <c r="AG342" s="93">
        <f>IF(D342=DP!$L$15,(F342/DP!$K$15)*(1+DP!$P$15),IF(D342=DP!$L$16,(F342/DP!$K$16)*(1+DP!$P$16),IF(D342=DP!$L$17,(F342/DP!$K$17)*(1+DP!$P$17),IF(D342=DP!$L$18,(F342/DP!$K$18)*(1+DP!$P$18),0*1))))</f>
        <v>0</v>
      </c>
      <c r="AH342" s="102">
        <f>IF(D342=DP!$L$22,(DP!$O$22),IF(D342=DP!$L$23,(DP!$O$23),IF(D342=DP!$L$24,(DP!$O$24),IF(D342=DP!$L$25,(DP!$O$25),((0*1))))))</f>
        <v>0</v>
      </c>
      <c r="AI342" s="93">
        <f>AG342*AH342</f>
        <v>0</v>
      </c>
      <c r="AJ342" s="93">
        <f>IF(D342=DP!$L$15,F342*(1+DP!$P$15),IF(D342=DP!$L$16,F342*(1+DP!$P$16),IF(D342=DP!$L$17,F342*(1+DP!$P$17),IF(D342=DP!$L$18,F342*(1+DP!$P$18),0*1))))</f>
        <v>0</v>
      </c>
      <c r="AK342" s="102">
        <f>IF(D342=DP!$L$22,(DP!$P$22),IF(D342=DP!$L$23,(DP!$P$23),IF(D342=DP!$L$24,(DP!$P$24),IF(D342=DP!$L$25,(DP!$P$25),((0*1))))))</f>
        <v>0</v>
      </c>
      <c r="AL342" s="93">
        <f>AJ342*AK342</f>
        <v>0</v>
      </c>
      <c r="AM342" s="100"/>
      <c r="AN342" s="149">
        <f t="shared" ref="AN342:AN360" si="344">IF(F342&gt;0,AN$362/H$361*H342,0*1)</f>
        <v>0</v>
      </c>
      <c r="AO342" s="149">
        <f>DP!$N$35*H342</f>
        <v>0</v>
      </c>
      <c r="AP342" s="149">
        <f>DP!$O$35*H342</f>
        <v>0</v>
      </c>
      <c r="AQ342" s="149">
        <f>DP!$P$35*H342</f>
        <v>0</v>
      </c>
      <c r="AV342" s="412" t="str">
        <f>DP!AV18</f>
        <v>PIÑA RODAJA 850</v>
      </c>
      <c r="AW342" s="412">
        <f>DP!AW18</f>
        <v>850</v>
      </c>
      <c r="AX342" s="412">
        <f>DP!AX18</f>
        <v>425</v>
      </c>
      <c r="AY342" s="412">
        <f>IFERROR((BA342*1000)/AX342,0*1)</f>
        <v>0</v>
      </c>
      <c r="AZ342" s="470">
        <f>DP!BI18</f>
        <v>0</v>
      </c>
      <c r="BA342" s="98">
        <f>$AW$337*AZ342</f>
        <v>0</v>
      </c>
      <c r="BB342" s="97"/>
      <c r="BC342" s="101">
        <f t="shared" ref="BC342:BC360" si="345">IF(AY342&gt;0,BE342/AY342,0*1)</f>
        <v>0</v>
      </c>
      <c r="BD342" s="122">
        <f t="shared" ref="BD342:BD360" si="346">IF(AY342&gt;0,BF342/AY342,0*1)</f>
        <v>0</v>
      </c>
      <c r="BE342" s="140">
        <f t="shared" ref="BE342:BE360" si="347">IF(AY342&gt;0,BF342+CJ342,0*1)</f>
        <v>0</v>
      </c>
      <c r="BF342" s="123">
        <f t="shared" ref="BF342:BF360" si="348">IF(AY342&gt;0,(BJ342+BM342+BP342+BV342+BY342+CB342+CE342+CG342),0*1)</f>
        <v>0</v>
      </c>
      <c r="BG342" s="100"/>
      <c r="BH342" s="102">
        <f>IFERROR((BA342*100%)/DP!$AR$29,(0*1))</f>
        <v>0</v>
      </c>
      <c r="BI342" s="102">
        <f>IF(BH342&gt;0,(DP!$AR$31),0*1)</f>
        <v>0</v>
      </c>
      <c r="BJ342" s="435">
        <f>BH342*BI342</f>
        <v>0</v>
      </c>
      <c r="BK342" s="475">
        <f>BA342*DP!$BG$44</f>
        <v>0</v>
      </c>
      <c r="BL342" s="475">
        <f>IF(BA342&gt;0,DP!$BH$44,0*1)</f>
        <v>0</v>
      </c>
      <c r="BM342" s="475">
        <f>BK342*BL342</f>
        <v>0</v>
      </c>
      <c r="BN342" s="102">
        <f>BA342*DP!$BG$45</f>
        <v>0</v>
      </c>
      <c r="BO342" s="102">
        <f>IF(BA342&gt;0,DP!$BH$45,0*1)</f>
        <v>0</v>
      </c>
      <c r="BP342" s="475">
        <f>BN342*BO342</f>
        <v>0</v>
      </c>
      <c r="BQ342" s="100"/>
      <c r="BR342" s="100"/>
      <c r="BS342" s="100"/>
      <c r="BT342" s="93">
        <f>IF(AW342=DP!$AN$15,AY342*(1+DP!$AR$15),IF(AW342=DP!$AN$16,AY342*(1+DP!$AR$16),IF(AW342=DP!$AN$17,AY342*(1+DP!$AR$17),IF(AW342=DP!$AN$18,AY342*(1+DP!$AR$18),0*1))))</f>
        <v>0</v>
      </c>
      <c r="BU342" s="102">
        <f>IF(AW342=DP!$AN$22,(DP!$AO$22),IF(AW342=DP!$AN$23,(DP!$AO$23),IF(AW342=DP!$AN$24,(DP!$AO$24),IF(AW342=DP!$AN$25,(DP!$AO$25),((0*1))))))</f>
        <v>0</v>
      </c>
      <c r="BV342" s="93">
        <f>BT342*BU342</f>
        <v>0</v>
      </c>
      <c r="BW342" s="93">
        <f>IF(AW342=DP!$AN$15,AY342*(1+DP!$AR$15),IF(AW342=DP!$AN$16,AY342*(1+DP!$AR$16),IF(AW342=DP!$AN$17,AY342*(1+DP!$AR$17),IF(AW342=DP!$AN$18,AY342*(1+DP!$AR$18),0*1))))</f>
        <v>0</v>
      </c>
      <c r="BX342" s="102">
        <f>IF(AW342=DP!$AN$22,(DP!$AP$22),IF(AW342=DP!$AN$23,(DP!$AP$23),IF(AW342=DP!$AN$24,(DP!$AP$24),IF(AW342=DP!$AN$25,(DP!$AP$25),((0*1))))))</f>
        <v>0</v>
      </c>
      <c r="BY342" s="93">
        <f>BW342*BX342</f>
        <v>0</v>
      </c>
      <c r="BZ342" s="93">
        <f>IF(AW342=DP!$AN$15,(AY342/DP!$AM$15)*(1+DP!$AR$15),IF(AW342=DP!$AN$16,(AY342/DP!$AM$16)*(1+DP!$AR$16),IF(AW342=DP!$AN$17,(AY342/DP!$AM$17)*(1+DP!$AR$17),IF(AW342=DP!$AN$18,(AY342/DP!$AM$18)*(1+DP!$AR$18),0*1))))</f>
        <v>0</v>
      </c>
      <c r="CA342" s="102">
        <f>IF(AW342=DP!$AN$22,(DP!$AQ$22),IF(AW342=DP!$AN$23,(DP!$AQ$23),IF(AW342=DP!$AN$24,(DP!$AQ$24),IF(AW342=DP!$AN$25,(DP!$AQ$25),((0*1))))))</f>
        <v>0</v>
      </c>
      <c r="CB342" s="93">
        <f>BZ342*CA342</f>
        <v>0</v>
      </c>
      <c r="CC342" s="93">
        <f>IF(AW342=DP!$AN$15,AY342*(1+DP!$AR$15),IF(AW342=DP!$AN$16,AY342*(1+DP!$AR$16),IF(AW342=DP!$AN$17,AY342*(1+DP!$AR$17),IF(AW342=DP!$AN$18,AY342*(1+DP!$AR$18),0*1))))</f>
        <v>0</v>
      </c>
      <c r="CD342" s="102">
        <f>IF(AW342=DP!$AN$22,(DP!$AR$22),IF(AW342=DP!$AN$23,(DP!$AR$23),IF(AW342=DP!$AN$24,(DP!$AR$24),IF(AW342=DP!$AN$25,(DP!$AR$25),((0*1))))))</f>
        <v>0</v>
      </c>
      <c r="CE342" s="93">
        <f>CC342*CD342</f>
        <v>0</v>
      </c>
      <c r="CF342" s="100"/>
      <c r="CG342" s="149">
        <f>IF(AY342&gt;0,CG$362/BA$361*BA342,0*1)</f>
        <v>0</v>
      </c>
      <c r="CH342" s="149">
        <f>DP!$N$35*BA342</f>
        <v>0</v>
      </c>
      <c r="CI342" s="149">
        <f>DP!$O$35*BA342</f>
        <v>0</v>
      </c>
      <c r="CJ342" s="149">
        <f>DP!$P$35*BA342</f>
        <v>0</v>
      </c>
    </row>
    <row r="343" spans="2:88" x14ac:dyDescent="0.35">
      <c r="B343" s="480">
        <f>DP!S19</f>
        <v>0</v>
      </c>
      <c r="C343" s="480" t="str">
        <f>DP!T19</f>
        <v>PALMITO RODAJA 800</v>
      </c>
      <c r="D343" s="480">
        <f>DP!U19</f>
        <v>800</v>
      </c>
      <c r="E343" s="480">
        <f>DP!V19</f>
        <v>500</v>
      </c>
      <c r="F343" s="412">
        <f t="shared" ref="F343:F360" si="349">IFERROR((H343*1000)/E343,0*1)</f>
        <v>0</v>
      </c>
      <c r="G343" s="470">
        <f>DP!AG19</f>
        <v>0</v>
      </c>
      <c r="H343" s="98">
        <f t="shared" ref="H343:H360" si="350">$D$337*G343</f>
        <v>0</v>
      </c>
      <c r="I343" s="97"/>
      <c r="J343" s="102">
        <f t="shared" si="340"/>
        <v>0</v>
      </c>
      <c r="K343" s="98">
        <f t="shared" si="341"/>
        <v>0</v>
      </c>
      <c r="L343" s="93">
        <f t="shared" si="342"/>
        <v>0</v>
      </c>
      <c r="M343" s="99">
        <f t="shared" si="343"/>
        <v>0</v>
      </c>
      <c r="N343" s="100"/>
      <c r="O343" s="102">
        <f>($E343/DP!$P$29)*F343</f>
        <v>0</v>
      </c>
      <c r="P343" s="102">
        <f>IF(O343&gt;0,(DP!$P$31),0*1)</f>
        <v>0</v>
      </c>
      <c r="Q343" s="102">
        <f t="shared" ref="Q343:Q360" si="351">O343*P343</f>
        <v>0</v>
      </c>
      <c r="R343" s="102">
        <f t="shared" ref="R343:R360" si="352">IF(O343&gt;0,S343/O343,0*1)</f>
        <v>0</v>
      </c>
      <c r="S343" s="418">
        <f t="shared" ref="S343:S360" si="353">IFERROR(IF(B343=1,(S$364+70%*S$365)/(SUMIF($B$342:$B$360,1,$H$342:$H$360))*H343,(30%*S$365)/(SUMIF($B$342:$B$360,0,$H$342:$H$360))*H343),0*1)</f>
        <v>0</v>
      </c>
      <c r="T343" s="475">
        <f>H343*DP!$AE$44</f>
        <v>0</v>
      </c>
      <c r="U343" s="475">
        <f>IF(H343&gt;0,DP!$AF$44,0*1)</f>
        <v>0</v>
      </c>
      <c r="V343" s="475">
        <f t="shared" ref="V343:V360" si="354">T343*U343</f>
        <v>0</v>
      </c>
      <c r="W343" s="475">
        <f>H343*DP!$AE$45</f>
        <v>0</v>
      </c>
      <c r="X343" s="475">
        <f>IF(H343&gt;0,DP!$AF$45,0*1)</f>
        <v>0</v>
      </c>
      <c r="Y343" s="475">
        <f t="shared" ref="Y343:Y360" si="355">W343*X343</f>
        <v>0</v>
      </c>
      <c r="Z343" s="100"/>
      <c r="AA343" s="93">
        <f>IF(D343=DP!$L$15,F343*(1+DP!$P$15),IF(D343=DP!$L$16,F343*(1+DP!$P$16),IF(D343=DP!$L$17,F343*(1+DP!$P$17),IF(D343=DP!$L$18,F343*(1+DP!$P$18),0*1))))</f>
        <v>0</v>
      </c>
      <c r="AB343" s="102">
        <f>IF(D343=DP!$L$22,(DP!$M$22),IF(D343=DP!$L$23,(DP!$M$23),IF(D343=DP!$L$24,(DP!$M$24),IF(D343=DP!$L$25,(DP!$M$25),((0*1))))))</f>
        <v>0</v>
      </c>
      <c r="AC343" s="93">
        <f t="shared" ref="AC343:AC360" si="356">AA343*AB343</f>
        <v>0</v>
      </c>
      <c r="AD343" s="93">
        <f>IF(D343=DP!$L$15,F343*(1+DP!$P$15),IF(D343=DP!$L$16,F343*(1+DP!$P$16),IF(D343=DP!$L$17,F343*(1+DP!$P$17),IF(D343=DP!$L$18,F343*(1+DP!$P$18),0*1))))</f>
        <v>0</v>
      </c>
      <c r="AE343" s="102">
        <f>IF(D343=DP!$L$22,(DP!$N$22),IF(D343=DP!$L$23,(DP!$N$23),IF(D343=DP!$L$24,(DP!$N$24),IF(D343=DP!$L$25,(DP!$N$25),((0*1))))))</f>
        <v>0</v>
      </c>
      <c r="AF343" s="93">
        <f t="shared" ref="AF343:AF360" si="357">AD343*AE343</f>
        <v>0</v>
      </c>
      <c r="AG343" s="93">
        <f>IF(D343=DP!$L$15,(F343/DP!$K$15)*(1+DP!$P$15),IF(D343=DP!$L$16,(F343/DP!$K$16)*(1+DP!$P$16),IF(D343=DP!$L$17,(F343/DP!$K$17)*(1+DP!$P$17),IF(D343=DP!$L$18,(F343/DP!$K$18)*(1+DP!$P$18),0*1))))</f>
        <v>0</v>
      </c>
      <c r="AH343" s="102">
        <f>IF(D343=DP!$L$22,(DP!$O$22),IF(D343=DP!$L$23,(DP!$O$23),IF(D343=DP!$L$24,(DP!$O$24),IF(D343=DP!$L$25,(DP!$O$25),((0*1))))))</f>
        <v>0</v>
      </c>
      <c r="AI343" s="93">
        <f t="shared" ref="AI343:AI360" si="358">AG343*AH343</f>
        <v>0</v>
      </c>
      <c r="AJ343" s="93">
        <f>IF(D343=DP!$L$15,F343*(1+DP!$P$15),IF(D343=DP!$L$16,F343*(1+DP!$P$16),IF(D343=DP!$L$17,F343*(1+DP!$P$17),IF(D343=DP!$L$18,F343*(1+DP!$P$18),0*1))))</f>
        <v>0</v>
      </c>
      <c r="AK343" s="102">
        <f>IF(D343=DP!$L$22,(DP!$P$22),IF(D343=DP!$L$23,(DP!$P$23),IF(D343=DP!$L$24,(DP!$P$24),IF(D343=DP!$L$25,(DP!$P$25),((0*1))))))</f>
        <v>0</v>
      </c>
      <c r="AL343" s="93">
        <f t="shared" ref="AL343:AL360" si="359">AJ343*AK343</f>
        <v>0</v>
      </c>
      <c r="AM343" s="100"/>
      <c r="AN343" s="149">
        <f t="shared" si="344"/>
        <v>0</v>
      </c>
      <c r="AO343" s="149">
        <f>DP!$N$35*H343</f>
        <v>0</v>
      </c>
      <c r="AP343" s="149">
        <f>DP!$O$35*H343</f>
        <v>0</v>
      </c>
      <c r="AQ343" s="149">
        <f>DP!$P$35*H343</f>
        <v>0</v>
      </c>
      <c r="AV343" s="412" t="str">
        <f>DP!AV19</f>
        <v>PIÑA TROZO 850</v>
      </c>
      <c r="AW343" s="412">
        <f>DP!AW19</f>
        <v>850</v>
      </c>
      <c r="AX343" s="412">
        <f>DP!AX19</f>
        <v>440</v>
      </c>
      <c r="AY343" s="412">
        <f t="shared" ref="AY343:AY360" si="360">IFERROR((BA343*1000)/AX343,0*1)</f>
        <v>0</v>
      </c>
      <c r="AZ343" s="470">
        <f>DP!BI19</f>
        <v>0</v>
      </c>
      <c r="BA343" s="98">
        <f t="shared" ref="BA343:BA360" si="361">$AW$337*AZ343</f>
        <v>0</v>
      </c>
      <c r="BB343" s="97"/>
      <c r="BC343" s="102">
        <f t="shared" si="345"/>
        <v>0</v>
      </c>
      <c r="BD343" s="98">
        <f t="shared" si="346"/>
        <v>0</v>
      </c>
      <c r="BE343" s="93">
        <f t="shared" si="347"/>
        <v>0</v>
      </c>
      <c r="BF343" s="99">
        <f t="shared" si="348"/>
        <v>0</v>
      </c>
      <c r="BG343" s="100"/>
      <c r="BH343" s="102">
        <f>IFERROR((BA343*100%)/DP!$AR$29,(0*1))</f>
        <v>0</v>
      </c>
      <c r="BI343" s="102">
        <f>IF(BH343&gt;0,(DP!$AR$31),0*1)</f>
        <v>0</v>
      </c>
      <c r="BJ343" s="435">
        <f t="shared" ref="BJ343:BJ357" si="362">BH343*BI343</f>
        <v>0</v>
      </c>
      <c r="BK343" s="475">
        <f>BA343*DP!$BG$44</f>
        <v>0</v>
      </c>
      <c r="BL343" s="475">
        <f>IF(BA343&gt;0,DP!$BH$44,0*1)</f>
        <v>0</v>
      </c>
      <c r="BM343" s="475">
        <f t="shared" ref="BM343:BM360" si="363">BK343*BL343</f>
        <v>0</v>
      </c>
      <c r="BN343" s="102">
        <f>BA343*DP!$BG$45</f>
        <v>0</v>
      </c>
      <c r="BO343" s="102">
        <f>IF(BA343&gt;0,DP!$BH$45,0*1)</f>
        <v>0</v>
      </c>
      <c r="BP343" s="475">
        <f t="shared" ref="BP343:BP360" si="364">BN343*BO343</f>
        <v>0</v>
      </c>
      <c r="BQ343" s="100"/>
      <c r="BR343" s="100"/>
      <c r="BS343" s="100"/>
      <c r="BT343" s="93">
        <f>IF(AW343=DP!$AN$15,AY343*(1+DP!$AR$15),IF(AW343=DP!$AN$16,AY343*(1+DP!$AR$16),IF(AW343=DP!$AN$17,AY343*(1+DP!$AR$17),IF(AW343=DP!$AN$18,AY343*(1+DP!$AR$18),0*1))))</f>
        <v>0</v>
      </c>
      <c r="BU343" s="102">
        <f>IF(AW343=DP!$AN$22,(DP!$AO$22),IF(AW343=DP!$AN$23,(DP!$AO$23),IF(AW343=DP!$AN$24,(DP!$AO$24),IF(AW343=DP!$AN$25,(DP!$AO$25),((0*1))))))</f>
        <v>0</v>
      </c>
      <c r="BV343" s="93">
        <f t="shared" ref="BV343:BV360" si="365">BT343*BU343</f>
        <v>0</v>
      </c>
      <c r="BW343" s="93">
        <f>IF(AW343=DP!$AN$15,AY343*(1+DP!$AR$15),IF(AW343=DP!$AN$16,AY343*(1+DP!$AR$16),IF(AW343=DP!$AN$17,AY343*(1+DP!$AR$17),IF(AW343=DP!$AN$18,AY343*(1+DP!$AR$18),0*1))))</f>
        <v>0</v>
      </c>
      <c r="BX343" s="102">
        <f>IF(AW343=DP!$AN$22,(DP!$AP$22),IF(AW343=DP!$AN$23,(DP!$AP$23),IF(AW343=DP!$AN$24,(DP!$AP$24),IF(AW343=DP!$AN$25,(DP!$AP$25),((0*1))))))</f>
        <v>0</v>
      </c>
      <c r="BY343" s="93">
        <f t="shared" ref="BY343:BY360" si="366">BW343*BX343</f>
        <v>0</v>
      </c>
      <c r="BZ343" s="93">
        <f>IF(AW343=DP!$AN$15,(AY343/DP!$AM$15)*(1+DP!$AR$15),IF(AW343=DP!$AN$16,(AY343/DP!$AM$16)*(1+DP!$AR$16),IF(AW343=DP!$AN$17,(AY343/DP!$AM$17)*(1+DP!$AR$17),IF(AW343=DP!$AN$18,(AY343/DP!$AM$18)*(1+DP!$AR$18),0*1))))</f>
        <v>0</v>
      </c>
      <c r="CA343" s="102">
        <f>IF(AW343=DP!$AN$22,(DP!$AQ$22),IF(AW343=DP!$AN$23,(DP!$AQ$23),IF(AW343=DP!$AN$24,(DP!$AQ$24),IF(AW343=DP!$AN$25,(DP!$AQ$25),((0*1))))))</f>
        <v>0</v>
      </c>
      <c r="CB343" s="93">
        <f t="shared" ref="CB343:CB360" si="367">BZ343*CA343</f>
        <v>0</v>
      </c>
      <c r="CC343" s="93">
        <f>IF(AW343=DP!$AN$15,AY343*(1+DP!$AR$15),IF(AW343=DP!$AN$16,AY343*(1+DP!$AR$16),IF(AW343=DP!$AN$17,AY343*(1+DP!$AR$17),IF(AW343=DP!$AN$18,AY343*(1+DP!$AR$18),0*1))))</f>
        <v>0</v>
      </c>
      <c r="CD343" s="102">
        <f>IF(AW343=DP!$AN$22,(DP!$AR$22),IF(AW343=DP!$AN$23,(DP!$AR$23),IF(AW343=DP!$AN$24,(DP!$AR$24),IF(AW343=DP!$AN$25,(DP!$AR$25),((0*1))))))</f>
        <v>0</v>
      </c>
      <c r="CE343" s="93">
        <f t="shared" ref="CE343:CE360" si="368">CC343*CD343</f>
        <v>0</v>
      </c>
      <c r="CF343" s="100"/>
      <c r="CG343" s="149">
        <f t="shared" ref="CG343:CG360" si="369">IF(AY343&gt;0,CG$362/BA$361*BA343,0*1)</f>
        <v>0</v>
      </c>
      <c r="CH343" s="149">
        <f>DP!$N$35*BA343</f>
        <v>0</v>
      </c>
      <c r="CI343" s="149">
        <f>DP!$O$35*BA343</f>
        <v>0</v>
      </c>
      <c r="CJ343" s="149">
        <f>DP!$P$35*BA343</f>
        <v>0</v>
      </c>
    </row>
    <row r="344" spans="2:88" x14ac:dyDescent="0.35">
      <c r="B344" s="480">
        <f>DP!S20</f>
        <v>0</v>
      </c>
      <c r="C344" s="480" t="str">
        <f>DP!T20</f>
        <v>PALMITO TROZO 800</v>
      </c>
      <c r="D344" s="480">
        <f>DP!U20</f>
        <v>800</v>
      </c>
      <c r="E344" s="480">
        <f>DP!V20</f>
        <v>500</v>
      </c>
      <c r="F344" s="412">
        <f t="shared" si="349"/>
        <v>0</v>
      </c>
      <c r="G344" s="470">
        <f>DP!AG20</f>
        <v>0</v>
      </c>
      <c r="H344" s="98">
        <f t="shared" si="350"/>
        <v>0</v>
      </c>
      <c r="I344" s="97"/>
      <c r="J344" s="102">
        <f t="shared" si="340"/>
        <v>0</v>
      </c>
      <c r="K344" s="98">
        <f t="shared" si="341"/>
        <v>0</v>
      </c>
      <c r="L344" s="93">
        <f t="shared" si="342"/>
        <v>0</v>
      </c>
      <c r="M344" s="99">
        <f t="shared" si="343"/>
        <v>0</v>
      </c>
      <c r="N344" s="100"/>
      <c r="O344" s="102">
        <f>($E344/DP!$P$29)*F344</f>
        <v>0</v>
      </c>
      <c r="P344" s="102">
        <f>IF(O344&gt;0,(DP!$P$31),0*1)</f>
        <v>0</v>
      </c>
      <c r="Q344" s="102">
        <f t="shared" si="351"/>
        <v>0</v>
      </c>
      <c r="R344" s="102">
        <f t="shared" si="352"/>
        <v>0</v>
      </c>
      <c r="S344" s="418">
        <f t="shared" si="353"/>
        <v>0</v>
      </c>
      <c r="T344" s="475">
        <f>H344*DP!$AE$44</f>
        <v>0</v>
      </c>
      <c r="U344" s="475">
        <f>IF(H344&gt;0,DP!$AF$44,0*1)</f>
        <v>0</v>
      </c>
      <c r="V344" s="475">
        <f t="shared" si="354"/>
        <v>0</v>
      </c>
      <c r="W344" s="475">
        <f>H344*DP!$AE$45</f>
        <v>0</v>
      </c>
      <c r="X344" s="475">
        <f>IF(H344&gt;0,DP!$AF$45,0*1)</f>
        <v>0</v>
      </c>
      <c r="Y344" s="475">
        <f t="shared" si="355"/>
        <v>0</v>
      </c>
      <c r="Z344" s="100"/>
      <c r="AA344" s="93">
        <f>IF(D344=DP!$L$15,F344*(1+DP!$P$15),IF(D344=DP!$L$16,F344*(1+DP!$P$16),IF(D344=DP!$L$17,F344*(1+DP!$P$17),IF(D344=DP!$L$18,F344*(1+DP!$P$18),0*1))))</f>
        <v>0</v>
      </c>
      <c r="AB344" s="102">
        <f>IF(D344=DP!$L$22,(DP!$M$22),IF(D344=DP!$L$23,(DP!$M$23),IF(D344=DP!$L$24,(DP!$M$24),IF(D344=DP!$L$25,(DP!$M$25),((0*1))))))</f>
        <v>0</v>
      </c>
      <c r="AC344" s="93">
        <f t="shared" si="356"/>
        <v>0</v>
      </c>
      <c r="AD344" s="93">
        <f>IF(D344=DP!$L$15,F344*(1+DP!$P$15),IF(D344=DP!$L$16,F344*(1+DP!$P$16),IF(D344=DP!$L$17,F344*(1+DP!$P$17),IF(D344=DP!$L$18,F344*(1+DP!$P$18),0*1))))</f>
        <v>0</v>
      </c>
      <c r="AE344" s="102">
        <f>IF(D344=DP!$L$22,(DP!$N$22),IF(D344=DP!$L$23,(DP!$N$23),IF(D344=DP!$L$24,(DP!$N$24),IF(D344=DP!$L$25,(DP!$N$25),((0*1))))))</f>
        <v>0</v>
      </c>
      <c r="AF344" s="93">
        <f t="shared" si="357"/>
        <v>0</v>
      </c>
      <c r="AG344" s="93">
        <f>IF(D344=DP!$L$15,(F344/DP!$K$15)*(1+DP!$P$15),IF(D344=DP!$L$16,(F344/DP!$K$16)*(1+DP!$P$16),IF(D344=DP!$L$17,(F344/DP!$K$17)*(1+DP!$P$17),IF(D344=DP!$L$18,(F344/DP!$K$18)*(1+DP!$P$18),0*1))))</f>
        <v>0</v>
      </c>
      <c r="AH344" s="102">
        <f>IF(D344=DP!$L$22,(DP!$O$22),IF(D344=DP!$L$23,(DP!$O$23),IF(D344=DP!$L$24,(DP!$O$24),IF(D344=DP!$L$25,(DP!$O$25),((0*1))))))</f>
        <v>0</v>
      </c>
      <c r="AI344" s="93">
        <f t="shared" si="358"/>
        <v>0</v>
      </c>
      <c r="AJ344" s="93">
        <f>IF(D344=DP!$L$15,F344*(1+DP!$P$15),IF(D344=DP!$L$16,F344*(1+DP!$P$16),IF(D344=DP!$L$17,F344*(1+DP!$P$17),IF(D344=DP!$L$18,F344*(1+DP!$P$18),0*1))))</f>
        <v>0</v>
      </c>
      <c r="AK344" s="102">
        <f>IF(D344=DP!$L$22,(DP!$P$22),IF(D344=DP!$L$23,(DP!$P$23),IF(D344=DP!$L$24,(DP!$P$24),IF(D344=DP!$L$25,(DP!$P$25),((0*1))))))</f>
        <v>0</v>
      </c>
      <c r="AL344" s="93">
        <f t="shared" si="359"/>
        <v>0</v>
      </c>
      <c r="AM344" s="100"/>
      <c r="AN344" s="149">
        <f t="shared" si="344"/>
        <v>0</v>
      </c>
      <c r="AO344" s="149">
        <f>DP!$N$35*H344</f>
        <v>0</v>
      </c>
      <c r="AP344" s="149">
        <f>DP!$O$35*H344</f>
        <v>0</v>
      </c>
      <c r="AQ344" s="149">
        <f>DP!$P$35*H344</f>
        <v>0</v>
      </c>
      <c r="AV344" s="412" t="str">
        <f>DP!AV20</f>
        <v>PIÑA TROZO A-10</v>
      </c>
      <c r="AW344" s="412">
        <f>DP!AW20</f>
        <v>2920</v>
      </c>
      <c r="AX344" s="412">
        <f>DP!AX20</f>
        <v>1825</v>
      </c>
      <c r="AY344" s="412">
        <f t="shared" si="360"/>
        <v>0</v>
      </c>
      <c r="AZ344" s="470">
        <f>DP!BI20</f>
        <v>0</v>
      </c>
      <c r="BA344" s="98">
        <f t="shared" si="361"/>
        <v>0</v>
      </c>
      <c r="BB344" s="97"/>
      <c r="BC344" s="102">
        <f t="shared" si="345"/>
        <v>0</v>
      </c>
      <c r="BD344" s="98">
        <f t="shared" si="346"/>
        <v>0</v>
      </c>
      <c r="BE344" s="93">
        <f t="shared" si="347"/>
        <v>0</v>
      </c>
      <c r="BF344" s="99">
        <f t="shared" si="348"/>
        <v>0</v>
      </c>
      <c r="BG344" s="100"/>
      <c r="BH344" s="102">
        <f>IFERROR((BA344*100%)/DP!$AR$29,(0*1))</f>
        <v>0</v>
      </c>
      <c r="BI344" s="102">
        <f>IF(BH344&gt;0,(DP!$AR$31),0*1)</f>
        <v>0</v>
      </c>
      <c r="BJ344" s="435">
        <f t="shared" si="362"/>
        <v>0</v>
      </c>
      <c r="BK344" s="475">
        <f>BA344*DP!$BG$44</f>
        <v>0</v>
      </c>
      <c r="BL344" s="475">
        <f>IF(BA344&gt;0,DP!$BH$44,0*1)</f>
        <v>0</v>
      </c>
      <c r="BM344" s="475">
        <f t="shared" si="363"/>
        <v>0</v>
      </c>
      <c r="BN344" s="102">
        <f>BA344*DP!$BG$45</f>
        <v>0</v>
      </c>
      <c r="BO344" s="102">
        <f>IF(BA344&gt;0,DP!$BH$45,0*1)</f>
        <v>0</v>
      </c>
      <c r="BP344" s="475">
        <f t="shared" si="364"/>
        <v>0</v>
      </c>
      <c r="BQ344" s="100"/>
      <c r="BR344" s="100"/>
      <c r="BS344" s="100"/>
      <c r="BT344" s="93">
        <f>IF(AW344=DP!$AN$15,AY344*(1+DP!$AR$15),IF(AW344=DP!$AN$16,AY344*(1+DP!$AR$16),IF(AW344=DP!$AN$17,AY344*(1+DP!$AR$17),IF(AW344=DP!$AN$18,AY344*(1+DP!$AR$18),0*1))))</f>
        <v>0</v>
      </c>
      <c r="BU344" s="102">
        <f>IF(AW344=DP!$AN$22,(DP!$AO$22),IF(AW344=DP!$AN$23,(DP!$AO$23),IF(AW344=DP!$AN$24,(DP!$AO$24),IF(AW344=DP!$AN$25,(DP!$AO$25),((0*1))))))</f>
        <v>0</v>
      </c>
      <c r="BV344" s="93">
        <f t="shared" si="365"/>
        <v>0</v>
      </c>
      <c r="BW344" s="93">
        <f>IF(AW344=DP!$AN$15,AY344*(1+DP!$AR$15),IF(AW344=DP!$AN$16,AY344*(1+DP!$AR$16),IF(AW344=DP!$AN$17,AY344*(1+DP!$AR$17),IF(AW344=DP!$AN$18,AY344*(1+DP!$AR$18),0*1))))</f>
        <v>0</v>
      </c>
      <c r="BX344" s="102">
        <f>IF(AW344=DP!$AN$22,(DP!$AP$22),IF(AW344=DP!$AN$23,(DP!$AP$23),IF(AW344=DP!$AN$24,(DP!$AP$24),IF(AW344=DP!$AN$25,(DP!$AP$25),((0*1))))))</f>
        <v>0</v>
      </c>
      <c r="BY344" s="93">
        <f t="shared" si="366"/>
        <v>0</v>
      </c>
      <c r="BZ344" s="93">
        <f>IF(AW344=DP!$AN$15,(AY344/DP!$AM$15)*(1+DP!$AR$15),IF(AW344=DP!$AN$16,(AY344/DP!$AM$16)*(1+DP!$AR$16),IF(AW344=DP!$AN$17,(AY344/DP!$AM$17)*(1+DP!$AR$17),IF(AW344=DP!$AN$18,(AY344/DP!$AM$18)*(1+DP!$AR$18),0*1))))</f>
        <v>0</v>
      </c>
      <c r="CA344" s="102">
        <f>IF(AW344=DP!$AN$22,(DP!$AQ$22),IF(AW344=DP!$AN$23,(DP!$AQ$23),IF(AW344=DP!$AN$24,(DP!$AQ$24),IF(AW344=DP!$AN$25,(DP!$AQ$25),((0*1))))))</f>
        <v>0</v>
      </c>
      <c r="CB344" s="93">
        <f t="shared" si="367"/>
        <v>0</v>
      </c>
      <c r="CC344" s="93">
        <f>IF(AW344=DP!$AN$15,AY344*(1+DP!$AR$15),IF(AW344=DP!$AN$16,AY344*(1+DP!$AR$16),IF(AW344=DP!$AN$17,AY344*(1+DP!$AR$17),IF(AW344=DP!$AN$18,AY344*(1+DP!$AR$18),0*1))))</f>
        <v>0</v>
      </c>
      <c r="CD344" s="102">
        <f>IF(AW344=DP!$AN$22,(DP!$AR$22),IF(AW344=DP!$AN$23,(DP!$AR$23),IF(AW344=DP!$AN$24,(DP!$AR$24),IF(AW344=DP!$AN$25,(DP!$AR$25),((0*1))))))</f>
        <v>0</v>
      </c>
      <c r="CE344" s="93">
        <f t="shared" si="368"/>
        <v>0</v>
      </c>
      <c r="CF344" s="100"/>
      <c r="CG344" s="149">
        <f t="shared" si="369"/>
        <v>0</v>
      </c>
      <c r="CH344" s="149">
        <f>DP!$N$35*BA344</f>
        <v>0</v>
      </c>
      <c r="CI344" s="149">
        <f>DP!$O$35*BA344</f>
        <v>0</v>
      </c>
      <c r="CJ344" s="149">
        <f>DP!$P$35*BA344</f>
        <v>0</v>
      </c>
    </row>
    <row r="345" spans="2:88" x14ac:dyDescent="0.35">
      <c r="B345" s="480">
        <f>DP!S21</f>
        <v>1</v>
      </c>
      <c r="C345" s="480" t="str">
        <f>DP!T21</f>
        <v>PALMITO ENTERO 400</v>
      </c>
      <c r="D345" s="480">
        <f>DP!U21</f>
        <v>400</v>
      </c>
      <c r="E345" s="480">
        <f>DP!V21</f>
        <v>220</v>
      </c>
      <c r="F345" s="412">
        <f t="shared" si="349"/>
        <v>0</v>
      </c>
      <c r="G345" s="470">
        <f>DP!AG21</f>
        <v>0</v>
      </c>
      <c r="H345" s="98">
        <f t="shared" si="350"/>
        <v>0</v>
      </c>
      <c r="I345" s="97"/>
      <c r="J345" s="102">
        <f t="shared" si="340"/>
        <v>0</v>
      </c>
      <c r="K345" s="98">
        <f t="shared" si="341"/>
        <v>0</v>
      </c>
      <c r="L345" s="93">
        <f t="shared" si="342"/>
        <v>0</v>
      </c>
      <c r="M345" s="99">
        <f t="shared" si="343"/>
        <v>0</v>
      </c>
      <c r="N345" s="100"/>
      <c r="O345" s="102">
        <f>($E345/DP!$P$29)*F345</f>
        <v>0</v>
      </c>
      <c r="P345" s="102">
        <f>IF(O345&gt;0,(DP!$P$31),0*1)</f>
        <v>0</v>
      </c>
      <c r="Q345" s="102">
        <f t="shared" si="351"/>
        <v>0</v>
      </c>
      <c r="R345" s="102">
        <f t="shared" si="352"/>
        <v>0</v>
      </c>
      <c r="S345" s="418">
        <f t="shared" si="353"/>
        <v>0</v>
      </c>
      <c r="T345" s="475">
        <f>H345*DP!$AE$44</f>
        <v>0</v>
      </c>
      <c r="U345" s="475">
        <f>IF(H345&gt;0,DP!$AF$44,0*1)</f>
        <v>0</v>
      </c>
      <c r="V345" s="475">
        <f t="shared" si="354"/>
        <v>0</v>
      </c>
      <c r="W345" s="475">
        <f>H345*DP!$AE$45</f>
        <v>0</v>
      </c>
      <c r="X345" s="475">
        <f>IF(H345&gt;0,DP!$AF$45,0*1)</f>
        <v>0</v>
      </c>
      <c r="Y345" s="475">
        <f t="shared" si="355"/>
        <v>0</v>
      </c>
      <c r="Z345" s="100"/>
      <c r="AA345" s="93">
        <f>IF(D345=DP!$L$15,F345*(1+DP!$P$15),IF(D345=DP!$L$16,F345*(1+DP!$P$16),IF(D345=DP!$L$17,F345*(1+DP!$P$17),IF(D345=DP!$L$18,F345*(1+DP!$P$18),0*1))))</f>
        <v>0</v>
      </c>
      <c r="AB345" s="102">
        <f>IF(D345=DP!$L$22,(DP!$M$22),IF(D345=DP!$L$23,(DP!$M$23),IF(D345=DP!$L$24,(DP!$M$24),IF(D345=DP!$L$25,(DP!$M$25),((0*1))))))</f>
        <v>0</v>
      </c>
      <c r="AC345" s="93">
        <f t="shared" si="356"/>
        <v>0</v>
      </c>
      <c r="AD345" s="93">
        <f>IF(D345=DP!$L$15,F345*(1+DP!$P$15),IF(D345=DP!$L$16,F345*(1+DP!$P$16),IF(D345=DP!$L$17,F345*(1+DP!$P$17),IF(D345=DP!$L$18,F345*(1+DP!$P$18),0*1))))</f>
        <v>0</v>
      </c>
      <c r="AE345" s="102">
        <f>IF(D345=DP!$L$22,(DP!$N$22),IF(D345=DP!$L$23,(DP!$N$23),IF(D345=DP!$L$24,(DP!$N$24),IF(D345=DP!$L$25,(DP!$N$25),((0*1))))))</f>
        <v>0</v>
      </c>
      <c r="AF345" s="93">
        <f t="shared" si="357"/>
        <v>0</v>
      </c>
      <c r="AG345" s="93">
        <f>IF(D345=DP!$L$15,(F345/DP!$K$15)*(1+DP!$P$15),IF(D345=DP!$L$16,(F345/DP!$K$16)*(1+DP!$P$16),IF(D345=DP!$L$17,(F345/DP!$K$17)*(1+DP!$P$17),IF(D345=DP!$L$18,(F345/DP!$K$18)*(1+DP!$P$18),0*1))))</f>
        <v>0</v>
      </c>
      <c r="AH345" s="102">
        <f>IF(D345=DP!$L$22,(DP!$O$22),IF(D345=DP!$L$23,(DP!$O$23),IF(D345=DP!$L$24,(DP!$O$24),IF(D345=DP!$L$25,(DP!$O$25),((0*1))))))</f>
        <v>0</v>
      </c>
      <c r="AI345" s="93">
        <f t="shared" si="358"/>
        <v>0</v>
      </c>
      <c r="AJ345" s="93">
        <f>IF(D345=DP!$L$15,F345*(1+DP!$P$15),IF(D345=DP!$L$16,F345*(1+DP!$P$16),IF(D345=DP!$L$17,F345*(1+DP!$P$17),IF(D345=DP!$L$18,F345*(1+DP!$P$18),0*1))))</f>
        <v>0</v>
      </c>
      <c r="AK345" s="102">
        <f>IF(D345=DP!$L$22,(DP!$P$22),IF(D345=DP!$L$23,(DP!$P$23),IF(D345=DP!$L$24,(DP!$P$24),IF(D345=DP!$L$25,(DP!$P$25),((0*1))))))</f>
        <v>0</v>
      </c>
      <c r="AL345" s="93">
        <f t="shared" si="359"/>
        <v>0</v>
      </c>
      <c r="AM345" s="100"/>
      <c r="AN345" s="149">
        <f t="shared" si="344"/>
        <v>0</v>
      </c>
      <c r="AO345" s="149">
        <f>DP!$N$35*H345</f>
        <v>0</v>
      </c>
      <c r="AP345" s="149">
        <f>DP!$O$35*H345</f>
        <v>0</v>
      </c>
      <c r="AQ345" s="149">
        <f>DP!$P$35*H345</f>
        <v>0</v>
      </c>
      <c r="AV345" s="412" t="str">
        <f>DP!AV21</f>
        <v>PIÑA RODAJA A-10</v>
      </c>
      <c r="AW345" s="412">
        <f>DP!AW21</f>
        <v>2920</v>
      </c>
      <c r="AX345" s="412">
        <f>DP!AX21</f>
        <v>1825</v>
      </c>
      <c r="AY345" s="412">
        <f t="shared" si="360"/>
        <v>0</v>
      </c>
      <c r="AZ345" s="470">
        <f>DP!BI21</f>
        <v>0</v>
      </c>
      <c r="BA345" s="98">
        <f t="shared" si="361"/>
        <v>0</v>
      </c>
      <c r="BB345" s="97"/>
      <c r="BC345" s="102">
        <f t="shared" si="345"/>
        <v>0</v>
      </c>
      <c r="BD345" s="98">
        <f t="shared" si="346"/>
        <v>0</v>
      </c>
      <c r="BE345" s="93">
        <f t="shared" si="347"/>
        <v>0</v>
      </c>
      <c r="BF345" s="99">
        <f t="shared" si="348"/>
        <v>0</v>
      </c>
      <c r="BG345" s="100"/>
      <c r="BH345" s="102">
        <f>IFERROR((BA345*100%)/DP!$AR$29,(0*1))</f>
        <v>0</v>
      </c>
      <c r="BI345" s="102">
        <f>IF(BH345&gt;0,(DP!$AR$31),0*1)</f>
        <v>0</v>
      </c>
      <c r="BJ345" s="435">
        <f t="shared" si="362"/>
        <v>0</v>
      </c>
      <c r="BK345" s="475">
        <f>BA345*DP!$BG$44</f>
        <v>0</v>
      </c>
      <c r="BL345" s="475">
        <f>IF(BA345&gt;0,DP!$BH$44,0*1)</f>
        <v>0</v>
      </c>
      <c r="BM345" s="475">
        <f t="shared" si="363"/>
        <v>0</v>
      </c>
      <c r="BN345" s="102">
        <f>BA345*DP!$BG$45</f>
        <v>0</v>
      </c>
      <c r="BO345" s="102">
        <f>IF(BA345&gt;0,DP!$BH$45,0*1)</f>
        <v>0</v>
      </c>
      <c r="BP345" s="475">
        <f t="shared" si="364"/>
        <v>0</v>
      </c>
      <c r="BQ345" s="100"/>
      <c r="BR345" s="100"/>
      <c r="BS345" s="100"/>
      <c r="BT345" s="93">
        <f>IF(AW345=DP!$AN$15,AY345*(1+DP!$AR$15),IF(AW345=DP!$AN$16,AY345*(1+DP!$AR$16),IF(AW345=DP!$AN$17,AY345*(1+DP!$AR$17),IF(AW345=DP!$AN$18,AY345*(1+DP!$AR$18),0*1))))</f>
        <v>0</v>
      </c>
      <c r="BU345" s="102">
        <f>IF(AW345=DP!$AN$22,(DP!$AO$22),IF(AW345=DP!$AN$23,(DP!$AO$23),IF(AW345=DP!$AN$24,(DP!$AO$24),IF(AW345=DP!$AN$25,(DP!$AO$25),((0*1))))))</f>
        <v>0</v>
      </c>
      <c r="BV345" s="93">
        <f t="shared" si="365"/>
        <v>0</v>
      </c>
      <c r="BW345" s="93">
        <f>IF(AW345=DP!$AN$15,AY345*(1+DP!$AR$15),IF(AW345=DP!$AN$16,AY345*(1+DP!$AR$16),IF(AW345=DP!$AN$17,AY345*(1+DP!$AR$17),IF(AW345=DP!$AN$18,AY345*(1+DP!$AR$18),0*1))))</f>
        <v>0</v>
      </c>
      <c r="BX345" s="102">
        <f>IF(AW345=DP!$AN$22,(DP!$AP$22),IF(AW345=DP!$AN$23,(DP!$AP$23),IF(AW345=DP!$AN$24,(DP!$AP$24),IF(AW345=DP!$AN$25,(DP!$AP$25),((0*1))))))</f>
        <v>0</v>
      </c>
      <c r="BY345" s="93">
        <f t="shared" si="366"/>
        <v>0</v>
      </c>
      <c r="BZ345" s="93">
        <f>IF(AW345=DP!$AN$15,(AY345/DP!$AM$15)*(1+DP!$AR$15),IF(AW345=DP!$AN$16,(AY345/DP!$AM$16)*(1+DP!$AR$16),IF(AW345=DP!$AN$17,(AY345/DP!$AM$17)*(1+DP!$AR$17),IF(AW345=DP!$AN$18,(AY345/DP!$AM$18)*(1+DP!$AR$18),0*1))))</f>
        <v>0</v>
      </c>
      <c r="CA345" s="102">
        <f>IF(AW345=DP!$AN$22,(DP!$AQ$22),IF(AW345=DP!$AN$23,(DP!$AQ$23),IF(AW345=DP!$AN$24,(DP!$AQ$24),IF(AW345=DP!$AN$25,(DP!$AQ$25),((0*1))))))</f>
        <v>0</v>
      </c>
      <c r="CB345" s="93">
        <f t="shared" si="367"/>
        <v>0</v>
      </c>
      <c r="CC345" s="93">
        <f>IF(AW345=DP!$AN$15,AY345*(1+DP!$AR$15),IF(AW345=DP!$AN$16,AY345*(1+DP!$AR$16),IF(AW345=DP!$AN$17,AY345*(1+DP!$AR$17),IF(AW345=DP!$AN$18,AY345*(1+DP!$AR$18),0*1))))</f>
        <v>0</v>
      </c>
      <c r="CD345" s="102">
        <f>IF(AW345=DP!$AN$22,(DP!$AR$22),IF(AW345=DP!$AN$23,(DP!$AR$23),IF(AW345=DP!$AN$24,(DP!$AR$24),IF(AW345=DP!$AN$25,(DP!$AR$25),((0*1))))))</f>
        <v>0</v>
      </c>
      <c r="CE345" s="93">
        <f t="shared" si="368"/>
        <v>0</v>
      </c>
      <c r="CF345" s="100"/>
      <c r="CG345" s="149">
        <f t="shared" si="369"/>
        <v>0</v>
      </c>
      <c r="CH345" s="149">
        <f>DP!$N$35*BA345</f>
        <v>0</v>
      </c>
      <c r="CI345" s="149">
        <f>DP!$O$35*BA345</f>
        <v>0</v>
      </c>
      <c r="CJ345" s="149">
        <f>DP!$P$35*BA345</f>
        <v>0</v>
      </c>
    </row>
    <row r="346" spans="2:88" x14ac:dyDescent="0.35">
      <c r="B346" s="480">
        <f>DP!S22</f>
        <v>0</v>
      </c>
      <c r="C346" s="480" t="str">
        <f>DP!T22</f>
        <v>PALMITO RODAJA 400</v>
      </c>
      <c r="D346" s="480">
        <f>DP!U22</f>
        <v>400</v>
      </c>
      <c r="E346" s="480">
        <f>DP!V22</f>
        <v>220</v>
      </c>
      <c r="F346" s="412">
        <f t="shared" si="349"/>
        <v>0</v>
      </c>
      <c r="G346" s="470">
        <f>DP!AG22</f>
        <v>0</v>
      </c>
      <c r="H346" s="98">
        <f t="shared" si="350"/>
        <v>0</v>
      </c>
      <c r="I346" s="97"/>
      <c r="J346" s="102">
        <f t="shared" si="340"/>
        <v>0</v>
      </c>
      <c r="K346" s="98">
        <f t="shared" si="341"/>
        <v>0</v>
      </c>
      <c r="L346" s="93">
        <f t="shared" si="342"/>
        <v>0</v>
      </c>
      <c r="M346" s="99">
        <f t="shared" si="343"/>
        <v>0</v>
      </c>
      <c r="N346" s="100"/>
      <c r="O346" s="102">
        <f>($E346/DP!$P$29)*F346</f>
        <v>0</v>
      </c>
      <c r="P346" s="102">
        <f>IF(O346&gt;0,(DP!$P$31),0*1)</f>
        <v>0</v>
      </c>
      <c r="Q346" s="102">
        <f t="shared" si="351"/>
        <v>0</v>
      </c>
      <c r="R346" s="102">
        <f t="shared" si="352"/>
        <v>0</v>
      </c>
      <c r="S346" s="418">
        <f t="shared" si="353"/>
        <v>0</v>
      </c>
      <c r="T346" s="475">
        <f>H346*DP!$AE$44</f>
        <v>0</v>
      </c>
      <c r="U346" s="475">
        <f>IF(H346&gt;0,DP!$AF$44,0*1)</f>
        <v>0</v>
      </c>
      <c r="V346" s="475">
        <f t="shared" si="354"/>
        <v>0</v>
      </c>
      <c r="W346" s="475">
        <f>H346*DP!$AE$45</f>
        <v>0</v>
      </c>
      <c r="X346" s="475">
        <f>IF(H346&gt;0,DP!$AF$45,0*1)</f>
        <v>0</v>
      </c>
      <c r="Y346" s="475">
        <f t="shared" si="355"/>
        <v>0</v>
      </c>
      <c r="Z346" s="100"/>
      <c r="AA346" s="93">
        <f>IF(D346=DP!$L$15,F346*(1+DP!$P$15),IF(D346=DP!$L$16,F346*(1+DP!$P$16),IF(D346=DP!$L$17,F346*(1+DP!$P$17),IF(D346=DP!$L$18,F346*(1+DP!$P$18),0*1))))</f>
        <v>0</v>
      </c>
      <c r="AB346" s="102">
        <f>IF(D346=DP!$L$22,(DP!$M$22),IF(D346=DP!$L$23,(DP!$M$23),IF(D346=DP!$L$24,(DP!$M$24),IF(D346=DP!$L$25,(DP!$M$25),((0*1))))))</f>
        <v>0</v>
      </c>
      <c r="AC346" s="93">
        <f t="shared" si="356"/>
        <v>0</v>
      </c>
      <c r="AD346" s="93">
        <f>IF(D346=DP!$L$15,F346*(1+DP!$P$15),IF(D346=DP!$L$16,F346*(1+DP!$P$16),IF(D346=DP!$L$17,F346*(1+DP!$P$17),IF(D346=DP!$L$18,F346*(1+DP!$P$18),0*1))))</f>
        <v>0</v>
      </c>
      <c r="AE346" s="102">
        <f>IF(D346=DP!$L$22,(DP!$N$22),IF(D346=DP!$L$23,(DP!$N$23),IF(D346=DP!$L$24,(DP!$N$24),IF(D346=DP!$L$25,(DP!$N$25),((0*1))))))</f>
        <v>0</v>
      </c>
      <c r="AF346" s="93">
        <f t="shared" si="357"/>
        <v>0</v>
      </c>
      <c r="AG346" s="93">
        <f>IF(D346=DP!$L$15,(F346/DP!$K$15)*(1+DP!$P$15),IF(D346=DP!$L$16,(F346/DP!$K$16)*(1+DP!$P$16),IF(D346=DP!$L$17,(F346/DP!$K$17)*(1+DP!$P$17),IF(D346=DP!$L$18,(F346/DP!$K$18)*(1+DP!$P$18),0*1))))</f>
        <v>0</v>
      </c>
      <c r="AH346" s="102">
        <f>IF(D346=DP!$L$22,(DP!$O$22),IF(D346=DP!$L$23,(DP!$O$23),IF(D346=DP!$L$24,(DP!$O$24),IF(D346=DP!$L$25,(DP!$O$25),((0*1))))))</f>
        <v>0</v>
      </c>
      <c r="AI346" s="93">
        <f t="shared" si="358"/>
        <v>0</v>
      </c>
      <c r="AJ346" s="93">
        <f>IF(D346=DP!$L$15,F346*(1+DP!$P$15),IF(D346=DP!$L$16,F346*(1+DP!$P$16),IF(D346=DP!$L$17,F346*(1+DP!$P$17),IF(D346=DP!$L$18,F346*(1+DP!$P$18),0*1))))</f>
        <v>0</v>
      </c>
      <c r="AK346" s="102">
        <f>IF(D346=DP!$L$22,(DP!$P$22),IF(D346=DP!$L$23,(DP!$P$23),IF(D346=DP!$L$24,(DP!$P$24),IF(D346=DP!$L$25,(DP!$P$25),((0*1))))))</f>
        <v>0</v>
      </c>
      <c r="AL346" s="93">
        <f t="shared" si="359"/>
        <v>0</v>
      </c>
      <c r="AM346" s="100"/>
      <c r="AN346" s="149">
        <f t="shared" si="344"/>
        <v>0</v>
      </c>
      <c r="AO346" s="149">
        <f>DP!$N$35*H346</f>
        <v>0</v>
      </c>
      <c r="AP346" s="149">
        <f>DP!$O$35*H346</f>
        <v>0</v>
      </c>
      <c r="AQ346" s="149">
        <f>DP!$P$35*H346</f>
        <v>0</v>
      </c>
      <c r="AV346" s="412" t="str">
        <f>DP!AV22</f>
        <v>PIÑA RODAJA 567</v>
      </c>
      <c r="AW346" s="412">
        <f>DP!AW22</f>
        <v>567</v>
      </c>
      <c r="AX346" s="412">
        <f>DP!AX22</f>
        <v>340</v>
      </c>
      <c r="AY346" s="412">
        <f t="shared" si="360"/>
        <v>324000</v>
      </c>
      <c r="AZ346" s="470">
        <f>DP!BI22</f>
        <v>0.6</v>
      </c>
      <c r="BA346" s="98">
        <f t="shared" si="361"/>
        <v>110160</v>
      </c>
      <c r="BB346" s="97"/>
      <c r="BC346" s="102">
        <f t="shared" si="345"/>
        <v>0.96041166831383962</v>
      </c>
      <c r="BD346" s="98">
        <f t="shared" si="346"/>
        <v>0.83461166831383959</v>
      </c>
      <c r="BE346" s="93">
        <f t="shared" si="347"/>
        <v>311173.38053368405</v>
      </c>
      <c r="BF346" s="99">
        <f t="shared" si="348"/>
        <v>270414.18053368403</v>
      </c>
      <c r="BG346" s="100"/>
      <c r="BH346" s="102">
        <f>IFERROR((BA346*100%)/DP!$AR$29,(0*1))</f>
        <v>244800</v>
      </c>
      <c r="BI346" s="102">
        <f>IF(BH346&gt;0,(DP!$AR$31),0*1)</f>
        <v>0.45</v>
      </c>
      <c r="BJ346" s="435">
        <f t="shared" si="362"/>
        <v>110160</v>
      </c>
      <c r="BK346" s="475">
        <f>BA346*DP!$BG$44</f>
        <v>275.40000000000003</v>
      </c>
      <c r="BL346" s="475">
        <f>IF(BA346&gt;0,DP!$BH$44,0*1)</f>
        <v>0.95</v>
      </c>
      <c r="BM346" s="475">
        <f t="shared" si="363"/>
        <v>261.63</v>
      </c>
      <c r="BN346" s="102">
        <f>BA346*DP!$BG$45</f>
        <v>18286.560000000001</v>
      </c>
      <c r="BO346" s="102">
        <f>IF(BA346&gt;0,DP!$BH$45,0*1)</f>
        <v>0.76919999999999999</v>
      </c>
      <c r="BP346" s="475">
        <f t="shared" si="364"/>
        <v>14066.021952000001</v>
      </c>
      <c r="BQ346" s="100"/>
      <c r="BR346" s="100"/>
      <c r="BS346" s="100"/>
      <c r="BT346" s="93">
        <f>IF(AW346=DP!$AN$15,AY346*(1+DP!$AR$15),IF(AW346=DP!$AN$16,AY346*(1+DP!$AR$16),IF(AW346=DP!$AN$17,AY346*(1+DP!$AR$17),IF(AW346=DP!$AN$18,AY346*(1+DP!$AR$18),0*1))))</f>
        <v>325619.99999999994</v>
      </c>
      <c r="BU346" s="102">
        <f>IF(AW346=DP!$AN$22,(DP!$AO$22),IF(AW346=DP!$AN$23,(DP!$AO$23),IF(AW346=DP!$AN$24,(DP!$AO$24),IF(AW346=DP!$AN$25,(DP!$AO$25),((0*1))))))</f>
        <v>0.23</v>
      </c>
      <c r="BV346" s="93">
        <f t="shared" si="365"/>
        <v>74892.599999999991</v>
      </c>
      <c r="BW346" s="93">
        <f>IF(AW346=DP!$AN$15,AY346*(1+DP!$AR$15),IF(AW346=DP!$AN$16,AY346*(1+DP!$AR$16),IF(AW346=DP!$AN$17,AY346*(1+DP!$AR$17),IF(AW346=DP!$AN$18,AY346*(1+DP!$AR$18),0*1))))</f>
        <v>325619.99999999994</v>
      </c>
      <c r="BX346" s="102">
        <f>IF(AW346=DP!$AN$22,(DP!$AP$22),IF(AW346=DP!$AN$23,(DP!$AP$23),IF(AW346=DP!$AN$24,(DP!$AP$24),IF(AW346=DP!$AN$25,(DP!$AP$25),((0*1))))))</f>
        <v>5.5E-2</v>
      </c>
      <c r="BY346" s="93">
        <f t="shared" si="366"/>
        <v>17909.099999999999</v>
      </c>
      <c r="BZ346" s="93">
        <f>IF(AW346=DP!$AN$15,(AY346/DP!$AM$15)*(1+DP!$AR$15),IF(AW346=DP!$AN$16,(AY346/DP!$AM$16)*(1+DP!$AR$16),IF(AW346=DP!$AN$17,(AY346/DP!$AM$17)*(1+DP!$AR$17),IF(AW346=DP!$AN$18,(AY346/DP!$AM$18)*(1+DP!$AR$18),0*1))))</f>
        <v>13567.499999999998</v>
      </c>
      <c r="CA346" s="102">
        <f>IF(AW346=DP!$AN$22,(DP!$AQ$22),IF(AW346=DP!$AN$23,(DP!$AQ$23),IF(AW346=DP!$AN$24,(DP!$AQ$24),IF(AW346=DP!$AN$25,(DP!$AQ$25),((0*1))))))</f>
        <v>0.51199999999999923</v>
      </c>
      <c r="CB346" s="93">
        <f t="shared" si="367"/>
        <v>6946.5599999999886</v>
      </c>
      <c r="CC346" s="93">
        <f>IF(AW346=DP!$AN$15,AY346*(1+DP!$AR$15),IF(AW346=DP!$AN$16,AY346*(1+DP!$AR$16),IF(AW346=DP!$AN$17,AY346*(1+DP!$AR$17),IF(AW346=DP!$AN$18,AY346*(1+DP!$AR$18),0*1))))</f>
        <v>325619.99999999994</v>
      </c>
      <c r="CD346" s="102">
        <f>IF(AW346=DP!$AN$22,(DP!$AR$22),IF(AW346=DP!$AN$23,(DP!$AR$23),IF(AW346=DP!$AN$24,(DP!$AR$24),IF(AW346=DP!$AN$25,(DP!$AR$25),((0*1))))))</f>
        <v>3.3045977011494254E-2</v>
      </c>
      <c r="CE346" s="93">
        <f t="shared" si="368"/>
        <v>10760.431034482757</v>
      </c>
      <c r="CF346" s="100"/>
      <c r="CG346" s="149">
        <f t="shared" si="369"/>
        <v>35417.837547201292</v>
      </c>
      <c r="CH346" s="149">
        <f>DP!$N$35*BA346</f>
        <v>1582.7586206896553</v>
      </c>
      <c r="CI346" s="149">
        <f>DP!$O$35*BA346</f>
        <v>6014.4827586206902</v>
      </c>
      <c r="CJ346" s="149">
        <f>DP!$P$35*BA346</f>
        <v>40759.199999999997</v>
      </c>
    </row>
    <row r="347" spans="2:88" x14ac:dyDescent="0.35">
      <c r="B347" s="480">
        <f>DP!S23</f>
        <v>0</v>
      </c>
      <c r="C347" s="480" t="str">
        <f>DP!T23</f>
        <v>PALMITO TROZO 400</v>
      </c>
      <c r="D347" s="480">
        <f>DP!U23</f>
        <v>400</v>
      </c>
      <c r="E347" s="480">
        <f>DP!V23</f>
        <v>236</v>
      </c>
      <c r="F347" s="412">
        <f t="shared" si="349"/>
        <v>0</v>
      </c>
      <c r="G347" s="470">
        <f>DP!AG23</f>
        <v>0</v>
      </c>
      <c r="H347" s="98">
        <f t="shared" si="350"/>
        <v>0</v>
      </c>
      <c r="I347" s="97"/>
      <c r="J347" s="102">
        <f t="shared" si="340"/>
        <v>0</v>
      </c>
      <c r="K347" s="98">
        <f t="shared" si="341"/>
        <v>0</v>
      </c>
      <c r="L347" s="93">
        <f t="shared" si="342"/>
        <v>0</v>
      </c>
      <c r="M347" s="99">
        <f t="shared" si="343"/>
        <v>0</v>
      </c>
      <c r="N347" s="100"/>
      <c r="O347" s="102">
        <f>($E347/DP!$P$29)*F347</f>
        <v>0</v>
      </c>
      <c r="P347" s="102">
        <f>IF(O347&gt;0,(DP!$P$31),0*1)</f>
        <v>0</v>
      </c>
      <c r="Q347" s="102">
        <f t="shared" si="351"/>
        <v>0</v>
      </c>
      <c r="R347" s="102">
        <f t="shared" si="352"/>
        <v>0</v>
      </c>
      <c r="S347" s="418">
        <f t="shared" si="353"/>
        <v>0</v>
      </c>
      <c r="T347" s="475">
        <f>H347*DP!$AE$44</f>
        <v>0</v>
      </c>
      <c r="U347" s="475">
        <f>IF(H347&gt;0,DP!$AF$44,0*1)</f>
        <v>0</v>
      </c>
      <c r="V347" s="475">
        <f t="shared" si="354"/>
        <v>0</v>
      </c>
      <c r="W347" s="475">
        <f>H347*DP!$AE$45</f>
        <v>0</v>
      </c>
      <c r="X347" s="475">
        <f>IF(H347&gt;0,DP!$AF$45,0*1)</f>
        <v>0</v>
      </c>
      <c r="Y347" s="475">
        <f t="shared" si="355"/>
        <v>0</v>
      </c>
      <c r="Z347" s="100"/>
      <c r="AA347" s="93">
        <f>IF(D347=DP!$L$15,F347*(1+DP!$P$15),IF(D347=DP!$L$16,F347*(1+DP!$P$16),IF(D347=DP!$L$17,F347*(1+DP!$P$17),IF(D347=DP!$L$18,F347*(1+DP!$P$18),0*1))))</f>
        <v>0</v>
      </c>
      <c r="AB347" s="102">
        <f>IF(D347=DP!$L$22,(DP!$M$22),IF(D347=DP!$L$23,(DP!$M$23),IF(D347=DP!$L$24,(DP!$M$24),IF(D347=DP!$L$25,(DP!$M$25),((0*1))))))</f>
        <v>0</v>
      </c>
      <c r="AC347" s="93">
        <f t="shared" si="356"/>
        <v>0</v>
      </c>
      <c r="AD347" s="93">
        <f>IF(D347=DP!$L$15,F347*(1+DP!$P$15),IF(D347=DP!$L$16,F347*(1+DP!$P$16),IF(D347=DP!$L$17,F347*(1+DP!$P$17),IF(D347=DP!$L$18,F347*(1+DP!$P$18),0*1))))</f>
        <v>0</v>
      </c>
      <c r="AE347" s="102">
        <f>IF(D347=DP!$L$22,(DP!$N$22),IF(D347=DP!$L$23,(DP!$N$23),IF(D347=DP!$L$24,(DP!$N$24),IF(D347=DP!$L$25,(DP!$N$25),((0*1))))))</f>
        <v>0</v>
      </c>
      <c r="AF347" s="93">
        <f t="shared" si="357"/>
        <v>0</v>
      </c>
      <c r="AG347" s="93">
        <f>IF(D347=DP!$L$15,(F347/DP!$K$15)*(1+DP!$P$15),IF(D347=DP!$L$16,(F347/DP!$K$16)*(1+DP!$P$16),IF(D347=DP!$L$17,(F347/DP!$K$17)*(1+DP!$P$17),IF(D347=DP!$L$18,(F347/DP!$K$18)*(1+DP!$P$18),0*1))))</f>
        <v>0</v>
      </c>
      <c r="AH347" s="102">
        <f>IF(D347=DP!$L$22,(DP!$O$22),IF(D347=DP!$L$23,(DP!$O$23),IF(D347=DP!$L$24,(DP!$O$24),IF(D347=DP!$L$25,(DP!$O$25),((0*1))))))</f>
        <v>0</v>
      </c>
      <c r="AI347" s="93">
        <f t="shared" si="358"/>
        <v>0</v>
      </c>
      <c r="AJ347" s="93">
        <f>IF(D347=DP!$L$15,F347*(1+DP!$P$15),IF(D347=DP!$L$16,F347*(1+DP!$P$16),IF(D347=DP!$L$17,F347*(1+DP!$P$17),IF(D347=DP!$L$18,F347*(1+DP!$P$18),0*1))))</f>
        <v>0</v>
      </c>
      <c r="AK347" s="102">
        <f>IF(D347=DP!$L$22,(DP!$P$22),IF(D347=DP!$L$23,(DP!$P$23),IF(D347=DP!$L$24,(DP!$P$24),IF(D347=DP!$L$25,(DP!$P$25),((0*1))))))</f>
        <v>0</v>
      </c>
      <c r="AL347" s="93">
        <f t="shared" si="359"/>
        <v>0</v>
      </c>
      <c r="AM347" s="100"/>
      <c r="AN347" s="149">
        <f t="shared" si="344"/>
        <v>0</v>
      </c>
      <c r="AO347" s="149">
        <f>DP!$N$35*H347</f>
        <v>0</v>
      </c>
      <c r="AP347" s="149">
        <f>DP!$O$35*H347</f>
        <v>0</v>
      </c>
      <c r="AQ347" s="149">
        <f>DP!$P$35*H347</f>
        <v>0</v>
      </c>
      <c r="AV347" s="412" t="str">
        <f>DP!AV23</f>
        <v>PIÑA TROZO 567</v>
      </c>
      <c r="AW347" s="412">
        <f>DP!AW23</f>
        <v>567</v>
      </c>
      <c r="AX347" s="412">
        <f>DP!AX23</f>
        <v>340</v>
      </c>
      <c r="AY347" s="412">
        <f t="shared" si="360"/>
        <v>162000</v>
      </c>
      <c r="AZ347" s="470">
        <f>DP!BI23</f>
        <v>0.3</v>
      </c>
      <c r="BA347" s="98">
        <f t="shared" si="361"/>
        <v>55080</v>
      </c>
      <c r="BB347" s="97"/>
      <c r="BC347" s="102">
        <f t="shared" si="345"/>
        <v>0.96041166831383962</v>
      </c>
      <c r="BD347" s="98">
        <f t="shared" si="346"/>
        <v>0.83461166831383959</v>
      </c>
      <c r="BE347" s="93">
        <f t="shared" si="347"/>
        <v>155586.69026684202</v>
      </c>
      <c r="BF347" s="99">
        <f t="shared" si="348"/>
        <v>135207.09026684202</v>
      </c>
      <c r="BG347" s="100"/>
      <c r="BH347" s="102">
        <f>IFERROR((BA347*100%)/DP!$AR$29,(0*1))</f>
        <v>122400</v>
      </c>
      <c r="BI347" s="102">
        <f>IF(BH347&gt;0,(DP!$AR$31),0*1)</f>
        <v>0.45</v>
      </c>
      <c r="BJ347" s="435">
        <f t="shared" si="362"/>
        <v>55080</v>
      </c>
      <c r="BK347" s="475">
        <f>BA347*DP!$BG$44</f>
        <v>137.70000000000002</v>
      </c>
      <c r="BL347" s="475">
        <f>IF(BA347&gt;0,DP!$BH$44,0*1)</f>
        <v>0.95</v>
      </c>
      <c r="BM347" s="475">
        <f t="shared" si="363"/>
        <v>130.815</v>
      </c>
      <c r="BN347" s="102">
        <f>BA347*DP!$BG$45</f>
        <v>9143.2800000000007</v>
      </c>
      <c r="BO347" s="102">
        <f>IF(BA347&gt;0,DP!$BH$45,0*1)</f>
        <v>0.76919999999999999</v>
      </c>
      <c r="BP347" s="475">
        <f t="shared" si="364"/>
        <v>7033.0109760000005</v>
      </c>
      <c r="BQ347" s="100"/>
      <c r="BR347" s="100"/>
      <c r="BS347" s="100"/>
      <c r="BT347" s="93">
        <f>IF(AW347=DP!$AN$15,AY347*(1+DP!$AR$15),IF(AW347=DP!$AN$16,AY347*(1+DP!$AR$16),IF(AW347=DP!$AN$17,AY347*(1+DP!$AR$17),IF(AW347=DP!$AN$18,AY347*(1+DP!$AR$18),0*1))))</f>
        <v>162809.99999999997</v>
      </c>
      <c r="BU347" s="102">
        <f>IF(AW347=DP!$AN$22,(DP!$AO$22),IF(AW347=DP!$AN$23,(DP!$AO$23),IF(AW347=DP!$AN$24,(DP!$AO$24),IF(AW347=DP!$AN$25,(DP!$AO$25),((0*1))))))</f>
        <v>0.23</v>
      </c>
      <c r="BV347" s="93">
        <f t="shared" si="365"/>
        <v>37446.299999999996</v>
      </c>
      <c r="BW347" s="93">
        <f>IF(AW347=DP!$AN$15,AY347*(1+DP!$AR$15),IF(AW347=DP!$AN$16,AY347*(1+DP!$AR$16),IF(AW347=DP!$AN$17,AY347*(1+DP!$AR$17),IF(AW347=DP!$AN$18,AY347*(1+DP!$AR$18),0*1))))</f>
        <v>162809.99999999997</v>
      </c>
      <c r="BX347" s="102">
        <f>IF(AW347=DP!$AN$22,(DP!$AP$22),IF(AW347=DP!$AN$23,(DP!$AP$23),IF(AW347=DP!$AN$24,(DP!$AP$24),IF(AW347=DP!$AN$25,(DP!$AP$25),((0*1))))))</f>
        <v>5.5E-2</v>
      </c>
      <c r="BY347" s="93">
        <f t="shared" si="366"/>
        <v>8954.5499999999993</v>
      </c>
      <c r="BZ347" s="93">
        <f>IF(AW347=DP!$AN$15,(AY347/DP!$AM$15)*(1+DP!$AR$15),IF(AW347=DP!$AN$16,(AY347/DP!$AM$16)*(1+DP!$AR$16),IF(AW347=DP!$AN$17,(AY347/DP!$AM$17)*(1+DP!$AR$17),IF(AW347=DP!$AN$18,(AY347/DP!$AM$18)*(1+DP!$AR$18),0*1))))</f>
        <v>6783.7499999999991</v>
      </c>
      <c r="CA347" s="102">
        <f>IF(AW347=DP!$AN$22,(DP!$AQ$22),IF(AW347=DP!$AN$23,(DP!$AQ$23),IF(AW347=DP!$AN$24,(DP!$AQ$24),IF(AW347=DP!$AN$25,(DP!$AQ$25),((0*1))))))</f>
        <v>0.51199999999999923</v>
      </c>
      <c r="CB347" s="93">
        <f t="shared" si="367"/>
        <v>3473.2799999999943</v>
      </c>
      <c r="CC347" s="93">
        <f>IF(AW347=DP!$AN$15,AY347*(1+DP!$AR$15),IF(AW347=DP!$AN$16,AY347*(1+DP!$AR$16),IF(AW347=DP!$AN$17,AY347*(1+DP!$AR$17),IF(AW347=DP!$AN$18,AY347*(1+DP!$AR$18),0*1))))</f>
        <v>162809.99999999997</v>
      </c>
      <c r="CD347" s="102">
        <f>IF(AW347=DP!$AN$22,(DP!$AR$22),IF(AW347=DP!$AN$23,(DP!$AR$23),IF(AW347=DP!$AN$24,(DP!$AR$24),IF(AW347=DP!$AN$25,(DP!$AR$25),((0*1))))))</f>
        <v>3.3045977011494254E-2</v>
      </c>
      <c r="CE347" s="93">
        <f t="shared" si="368"/>
        <v>5380.2155172413786</v>
      </c>
      <c r="CF347" s="100"/>
      <c r="CG347" s="149">
        <f t="shared" si="369"/>
        <v>17708.918773600646</v>
      </c>
      <c r="CH347" s="149">
        <f>DP!$N$35*BA347</f>
        <v>791.37931034482767</v>
      </c>
      <c r="CI347" s="149">
        <f>DP!$O$35*BA347</f>
        <v>3007.2413793103451</v>
      </c>
      <c r="CJ347" s="149">
        <f>DP!$P$35*BA347</f>
        <v>20379.599999999999</v>
      </c>
    </row>
    <row r="348" spans="2:88" x14ac:dyDescent="0.35">
      <c r="B348" s="480">
        <f>DP!S24</f>
        <v>0</v>
      </c>
      <c r="C348" s="480" t="str">
        <f>DP!T24</f>
        <v>PALMITO TROZO  A-10</v>
      </c>
      <c r="D348" s="480">
        <f>DP!U24</f>
        <v>2920</v>
      </c>
      <c r="E348" s="480">
        <f>DP!V24</f>
        <v>1825</v>
      </c>
      <c r="F348" s="412">
        <f t="shared" si="349"/>
        <v>0</v>
      </c>
      <c r="G348" s="470">
        <f>DP!AG24</f>
        <v>0</v>
      </c>
      <c r="H348" s="98">
        <f t="shared" si="350"/>
        <v>0</v>
      </c>
      <c r="I348" s="97"/>
      <c r="J348" s="102">
        <f t="shared" si="340"/>
        <v>0</v>
      </c>
      <c r="K348" s="98">
        <f t="shared" si="341"/>
        <v>0</v>
      </c>
      <c r="L348" s="93">
        <f t="shared" si="342"/>
        <v>0</v>
      </c>
      <c r="M348" s="99">
        <f t="shared" si="343"/>
        <v>0</v>
      </c>
      <c r="N348" s="100"/>
      <c r="O348" s="102">
        <f>($E348/DP!$P$29)*F348</f>
        <v>0</v>
      </c>
      <c r="P348" s="102">
        <f>IF(O348&gt;0,(DP!$P$31),0*1)</f>
        <v>0</v>
      </c>
      <c r="Q348" s="102">
        <f t="shared" si="351"/>
        <v>0</v>
      </c>
      <c r="R348" s="102">
        <f t="shared" si="352"/>
        <v>0</v>
      </c>
      <c r="S348" s="418">
        <f t="shared" si="353"/>
        <v>0</v>
      </c>
      <c r="T348" s="475">
        <f>H348*DP!$AE$44</f>
        <v>0</v>
      </c>
      <c r="U348" s="475">
        <f>IF(H348&gt;0,DP!$AF$44,0*1)</f>
        <v>0</v>
      </c>
      <c r="V348" s="475">
        <f t="shared" si="354"/>
        <v>0</v>
      </c>
      <c r="W348" s="475">
        <f>H348*DP!$AE$45</f>
        <v>0</v>
      </c>
      <c r="X348" s="475">
        <f>IF(H348&gt;0,DP!$AF$45,0*1)</f>
        <v>0</v>
      </c>
      <c r="Y348" s="475">
        <f t="shared" si="355"/>
        <v>0</v>
      </c>
      <c r="Z348" s="100"/>
      <c r="AA348" s="93">
        <f>IF(D348=DP!$L$15,F348*(1+DP!$P$15),IF(D348=DP!$L$16,F348*(1+DP!$P$16),IF(D348=DP!$L$17,F348*(1+DP!$P$17),IF(D348=DP!$L$18,F348*(1+DP!$P$18),0*1))))</f>
        <v>0</v>
      </c>
      <c r="AB348" s="102">
        <f>IF(D348=DP!$L$22,(DP!$M$22),IF(D348=DP!$L$23,(DP!$M$23),IF(D348=DP!$L$24,(DP!$M$24),IF(D348=DP!$L$25,(DP!$M$25),((0*1))))))</f>
        <v>0</v>
      </c>
      <c r="AC348" s="93">
        <f t="shared" si="356"/>
        <v>0</v>
      </c>
      <c r="AD348" s="93">
        <f>IF(D348=DP!$L$15,F348*(1+DP!$P$15),IF(D348=DP!$L$16,F348*(1+DP!$P$16),IF(D348=DP!$L$17,F348*(1+DP!$P$17),IF(D348=DP!$L$18,F348*(1+DP!$P$18),0*1))))</f>
        <v>0</v>
      </c>
      <c r="AE348" s="102">
        <f>IF(D348=DP!$L$22,(DP!$N$22),IF(D348=DP!$L$23,(DP!$N$23),IF(D348=DP!$L$24,(DP!$N$24),IF(D348=DP!$L$25,(DP!$N$25),((0*1))))))</f>
        <v>0</v>
      </c>
      <c r="AF348" s="93">
        <f t="shared" si="357"/>
        <v>0</v>
      </c>
      <c r="AG348" s="93">
        <f>IF(D348=DP!$L$15,(F348/DP!$K$15)*(1+DP!$P$15),IF(D348=DP!$L$16,(F348/DP!$K$16)*(1+DP!$P$16),IF(D348=DP!$L$17,(F348/DP!$K$17)*(1+DP!$P$17),IF(D348=DP!$L$18,(F348/DP!$K$18)*(1+DP!$P$18),0*1))))</f>
        <v>0</v>
      </c>
      <c r="AH348" s="102">
        <f>IF(D348=DP!$L$22,(DP!$O$22),IF(D348=DP!$L$23,(DP!$O$23),IF(D348=DP!$L$24,(DP!$O$24),IF(D348=DP!$L$25,(DP!$O$25),((0*1))))))</f>
        <v>0</v>
      </c>
      <c r="AI348" s="93">
        <f t="shared" si="358"/>
        <v>0</v>
      </c>
      <c r="AJ348" s="93">
        <f>IF(D348=DP!$L$15,F348*(1+DP!$P$15),IF(D348=DP!$L$16,F348*(1+DP!$P$16),IF(D348=DP!$L$17,F348*(1+DP!$P$17),IF(D348=DP!$L$18,F348*(1+DP!$P$18),0*1))))</f>
        <v>0</v>
      </c>
      <c r="AK348" s="102">
        <f>IF(D348=DP!$L$22,(DP!$P$22),IF(D348=DP!$L$23,(DP!$P$23),IF(D348=DP!$L$24,(DP!$P$24),IF(D348=DP!$L$25,(DP!$P$25),((0*1))))))</f>
        <v>0</v>
      </c>
      <c r="AL348" s="93">
        <f t="shared" si="359"/>
        <v>0</v>
      </c>
      <c r="AM348" s="100"/>
      <c r="AN348" s="149">
        <f t="shared" si="344"/>
        <v>0</v>
      </c>
      <c r="AO348" s="149">
        <f>DP!$N$35*H348</f>
        <v>0</v>
      </c>
      <c r="AP348" s="149">
        <f>DP!$O$35*H348</f>
        <v>0</v>
      </c>
      <c r="AQ348" s="149">
        <f>DP!$P$35*H348</f>
        <v>0</v>
      </c>
      <c r="AV348" s="412" t="str">
        <f>DP!AV24</f>
        <v>PIÑA RODAJA 822</v>
      </c>
      <c r="AW348" s="412">
        <f>DP!AW24</f>
        <v>822</v>
      </c>
      <c r="AX348" s="412">
        <f>DP!AX24</f>
        <v>500</v>
      </c>
      <c r="AY348" s="412">
        <f t="shared" si="360"/>
        <v>36720</v>
      </c>
      <c r="AZ348" s="470">
        <f>DP!BI24</f>
        <v>0.1</v>
      </c>
      <c r="BA348" s="98">
        <f t="shared" si="361"/>
        <v>18360</v>
      </c>
      <c r="BB348" s="97"/>
      <c r="BC348" s="102">
        <f t="shared" si="345"/>
        <v>1.2984286501572693</v>
      </c>
      <c r="BD348" s="98">
        <f t="shared" si="346"/>
        <v>1.1134286501572692</v>
      </c>
      <c r="BE348" s="93">
        <f t="shared" si="347"/>
        <v>47678.300033774925</v>
      </c>
      <c r="BF348" s="99">
        <f t="shared" si="348"/>
        <v>40885.100033774928</v>
      </c>
      <c r="BG348" s="100"/>
      <c r="BH348" s="102">
        <f>IFERROR((BA348*100%)/DP!$AR$29,(0*1))</f>
        <v>40800</v>
      </c>
      <c r="BI348" s="102">
        <f>IF(BH348&gt;0,(DP!$AR$31),0*1)</f>
        <v>0.45</v>
      </c>
      <c r="BJ348" s="435">
        <f t="shared" si="362"/>
        <v>18360</v>
      </c>
      <c r="BK348" s="475">
        <f>BA348*DP!$BG$44</f>
        <v>45.9</v>
      </c>
      <c r="BL348" s="475">
        <f>IF(BA348&gt;0,DP!$BH$44,0*1)</f>
        <v>0.95</v>
      </c>
      <c r="BM348" s="475">
        <f t="shared" si="363"/>
        <v>43.604999999999997</v>
      </c>
      <c r="BN348" s="102">
        <f>BA348*DP!$BG$45</f>
        <v>3047.76</v>
      </c>
      <c r="BO348" s="102">
        <f>IF(BA348&gt;0,DP!$BH$45,0*1)</f>
        <v>0.76919999999999999</v>
      </c>
      <c r="BP348" s="475">
        <f t="shared" si="364"/>
        <v>2344.336992</v>
      </c>
      <c r="BQ348" s="100"/>
      <c r="BR348" s="100"/>
      <c r="BS348" s="100"/>
      <c r="BT348" s="93">
        <f>IF(AW348=DP!$AN$15,AY348*(1+DP!$AR$15),IF(AW348=DP!$AN$16,AY348*(1+DP!$AR$16),IF(AW348=DP!$AN$17,AY348*(1+DP!$AR$17),IF(AW348=DP!$AN$18,AY348*(1+DP!$AR$18),0*1))))</f>
        <v>36903.599999999999</v>
      </c>
      <c r="BU348" s="102">
        <f>IF(AW348=DP!$AN$22,(DP!$AO$22),IF(AW348=DP!$AN$23,(DP!$AO$23),IF(AW348=DP!$AN$24,(DP!$AO$24),IF(AW348=DP!$AN$25,(DP!$AO$25),((0*1))))))</f>
        <v>0.24</v>
      </c>
      <c r="BV348" s="93">
        <f t="shared" si="365"/>
        <v>8856.8639999999996</v>
      </c>
      <c r="BW348" s="93">
        <f>IF(AW348=DP!$AN$15,AY348*(1+DP!$AR$15),IF(AW348=DP!$AN$16,AY348*(1+DP!$AR$16),IF(AW348=DP!$AN$17,AY348*(1+DP!$AR$17),IF(AW348=DP!$AN$18,AY348*(1+DP!$AR$18),0*1))))</f>
        <v>36903.599999999999</v>
      </c>
      <c r="BX348" s="102">
        <f>IF(AW348=DP!$AN$22,(DP!$AP$22),IF(AW348=DP!$AN$23,(DP!$AP$23),IF(AW348=DP!$AN$24,(DP!$AP$24),IF(AW348=DP!$AN$25,(DP!$AP$25),((0*1))))))</f>
        <v>7.0000000000000007E-2</v>
      </c>
      <c r="BY348" s="93">
        <f t="shared" si="366"/>
        <v>2583.252</v>
      </c>
      <c r="BZ348" s="93">
        <f>IF(AW348=DP!$AN$15,(AY348/DP!$AM$15)*(1+DP!$AR$15),IF(AW348=DP!$AN$16,(AY348/DP!$AM$16)*(1+DP!$AR$16),IF(AW348=DP!$AN$17,(AY348/DP!$AM$17)*(1+DP!$AR$17),IF(AW348=DP!$AN$18,(AY348/DP!$AM$18)*(1+DP!$AR$18),0*1))))</f>
        <v>3075.2999999999997</v>
      </c>
      <c r="CA348" s="102">
        <f>IF(AW348=DP!$AN$22,(DP!$AQ$22),IF(AW348=DP!$AN$23,(DP!$AQ$23),IF(AW348=DP!$AN$24,(DP!$AQ$24),IF(AW348=DP!$AN$25,(DP!$AQ$25),((0*1))))))</f>
        <v>0.51200000000000045</v>
      </c>
      <c r="CB348" s="93">
        <f t="shared" si="367"/>
        <v>1574.5536000000013</v>
      </c>
      <c r="CC348" s="93">
        <f>IF(AW348=DP!$AN$15,AY348*(1+DP!$AR$15),IF(AW348=DP!$AN$16,AY348*(1+DP!$AR$16),IF(AW348=DP!$AN$17,AY348*(1+DP!$AR$17),IF(AW348=DP!$AN$18,AY348*(1+DP!$AR$18),0*1))))</f>
        <v>36903.599999999999</v>
      </c>
      <c r="CD348" s="102">
        <f>IF(AW348=DP!$AN$22,(DP!$AR$22),IF(AW348=DP!$AN$23,(DP!$AR$23),IF(AW348=DP!$AN$24,(DP!$AR$24),IF(AW348=DP!$AN$25,(DP!$AR$25),((0*1))))))</f>
        <v>3.3045977011494254E-2</v>
      </c>
      <c r="CE348" s="93">
        <f t="shared" si="368"/>
        <v>1219.5155172413793</v>
      </c>
      <c r="CF348" s="100"/>
      <c r="CG348" s="149">
        <f t="shared" si="369"/>
        <v>5902.9729245335484</v>
      </c>
      <c r="CH348" s="149">
        <f>DP!$N$35*BA348</f>
        <v>263.79310344827587</v>
      </c>
      <c r="CI348" s="149">
        <f>DP!$O$35*BA348</f>
        <v>1002.4137931034484</v>
      </c>
      <c r="CJ348" s="149">
        <f>DP!$P$35*BA348</f>
        <v>6793.2</v>
      </c>
    </row>
    <row r="349" spans="2:88" x14ac:dyDescent="0.35">
      <c r="B349" s="480">
        <f>DP!S25</f>
        <v>0</v>
      </c>
      <c r="C349" s="480" t="str">
        <f>DP!T25</f>
        <v>PALMITO RODAJA  A-10</v>
      </c>
      <c r="D349" s="480">
        <f>DP!U25</f>
        <v>2920</v>
      </c>
      <c r="E349" s="480">
        <f>DP!V25</f>
        <v>1825</v>
      </c>
      <c r="F349" s="412">
        <f t="shared" si="349"/>
        <v>0</v>
      </c>
      <c r="G349" s="470">
        <f>DP!AG25</f>
        <v>0</v>
      </c>
      <c r="H349" s="98">
        <f t="shared" si="350"/>
        <v>0</v>
      </c>
      <c r="I349" s="97"/>
      <c r="J349" s="102">
        <f t="shared" si="340"/>
        <v>0</v>
      </c>
      <c r="K349" s="98">
        <f t="shared" si="341"/>
        <v>0</v>
      </c>
      <c r="L349" s="93">
        <f t="shared" si="342"/>
        <v>0</v>
      </c>
      <c r="M349" s="99">
        <f t="shared" si="343"/>
        <v>0</v>
      </c>
      <c r="N349" s="100"/>
      <c r="O349" s="102">
        <f>($E349/DP!$P$29)*F349</f>
        <v>0</v>
      </c>
      <c r="P349" s="102">
        <f>IF(O349&gt;0,(DP!$P$31),0*1)</f>
        <v>0</v>
      </c>
      <c r="Q349" s="102">
        <f t="shared" si="351"/>
        <v>0</v>
      </c>
      <c r="R349" s="102">
        <f t="shared" si="352"/>
        <v>0</v>
      </c>
      <c r="S349" s="418">
        <f t="shared" si="353"/>
        <v>0</v>
      </c>
      <c r="T349" s="475">
        <f>H349*DP!$AE$44</f>
        <v>0</v>
      </c>
      <c r="U349" s="475">
        <f>IF(H349&gt;0,DP!$AF$44,0*1)</f>
        <v>0</v>
      </c>
      <c r="V349" s="475">
        <f t="shared" si="354"/>
        <v>0</v>
      </c>
      <c r="W349" s="475">
        <f>H349*DP!$AE$45</f>
        <v>0</v>
      </c>
      <c r="X349" s="475">
        <f>IF(H349&gt;0,DP!$AF$45,0*1)</f>
        <v>0</v>
      </c>
      <c r="Y349" s="475">
        <f t="shared" si="355"/>
        <v>0</v>
      </c>
      <c r="Z349" s="100"/>
      <c r="AA349" s="93">
        <f>IF(D349=DP!$L$15,F349*(1+DP!$P$15),IF(D349=DP!$L$16,F349*(1+DP!$P$16),IF(D349=DP!$L$17,F349*(1+DP!$P$17),IF(D349=DP!$L$18,F349*(1+DP!$P$18),0*1))))</f>
        <v>0</v>
      </c>
      <c r="AB349" s="102">
        <f>IF(D349=DP!$L$22,(DP!$M$22),IF(D349=DP!$L$23,(DP!$M$23),IF(D349=DP!$L$24,(DP!$M$24),IF(D349=DP!$L$25,(DP!$M$25),((0*1))))))</f>
        <v>0</v>
      </c>
      <c r="AC349" s="93">
        <f t="shared" si="356"/>
        <v>0</v>
      </c>
      <c r="AD349" s="93">
        <f>IF(D349=DP!$L$15,F349*(1+DP!$P$15),IF(D349=DP!$L$16,F349*(1+DP!$P$16),IF(D349=DP!$L$17,F349*(1+DP!$P$17),IF(D349=DP!$L$18,F349*(1+DP!$P$18),0*1))))</f>
        <v>0</v>
      </c>
      <c r="AE349" s="102">
        <f>IF(D349=DP!$L$22,(DP!$N$22),IF(D349=DP!$L$23,(DP!$N$23),IF(D349=DP!$L$24,(DP!$N$24),IF(D349=DP!$L$25,(DP!$N$25),((0*1))))))</f>
        <v>0</v>
      </c>
      <c r="AF349" s="93">
        <f t="shared" si="357"/>
        <v>0</v>
      </c>
      <c r="AG349" s="93">
        <f>IF(D349=DP!$L$15,(F349/DP!$K$15)*(1+DP!$P$15),IF(D349=DP!$L$16,(F349/DP!$K$16)*(1+DP!$P$16),IF(D349=DP!$L$17,(F349/DP!$K$17)*(1+DP!$P$17),IF(D349=DP!$L$18,(F349/DP!$K$18)*(1+DP!$P$18),0*1))))</f>
        <v>0</v>
      </c>
      <c r="AH349" s="102">
        <f>IF(D349=DP!$L$22,(DP!$O$22),IF(D349=DP!$L$23,(DP!$O$23),IF(D349=DP!$L$24,(DP!$O$24),IF(D349=DP!$L$25,(DP!$O$25),((0*1))))))</f>
        <v>0</v>
      </c>
      <c r="AI349" s="93">
        <f t="shared" si="358"/>
        <v>0</v>
      </c>
      <c r="AJ349" s="93">
        <f>IF(D349=DP!$L$15,F349*(1+DP!$P$15),IF(D349=DP!$L$16,F349*(1+DP!$P$16),IF(D349=DP!$L$17,F349*(1+DP!$P$17),IF(D349=DP!$L$18,F349*(1+DP!$P$18),0*1))))</f>
        <v>0</v>
      </c>
      <c r="AK349" s="102">
        <f>IF(D349=DP!$L$22,(DP!$P$22),IF(D349=DP!$L$23,(DP!$P$23),IF(D349=DP!$L$24,(DP!$P$24),IF(D349=DP!$L$25,(DP!$P$25),((0*1))))))</f>
        <v>0</v>
      </c>
      <c r="AL349" s="93">
        <f t="shared" si="359"/>
        <v>0</v>
      </c>
      <c r="AM349" s="100"/>
      <c r="AN349" s="149">
        <f t="shared" si="344"/>
        <v>0</v>
      </c>
      <c r="AO349" s="149">
        <f>DP!$N$35*H349</f>
        <v>0</v>
      </c>
      <c r="AP349" s="149">
        <f>DP!$O$35*H349</f>
        <v>0</v>
      </c>
      <c r="AQ349" s="149">
        <f>DP!$P$35*H349</f>
        <v>0</v>
      </c>
      <c r="AV349" s="412" t="str">
        <f>DP!AV25</f>
        <v>PIÑA TROZO 822</v>
      </c>
      <c r="AW349" s="412">
        <f>DP!AW25</f>
        <v>822</v>
      </c>
      <c r="AX349" s="412">
        <f>DP!AX25</f>
        <v>500</v>
      </c>
      <c r="AY349" s="412">
        <f t="shared" si="360"/>
        <v>0</v>
      </c>
      <c r="AZ349" s="470">
        <f>DP!BI25</f>
        <v>0</v>
      </c>
      <c r="BA349" s="98">
        <f t="shared" si="361"/>
        <v>0</v>
      </c>
      <c r="BB349" s="97"/>
      <c r="BC349" s="102">
        <f t="shared" si="345"/>
        <v>0</v>
      </c>
      <c r="BD349" s="98">
        <f t="shared" si="346"/>
        <v>0</v>
      </c>
      <c r="BE349" s="93">
        <f t="shared" si="347"/>
        <v>0</v>
      </c>
      <c r="BF349" s="99">
        <f t="shared" si="348"/>
        <v>0</v>
      </c>
      <c r="BG349" s="100"/>
      <c r="BH349" s="102">
        <f>IFERROR((BA349*100%)/DP!$AR$29,(0*1))</f>
        <v>0</v>
      </c>
      <c r="BI349" s="102">
        <f>IF(BH349&gt;0,(DP!$AR$31),0*1)</f>
        <v>0</v>
      </c>
      <c r="BJ349" s="435">
        <f t="shared" si="362"/>
        <v>0</v>
      </c>
      <c r="BK349" s="475">
        <f>BA349*DP!$BG$44</f>
        <v>0</v>
      </c>
      <c r="BL349" s="475">
        <f>IF(BA349&gt;0,DP!$BH$44,0*1)</f>
        <v>0</v>
      </c>
      <c r="BM349" s="475">
        <f t="shared" si="363"/>
        <v>0</v>
      </c>
      <c r="BN349" s="102">
        <f>BA349*DP!$BG$45</f>
        <v>0</v>
      </c>
      <c r="BO349" s="102">
        <f>IF(BA349&gt;0,DP!$BH$45,0*1)</f>
        <v>0</v>
      </c>
      <c r="BP349" s="475">
        <f t="shared" si="364"/>
        <v>0</v>
      </c>
      <c r="BQ349" s="100"/>
      <c r="BR349" s="100"/>
      <c r="BS349" s="100"/>
      <c r="BT349" s="93">
        <f>IF(AW349=DP!$AN$15,AY349*(1+DP!$AR$15),IF(AW349=DP!$AN$16,AY349*(1+DP!$AR$16),IF(AW349=DP!$AN$17,AY349*(1+DP!$AR$17),IF(AW349=DP!$AN$18,AY349*(1+DP!$AR$18),0*1))))</f>
        <v>0</v>
      </c>
      <c r="BU349" s="102">
        <f>IF(AW349=DP!$AN$22,(DP!$AO$22),IF(AW349=DP!$AN$23,(DP!$AO$23),IF(AW349=DP!$AN$24,(DP!$AO$24),IF(AW349=DP!$AN$25,(DP!$AO$25),((0*1))))))</f>
        <v>0.24</v>
      </c>
      <c r="BV349" s="93">
        <f t="shared" si="365"/>
        <v>0</v>
      </c>
      <c r="BW349" s="93">
        <f>IF(AW349=DP!$AN$15,AY349*(1+DP!$AR$15),IF(AW349=DP!$AN$16,AY349*(1+DP!$AR$16),IF(AW349=DP!$AN$17,AY349*(1+DP!$AR$17),IF(AW349=DP!$AN$18,AY349*(1+DP!$AR$18),0*1))))</f>
        <v>0</v>
      </c>
      <c r="BX349" s="102">
        <f>IF(AW349=DP!$AN$22,(DP!$AP$22),IF(AW349=DP!$AN$23,(DP!$AP$23),IF(AW349=DP!$AN$24,(DP!$AP$24),IF(AW349=DP!$AN$25,(DP!$AP$25),((0*1))))))</f>
        <v>7.0000000000000007E-2</v>
      </c>
      <c r="BY349" s="93">
        <f t="shared" si="366"/>
        <v>0</v>
      </c>
      <c r="BZ349" s="93">
        <f>IF(AW349=DP!$AN$15,(AY349/DP!$AM$15)*(1+DP!$AR$15),IF(AW349=DP!$AN$16,(AY349/DP!$AM$16)*(1+DP!$AR$16),IF(AW349=DP!$AN$17,(AY349/DP!$AM$17)*(1+DP!$AR$17),IF(AW349=DP!$AN$18,(AY349/DP!$AM$18)*(1+DP!$AR$18),0*1))))</f>
        <v>0</v>
      </c>
      <c r="CA349" s="102">
        <f>IF(AW349=DP!$AN$22,(DP!$AQ$22),IF(AW349=DP!$AN$23,(DP!$AQ$23),IF(AW349=DP!$AN$24,(DP!$AQ$24),IF(AW349=DP!$AN$25,(DP!$AQ$25),((0*1))))))</f>
        <v>0.51200000000000045</v>
      </c>
      <c r="CB349" s="93">
        <f t="shared" si="367"/>
        <v>0</v>
      </c>
      <c r="CC349" s="93">
        <f>IF(AW349=DP!$AN$15,AY349*(1+DP!$AR$15),IF(AW349=DP!$AN$16,AY349*(1+DP!$AR$16),IF(AW349=DP!$AN$17,AY349*(1+DP!$AR$17),IF(AW349=DP!$AN$18,AY349*(1+DP!$AR$18),0*1))))</f>
        <v>0</v>
      </c>
      <c r="CD349" s="102">
        <f>IF(AW349=DP!$AN$22,(DP!$AR$22),IF(AW349=DP!$AN$23,(DP!$AR$23),IF(AW349=DP!$AN$24,(DP!$AR$24),IF(AW349=DP!$AN$25,(DP!$AR$25),((0*1))))))</f>
        <v>3.3045977011494254E-2</v>
      </c>
      <c r="CE349" s="93">
        <f t="shared" si="368"/>
        <v>0</v>
      </c>
      <c r="CF349" s="100"/>
      <c r="CG349" s="149">
        <f t="shared" si="369"/>
        <v>0</v>
      </c>
      <c r="CH349" s="149">
        <f>DP!$N$35*BA349</f>
        <v>0</v>
      </c>
      <c r="CI349" s="149">
        <f>DP!$O$35*BA349</f>
        <v>0</v>
      </c>
      <c r="CJ349" s="149">
        <f>DP!$P$35*BA349</f>
        <v>0</v>
      </c>
    </row>
    <row r="350" spans="2:88" x14ac:dyDescent="0.35">
      <c r="B350" s="480">
        <f>DP!S26</f>
        <v>0</v>
      </c>
      <c r="C350" s="480">
        <f>DP!T26</f>
        <v>0</v>
      </c>
      <c r="D350" s="480">
        <f>DP!U26</f>
        <v>0</v>
      </c>
      <c r="E350" s="480">
        <f>DP!V26</f>
        <v>0</v>
      </c>
      <c r="F350" s="412">
        <f t="shared" si="349"/>
        <v>0</v>
      </c>
      <c r="G350" s="470">
        <f>DP!AG26</f>
        <v>0</v>
      </c>
      <c r="H350" s="98">
        <f t="shared" si="350"/>
        <v>0</v>
      </c>
      <c r="I350" s="97"/>
      <c r="J350" s="102">
        <f t="shared" si="340"/>
        <v>0</v>
      </c>
      <c r="K350" s="98">
        <f t="shared" si="341"/>
        <v>0</v>
      </c>
      <c r="L350" s="93">
        <f t="shared" si="342"/>
        <v>0</v>
      </c>
      <c r="M350" s="99">
        <f t="shared" si="343"/>
        <v>0</v>
      </c>
      <c r="N350" s="100"/>
      <c r="O350" s="102">
        <f>($E350/DP!$P$29)*F350</f>
        <v>0</v>
      </c>
      <c r="P350" s="102">
        <f>IF(O350&gt;0,(DP!$P$31),0*1)</f>
        <v>0</v>
      </c>
      <c r="Q350" s="102">
        <f t="shared" si="351"/>
        <v>0</v>
      </c>
      <c r="R350" s="102">
        <f t="shared" si="352"/>
        <v>0</v>
      </c>
      <c r="S350" s="418">
        <f t="shared" si="353"/>
        <v>0</v>
      </c>
      <c r="T350" s="475">
        <f>H350*DP!$AE$44</f>
        <v>0</v>
      </c>
      <c r="U350" s="475">
        <f>IF(H350&gt;0,DP!$AF$44,0*1)</f>
        <v>0</v>
      </c>
      <c r="V350" s="475">
        <f t="shared" si="354"/>
        <v>0</v>
      </c>
      <c r="W350" s="475">
        <f>H350*DP!$AE$45</f>
        <v>0</v>
      </c>
      <c r="X350" s="475">
        <f>IF(H350&gt;0,DP!$AF$45,0*1)</f>
        <v>0</v>
      </c>
      <c r="Y350" s="475">
        <f t="shared" si="355"/>
        <v>0</v>
      </c>
      <c r="Z350" s="100"/>
      <c r="AA350" s="93">
        <f>IF(D350=DP!$L$15,F350*(1+DP!$P$15),IF(D350=DP!$L$16,F350*(1+DP!$P$16),IF(D350=DP!$L$17,F350*(1+DP!$P$17),IF(D350=DP!$L$18,F350*(1+DP!$P$18),0*1))))</f>
        <v>0</v>
      </c>
      <c r="AB350" s="102">
        <f>IF(D350=DP!$L$22,(DP!$M$22),IF(D350=DP!$L$23,(DP!$M$23),IF(D350=DP!$L$24,(DP!$M$24),IF(D350=DP!$L$25,(DP!$M$25),((0*1))))))</f>
        <v>0</v>
      </c>
      <c r="AC350" s="93">
        <f t="shared" si="356"/>
        <v>0</v>
      </c>
      <c r="AD350" s="93">
        <f>IF(D350=DP!$L$15,F350*(1+DP!$P$15),IF(D350=DP!$L$16,F350*(1+DP!$P$16),IF(D350=DP!$L$17,F350*(1+DP!$P$17),IF(D350=DP!$L$18,F350*(1+DP!$P$18),0*1))))</f>
        <v>0</v>
      </c>
      <c r="AE350" s="102">
        <f>IF(D350=DP!$L$22,(DP!$N$22),IF(D350=DP!$L$23,(DP!$N$23),IF(D350=DP!$L$24,(DP!$N$24),IF(D350=DP!$L$25,(DP!$N$25),((0*1))))))</f>
        <v>0</v>
      </c>
      <c r="AF350" s="93">
        <f t="shared" si="357"/>
        <v>0</v>
      </c>
      <c r="AG350" s="93">
        <f>IF(D350=DP!$L$15,(F350/DP!$K$15)*(1+DP!$P$15),IF(D350=DP!$L$16,(F350/DP!$K$16)*(1+DP!$P$16),IF(D350=DP!$L$17,(F350/DP!$K$17)*(1+DP!$P$17),IF(D350=DP!$L$18,(F350/DP!$K$18)*(1+DP!$P$18),0*1))))</f>
        <v>0</v>
      </c>
      <c r="AH350" s="102">
        <f>IF(D350=DP!$L$22,(DP!$O$22),IF(D350=DP!$L$23,(DP!$O$23),IF(D350=DP!$L$24,(DP!$O$24),IF(D350=DP!$L$25,(DP!$O$25),((0*1))))))</f>
        <v>0</v>
      </c>
      <c r="AI350" s="93">
        <f t="shared" si="358"/>
        <v>0</v>
      </c>
      <c r="AJ350" s="93">
        <f>IF(D350=DP!$L$15,F350*(1+DP!$P$15),IF(D350=DP!$L$16,F350*(1+DP!$P$16),IF(D350=DP!$L$17,F350*(1+DP!$P$17),IF(D350=DP!$L$18,F350*(1+DP!$P$18),0*1))))</f>
        <v>0</v>
      </c>
      <c r="AK350" s="102">
        <f>IF(D350=DP!$L$22,(DP!$P$22),IF(D350=DP!$L$23,(DP!$P$23),IF(D350=DP!$L$24,(DP!$P$24),IF(D350=DP!$L$25,(DP!$P$25),((0*1))))))</f>
        <v>0</v>
      </c>
      <c r="AL350" s="93">
        <f t="shared" si="359"/>
        <v>0</v>
      </c>
      <c r="AM350" s="100"/>
      <c r="AN350" s="149">
        <f t="shared" si="344"/>
        <v>0</v>
      </c>
      <c r="AO350" s="149">
        <f>DP!$N$35*H350</f>
        <v>0</v>
      </c>
      <c r="AP350" s="149">
        <f>DP!$O$35*H350</f>
        <v>0</v>
      </c>
      <c r="AQ350" s="149">
        <f>DP!$P$35*H350</f>
        <v>0</v>
      </c>
      <c r="AV350" s="412">
        <f>DP!AV26</f>
        <v>0</v>
      </c>
      <c r="AW350" s="412">
        <f>DP!AW26</f>
        <v>0</v>
      </c>
      <c r="AX350" s="412">
        <f>DP!AX26</f>
        <v>0</v>
      </c>
      <c r="AY350" s="412">
        <f t="shared" si="360"/>
        <v>0</v>
      </c>
      <c r="AZ350" s="470">
        <f>DP!BI26</f>
        <v>0</v>
      </c>
      <c r="BA350" s="98">
        <f t="shared" si="361"/>
        <v>0</v>
      </c>
      <c r="BB350" s="97"/>
      <c r="BC350" s="102">
        <f t="shared" si="345"/>
        <v>0</v>
      </c>
      <c r="BD350" s="98">
        <f t="shared" si="346"/>
        <v>0</v>
      </c>
      <c r="BE350" s="93">
        <f t="shared" si="347"/>
        <v>0</v>
      </c>
      <c r="BF350" s="99">
        <f t="shared" si="348"/>
        <v>0</v>
      </c>
      <c r="BG350" s="100"/>
      <c r="BH350" s="102">
        <f>IFERROR((BA350*100%)/DP!$AR$29,(0*1))</f>
        <v>0</v>
      </c>
      <c r="BI350" s="102">
        <f>IF(BH350&gt;0,(DP!$AR$31),0*1)</f>
        <v>0</v>
      </c>
      <c r="BJ350" s="435">
        <f t="shared" si="362"/>
        <v>0</v>
      </c>
      <c r="BK350" s="475">
        <f>BA350*DP!$BG$44</f>
        <v>0</v>
      </c>
      <c r="BL350" s="475">
        <f>IF(BA350&gt;0,DP!$BH$44,0*1)</f>
        <v>0</v>
      </c>
      <c r="BM350" s="475">
        <f t="shared" si="363"/>
        <v>0</v>
      </c>
      <c r="BN350" s="102">
        <f>BA350*DP!$BG$45</f>
        <v>0</v>
      </c>
      <c r="BO350" s="102">
        <f>IF(BA350&gt;0,DP!$BH$45,0*1)</f>
        <v>0</v>
      </c>
      <c r="BP350" s="475">
        <f t="shared" si="364"/>
        <v>0</v>
      </c>
      <c r="BQ350" s="100"/>
      <c r="BR350" s="100"/>
      <c r="BS350" s="100"/>
      <c r="BT350" s="93">
        <f>IF(AW350=DP!$AN$15,AY350*(1+DP!$AR$15),IF(AW350=DP!$AN$16,AY350*(1+DP!$AR$16),IF(AW350=DP!$AN$17,AY350*(1+DP!$AR$17),IF(AW350=DP!$AN$18,AY350*(1+DP!$AR$18),0*1))))</f>
        <v>0</v>
      </c>
      <c r="BU350" s="102">
        <f>IF(AW350=DP!$AN$22,(DP!$AO$22),IF(AW350=DP!$AN$23,(DP!$AO$23),IF(AW350=DP!$AN$24,(DP!$AO$24),IF(AW350=DP!$AN$25,(DP!$AO$25),((0*1))))))</f>
        <v>0</v>
      </c>
      <c r="BV350" s="93">
        <f t="shared" si="365"/>
        <v>0</v>
      </c>
      <c r="BW350" s="93">
        <f>IF(AW350=DP!$AN$15,AY350*(1+DP!$AR$15),IF(AW350=DP!$AN$16,AY350*(1+DP!$AR$16),IF(AW350=DP!$AN$17,AY350*(1+DP!$AR$17),IF(AW350=DP!$AN$18,AY350*(1+DP!$AR$18),0*1))))</f>
        <v>0</v>
      </c>
      <c r="BX350" s="102">
        <f>IF(AW350=DP!$AN$22,(DP!$AP$22),IF(AW350=DP!$AN$23,(DP!$AP$23),IF(AW350=DP!$AN$24,(DP!$AP$24),IF(AW350=DP!$AN$25,(DP!$AP$25),((0*1))))))</f>
        <v>0</v>
      </c>
      <c r="BY350" s="93">
        <f t="shared" si="366"/>
        <v>0</v>
      </c>
      <c r="BZ350" s="93">
        <f>IF(AW350=DP!$AN$15,(AY350/DP!$AM$15)*(1+DP!$AR$15),IF(AW350=DP!$AN$16,(AY350/DP!$AM$16)*(1+DP!$AR$16),IF(AW350=DP!$AN$17,(AY350/DP!$AM$17)*(1+DP!$AR$17),IF(AW350=DP!$AN$18,(AY350/DP!$AM$18)*(1+DP!$AR$18),0*1))))</f>
        <v>0</v>
      </c>
      <c r="CA350" s="102">
        <f>IF(AW350=DP!$AN$22,(DP!$AQ$22),IF(AW350=DP!$AN$23,(DP!$AQ$23),IF(AW350=DP!$AN$24,(DP!$AQ$24),IF(AW350=DP!$AN$25,(DP!$AQ$25),((0*1))))))</f>
        <v>0</v>
      </c>
      <c r="CB350" s="93">
        <f t="shared" si="367"/>
        <v>0</v>
      </c>
      <c r="CC350" s="93">
        <f>IF(AW350=DP!$AN$15,AY350*(1+DP!$AR$15),IF(AW350=DP!$AN$16,AY350*(1+DP!$AR$16),IF(AW350=DP!$AN$17,AY350*(1+DP!$AR$17),IF(AW350=DP!$AN$18,AY350*(1+DP!$AR$18),0*1))))</f>
        <v>0</v>
      </c>
      <c r="CD350" s="102">
        <f>IF(AW350=DP!$AN$22,(DP!$AR$22),IF(AW350=DP!$AN$23,(DP!$AR$23),IF(AW350=DP!$AN$24,(DP!$AR$24),IF(AW350=DP!$AN$25,(DP!$AR$25),((0*1))))))</f>
        <v>0</v>
      </c>
      <c r="CE350" s="93">
        <f t="shared" si="368"/>
        <v>0</v>
      </c>
      <c r="CF350" s="100"/>
      <c r="CG350" s="149">
        <f t="shared" si="369"/>
        <v>0</v>
      </c>
      <c r="CH350" s="149">
        <f>DP!$N$35*BA350</f>
        <v>0</v>
      </c>
      <c r="CI350" s="149">
        <f>DP!$O$35*BA350</f>
        <v>0</v>
      </c>
      <c r="CJ350" s="149">
        <f>DP!$P$35*BA350</f>
        <v>0</v>
      </c>
    </row>
    <row r="351" spans="2:88" x14ac:dyDescent="0.35">
      <c r="B351" s="480">
        <f>DP!S27</f>
        <v>0</v>
      </c>
      <c r="C351" s="480">
        <f>DP!T27</f>
        <v>0</v>
      </c>
      <c r="D351" s="480">
        <f>DP!U27</f>
        <v>0</v>
      </c>
      <c r="E351" s="480">
        <f>DP!V27</f>
        <v>0</v>
      </c>
      <c r="F351" s="412">
        <f t="shared" si="349"/>
        <v>0</v>
      </c>
      <c r="G351" s="470">
        <f>DP!AG27</f>
        <v>0</v>
      </c>
      <c r="H351" s="98">
        <f t="shared" si="350"/>
        <v>0</v>
      </c>
      <c r="I351" s="97"/>
      <c r="J351" s="102">
        <f t="shared" si="340"/>
        <v>0</v>
      </c>
      <c r="K351" s="98">
        <f t="shared" si="341"/>
        <v>0</v>
      </c>
      <c r="L351" s="93">
        <f t="shared" si="342"/>
        <v>0</v>
      </c>
      <c r="M351" s="99">
        <f t="shared" si="343"/>
        <v>0</v>
      </c>
      <c r="N351" s="100"/>
      <c r="O351" s="102">
        <f>($E351/DP!$P$29)*F351</f>
        <v>0</v>
      </c>
      <c r="P351" s="102">
        <f>IF(O351&gt;0,(DP!$P$31),0*1)</f>
        <v>0</v>
      </c>
      <c r="Q351" s="102">
        <f t="shared" si="351"/>
        <v>0</v>
      </c>
      <c r="R351" s="102">
        <f t="shared" si="352"/>
        <v>0</v>
      </c>
      <c r="S351" s="418">
        <f t="shared" si="353"/>
        <v>0</v>
      </c>
      <c r="T351" s="475">
        <f>H351*DP!$AE$44</f>
        <v>0</v>
      </c>
      <c r="U351" s="475">
        <f>IF(H351&gt;0,DP!$AF$44,0*1)</f>
        <v>0</v>
      </c>
      <c r="V351" s="475">
        <f t="shared" si="354"/>
        <v>0</v>
      </c>
      <c r="W351" s="475">
        <f>H351*DP!$AE$45</f>
        <v>0</v>
      </c>
      <c r="X351" s="475">
        <f>IF(H351&gt;0,DP!$AF$45,0*1)</f>
        <v>0</v>
      </c>
      <c r="Y351" s="475">
        <f t="shared" si="355"/>
        <v>0</v>
      </c>
      <c r="Z351" s="100"/>
      <c r="AA351" s="93">
        <f>IF(D351=DP!$L$15,F351*(1+DP!$P$15),IF(D351=DP!$L$16,F351*(1+DP!$P$16),IF(D351=DP!$L$17,F351*(1+DP!$P$17),IF(D351=DP!$L$18,F351*(1+DP!$P$18),0*1))))</f>
        <v>0</v>
      </c>
      <c r="AB351" s="102">
        <f>IF(D351=DP!$L$22,(DP!$M$22),IF(D351=DP!$L$23,(DP!$M$23),IF(D351=DP!$L$24,(DP!$M$24),IF(D351=DP!$L$25,(DP!$M$25),((0*1))))))</f>
        <v>0</v>
      </c>
      <c r="AC351" s="93">
        <f t="shared" si="356"/>
        <v>0</v>
      </c>
      <c r="AD351" s="93">
        <f>IF(D351=DP!$L$15,F351*(1+DP!$P$15),IF(D351=DP!$L$16,F351*(1+DP!$P$16),IF(D351=DP!$L$17,F351*(1+DP!$P$17),IF(D351=DP!$L$18,F351*(1+DP!$P$18),0*1))))</f>
        <v>0</v>
      </c>
      <c r="AE351" s="102">
        <f>IF(D351=DP!$L$22,(DP!$N$22),IF(D351=DP!$L$23,(DP!$N$23),IF(D351=DP!$L$24,(DP!$N$24),IF(D351=DP!$L$25,(DP!$N$25),((0*1))))))</f>
        <v>0</v>
      </c>
      <c r="AF351" s="93">
        <f t="shared" si="357"/>
        <v>0</v>
      </c>
      <c r="AG351" s="93">
        <f>IF(D351=DP!$L$15,(F351/DP!$K$15)*(1+DP!$P$15),IF(D351=DP!$L$16,(F351/DP!$K$16)*(1+DP!$P$16),IF(D351=DP!$L$17,(F351/DP!$K$17)*(1+DP!$P$17),IF(D351=DP!$L$18,(F351/DP!$K$18)*(1+DP!$P$18),0*1))))</f>
        <v>0</v>
      </c>
      <c r="AH351" s="102">
        <f>IF(D351=DP!$L$22,(DP!$O$22),IF(D351=DP!$L$23,(DP!$O$23),IF(D351=DP!$L$24,(DP!$O$24),IF(D351=DP!$L$25,(DP!$O$25),((0*1))))))</f>
        <v>0</v>
      </c>
      <c r="AI351" s="93">
        <f t="shared" si="358"/>
        <v>0</v>
      </c>
      <c r="AJ351" s="93">
        <f>IF(D351=DP!$L$15,F351*(1+DP!$P$15),IF(D351=DP!$L$16,F351*(1+DP!$P$16),IF(D351=DP!$L$17,F351*(1+DP!$P$17),IF(D351=DP!$L$18,F351*(1+DP!$P$18),0*1))))</f>
        <v>0</v>
      </c>
      <c r="AK351" s="102">
        <f>IF(D351=DP!$L$22,(DP!$P$22),IF(D351=DP!$L$23,(DP!$P$23),IF(D351=DP!$L$24,(DP!$P$24),IF(D351=DP!$L$25,(DP!$P$25),((0*1))))))</f>
        <v>0</v>
      </c>
      <c r="AL351" s="93">
        <f t="shared" si="359"/>
        <v>0</v>
      </c>
      <c r="AM351" s="100"/>
      <c r="AN351" s="149">
        <f t="shared" si="344"/>
        <v>0</v>
      </c>
      <c r="AO351" s="149">
        <f>DP!$N$35*H351</f>
        <v>0</v>
      </c>
      <c r="AP351" s="149">
        <f>DP!$O$35*H351</f>
        <v>0</v>
      </c>
      <c r="AQ351" s="149">
        <f>DP!$P$35*H351</f>
        <v>0</v>
      </c>
      <c r="AV351" s="412">
        <f>DP!AV27</f>
        <v>0</v>
      </c>
      <c r="AW351" s="412">
        <f>DP!AW27</f>
        <v>0</v>
      </c>
      <c r="AX351" s="412">
        <f>DP!AX27</f>
        <v>0</v>
      </c>
      <c r="AY351" s="412">
        <f t="shared" si="360"/>
        <v>0</v>
      </c>
      <c r="AZ351" s="470">
        <f>DP!BI27</f>
        <v>0</v>
      </c>
      <c r="BA351" s="98">
        <f t="shared" si="361"/>
        <v>0</v>
      </c>
      <c r="BB351" s="97"/>
      <c r="BC351" s="102">
        <f t="shared" si="345"/>
        <v>0</v>
      </c>
      <c r="BD351" s="98">
        <f t="shared" si="346"/>
        <v>0</v>
      </c>
      <c r="BE351" s="93">
        <f t="shared" si="347"/>
        <v>0</v>
      </c>
      <c r="BF351" s="99">
        <f t="shared" si="348"/>
        <v>0</v>
      </c>
      <c r="BG351" s="100"/>
      <c r="BH351" s="102">
        <f>IFERROR((BA351*100%)/DP!$AR$29,(0*1))</f>
        <v>0</v>
      </c>
      <c r="BI351" s="102">
        <f>IF(BH351&gt;0,(DP!$AR$31),0*1)</f>
        <v>0</v>
      </c>
      <c r="BJ351" s="435">
        <f t="shared" si="362"/>
        <v>0</v>
      </c>
      <c r="BK351" s="475">
        <f>BA351*DP!$BG$44</f>
        <v>0</v>
      </c>
      <c r="BL351" s="475">
        <f>IF(BA351&gt;0,DP!$BH$44,0*1)</f>
        <v>0</v>
      </c>
      <c r="BM351" s="475">
        <f t="shared" si="363"/>
        <v>0</v>
      </c>
      <c r="BN351" s="102">
        <f>BA351*DP!$BG$45</f>
        <v>0</v>
      </c>
      <c r="BO351" s="102">
        <f>IF(BA351&gt;0,DP!$BH$45,0*1)</f>
        <v>0</v>
      </c>
      <c r="BP351" s="475">
        <f t="shared" si="364"/>
        <v>0</v>
      </c>
      <c r="BQ351" s="100"/>
      <c r="BR351" s="100"/>
      <c r="BS351" s="100"/>
      <c r="BT351" s="93">
        <f>IF(AW351=DP!$AN$15,AY351*(1+DP!$AR$15),IF(AW351=DP!$AN$16,AY351*(1+DP!$AR$16),IF(AW351=DP!$AN$17,AY351*(1+DP!$AR$17),IF(AW351=DP!$AN$18,AY351*(1+DP!$AR$18),0*1))))</f>
        <v>0</v>
      </c>
      <c r="BU351" s="102">
        <f>IF(AW351=DP!$AN$22,(DP!$AO$22),IF(AW351=DP!$AN$23,(DP!$AO$23),IF(AW351=DP!$AN$24,(DP!$AO$24),IF(AW351=DP!$AN$25,(DP!$AO$25),((0*1))))))</f>
        <v>0</v>
      </c>
      <c r="BV351" s="93">
        <f t="shared" si="365"/>
        <v>0</v>
      </c>
      <c r="BW351" s="93">
        <f>IF(AW351=DP!$AN$15,AY351*(1+DP!$AR$15),IF(AW351=DP!$AN$16,AY351*(1+DP!$AR$16),IF(AW351=DP!$AN$17,AY351*(1+DP!$AR$17),IF(AW351=DP!$AN$18,AY351*(1+DP!$AR$18),0*1))))</f>
        <v>0</v>
      </c>
      <c r="BX351" s="102">
        <f>IF(AW351=DP!$AN$22,(DP!$AP$22),IF(AW351=DP!$AN$23,(DP!$AP$23),IF(AW351=DP!$AN$24,(DP!$AP$24),IF(AW351=DP!$AN$25,(DP!$AP$25),((0*1))))))</f>
        <v>0</v>
      </c>
      <c r="BY351" s="93">
        <f t="shared" si="366"/>
        <v>0</v>
      </c>
      <c r="BZ351" s="93">
        <f>IF(AW351=DP!$AN$15,(AY351/DP!$AM$15)*(1+DP!$AR$15),IF(AW351=DP!$AN$16,(AY351/DP!$AM$16)*(1+DP!$AR$16),IF(AW351=DP!$AN$17,(AY351/DP!$AM$17)*(1+DP!$AR$17),IF(AW351=DP!$AN$18,(AY351/DP!$AM$18)*(1+DP!$AR$18),0*1))))</f>
        <v>0</v>
      </c>
      <c r="CA351" s="102">
        <f>IF(AW351=DP!$AN$22,(DP!$AQ$22),IF(AW351=DP!$AN$23,(DP!$AQ$23),IF(AW351=DP!$AN$24,(DP!$AQ$24),IF(AW351=DP!$AN$25,(DP!$AQ$25),((0*1))))))</f>
        <v>0</v>
      </c>
      <c r="CB351" s="93">
        <f t="shared" si="367"/>
        <v>0</v>
      </c>
      <c r="CC351" s="93">
        <f>IF(AW351=DP!$AN$15,AY351*(1+DP!$AR$15),IF(AW351=DP!$AN$16,AY351*(1+DP!$AR$16),IF(AW351=DP!$AN$17,AY351*(1+DP!$AR$17),IF(AW351=DP!$AN$18,AY351*(1+DP!$AR$18),0*1))))</f>
        <v>0</v>
      </c>
      <c r="CD351" s="102">
        <f>IF(AW351=DP!$AN$22,(DP!$AR$22),IF(AW351=DP!$AN$23,(DP!$AR$23),IF(AW351=DP!$AN$24,(DP!$AR$24),IF(AW351=DP!$AN$25,(DP!$AR$25),((0*1))))))</f>
        <v>0</v>
      </c>
      <c r="CE351" s="93">
        <f t="shared" si="368"/>
        <v>0</v>
      </c>
      <c r="CF351" s="100"/>
      <c r="CG351" s="149">
        <f t="shared" si="369"/>
        <v>0</v>
      </c>
      <c r="CH351" s="149">
        <f>DP!$N$35*BA351</f>
        <v>0</v>
      </c>
      <c r="CI351" s="149">
        <f>DP!$O$35*BA351</f>
        <v>0</v>
      </c>
      <c r="CJ351" s="149">
        <f>DP!$P$35*BA351</f>
        <v>0</v>
      </c>
    </row>
    <row r="352" spans="2:88" x14ac:dyDescent="0.35">
      <c r="B352" s="480">
        <f>DP!S28</f>
        <v>0</v>
      </c>
      <c r="C352" s="480">
        <f>DP!T28</f>
        <v>0</v>
      </c>
      <c r="D352" s="480">
        <f>DP!U28</f>
        <v>0</v>
      </c>
      <c r="E352" s="480">
        <f>DP!V28</f>
        <v>0</v>
      </c>
      <c r="F352" s="412">
        <f t="shared" si="349"/>
        <v>0</v>
      </c>
      <c r="G352" s="470">
        <f>DP!AG28</f>
        <v>0</v>
      </c>
      <c r="H352" s="98">
        <f t="shared" si="350"/>
        <v>0</v>
      </c>
      <c r="I352" s="97"/>
      <c r="J352" s="102">
        <f t="shared" si="340"/>
        <v>0</v>
      </c>
      <c r="K352" s="98">
        <f t="shared" si="341"/>
        <v>0</v>
      </c>
      <c r="L352" s="93">
        <f t="shared" si="342"/>
        <v>0</v>
      </c>
      <c r="M352" s="99">
        <f t="shared" si="343"/>
        <v>0</v>
      </c>
      <c r="N352" s="100"/>
      <c r="O352" s="102">
        <f>($E352/DP!$P$29)*F352</f>
        <v>0</v>
      </c>
      <c r="P352" s="102">
        <f>IF(O352&gt;0,(DP!$P$31),0*1)</f>
        <v>0</v>
      </c>
      <c r="Q352" s="102">
        <f t="shared" si="351"/>
        <v>0</v>
      </c>
      <c r="R352" s="102">
        <f t="shared" si="352"/>
        <v>0</v>
      </c>
      <c r="S352" s="418">
        <f t="shared" si="353"/>
        <v>0</v>
      </c>
      <c r="T352" s="475">
        <f>H352*DP!$AE$44</f>
        <v>0</v>
      </c>
      <c r="U352" s="475">
        <f>IF(H352&gt;0,DP!$AF$44,0*1)</f>
        <v>0</v>
      </c>
      <c r="V352" s="475">
        <f t="shared" si="354"/>
        <v>0</v>
      </c>
      <c r="W352" s="475">
        <f>H352*DP!$AE$45</f>
        <v>0</v>
      </c>
      <c r="X352" s="475">
        <f>IF(H352&gt;0,DP!$AF$45,0*1)</f>
        <v>0</v>
      </c>
      <c r="Y352" s="475">
        <f t="shared" si="355"/>
        <v>0</v>
      </c>
      <c r="Z352" s="100"/>
      <c r="AA352" s="93">
        <f>IF(D352=DP!$L$15,F352*(1+DP!$P$15),IF(D352=DP!$L$16,F352*(1+DP!$P$16),IF(D352=DP!$L$17,F352*(1+DP!$P$17),IF(D352=DP!$L$18,F352*(1+DP!$P$18),0*1))))</f>
        <v>0</v>
      </c>
      <c r="AB352" s="102">
        <f>IF(D352=DP!$L$22,(DP!$M$22),IF(D352=DP!$L$23,(DP!$M$23),IF(D352=DP!$L$24,(DP!$M$24),IF(D352=DP!$L$25,(DP!$M$25),((0*1))))))</f>
        <v>0</v>
      </c>
      <c r="AC352" s="93">
        <f t="shared" si="356"/>
        <v>0</v>
      </c>
      <c r="AD352" s="93">
        <f>IF(D352=DP!$L$15,F352*(1+DP!$P$15),IF(D352=DP!$L$16,F352*(1+DP!$P$16),IF(D352=DP!$L$17,F352*(1+DP!$P$17),IF(D352=DP!$L$18,F352*(1+DP!$P$18),0*1))))</f>
        <v>0</v>
      </c>
      <c r="AE352" s="102">
        <f>IF(D352=DP!$L$22,(DP!$N$22),IF(D352=DP!$L$23,(DP!$N$23),IF(D352=DP!$L$24,(DP!$N$24),IF(D352=DP!$L$25,(DP!$N$25),((0*1))))))</f>
        <v>0</v>
      </c>
      <c r="AF352" s="93">
        <f t="shared" si="357"/>
        <v>0</v>
      </c>
      <c r="AG352" s="93">
        <f>IF(D352=DP!$L$15,(F352/DP!$K$15)*(1+DP!$P$15),IF(D352=DP!$L$16,(F352/DP!$K$16)*(1+DP!$P$16),IF(D352=DP!$L$17,(F352/DP!$K$17)*(1+DP!$P$17),IF(D352=DP!$L$18,(F352/DP!$K$18)*(1+DP!$P$18),0*1))))</f>
        <v>0</v>
      </c>
      <c r="AH352" s="102">
        <f>IF(D352=DP!$L$22,(DP!$O$22),IF(D352=DP!$L$23,(DP!$O$23),IF(D352=DP!$L$24,(DP!$O$24),IF(D352=DP!$L$25,(DP!$O$25),((0*1))))))</f>
        <v>0</v>
      </c>
      <c r="AI352" s="93">
        <f t="shared" si="358"/>
        <v>0</v>
      </c>
      <c r="AJ352" s="93">
        <f>IF(D352=DP!$L$15,F352*(1+DP!$P$15),IF(D352=DP!$L$16,F352*(1+DP!$P$16),IF(D352=DP!$L$17,F352*(1+DP!$P$17),IF(D352=DP!$L$18,F352*(1+DP!$P$18),0*1))))</f>
        <v>0</v>
      </c>
      <c r="AK352" s="102">
        <f>IF(D352=DP!$L$22,(DP!$P$22),IF(D352=DP!$L$23,(DP!$P$23),IF(D352=DP!$L$24,(DP!$P$24),IF(D352=DP!$L$25,(DP!$P$25),((0*1))))))</f>
        <v>0</v>
      </c>
      <c r="AL352" s="93">
        <f t="shared" si="359"/>
        <v>0</v>
      </c>
      <c r="AM352" s="100"/>
      <c r="AN352" s="149">
        <f t="shared" si="344"/>
        <v>0</v>
      </c>
      <c r="AO352" s="149">
        <f>DP!$N$35*H352</f>
        <v>0</v>
      </c>
      <c r="AP352" s="149">
        <f>DP!$O$35*H352</f>
        <v>0</v>
      </c>
      <c r="AQ352" s="149">
        <f>DP!$P$35*H352</f>
        <v>0</v>
      </c>
      <c r="AV352" s="412">
        <f>DP!AV28</f>
        <v>0</v>
      </c>
      <c r="AW352" s="412">
        <f>DP!AW28</f>
        <v>0</v>
      </c>
      <c r="AX352" s="412">
        <f>DP!AX28</f>
        <v>0</v>
      </c>
      <c r="AY352" s="412">
        <f t="shared" si="360"/>
        <v>0</v>
      </c>
      <c r="AZ352" s="470">
        <f>DP!BI28</f>
        <v>0</v>
      </c>
      <c r="BA352" s="98">
        <f t="shared" si="361"/>
        <v>0</v>
      </c>
      <c r="BB352" s="97"/>
      <c r="BC352" s="102">
        <f t="shared" si="345"/>
        <v>0</v>
      </c>
      <c r="BD352" s="98">
        <f t="shared" si="346"/>
        <v>0</v>
      </c>
      <c r="BE352" s="93">
        <f t="shared" si="347"/>
        <v>0</v>
      </c>
      <c r="BF352" s="99">
        <f t="shared" si="348"/>
        <v>0</v>
      </c>
      <c r="BG352" s="100"/>
      <c r="BH352" s="102">
        <f>IFERROR((BA352*100%)/DP!$AR$29,(0*1))</f>
        <v>0</v>
      </c>
      <c r="BI352" s="102">
        <f>IF(BH352&gt;0,(DP!$AR$31),0*1)</f>
        <v>0</v>
      </c>
      <c r="BJ352" s="435">
        <f t="shared" si="362"/>
        <v>0</v>
      </c>
      <c r="BK352" s="475">
        <f>BA352*DP!$BG$44</f>
        <v>0</v>
      </c>
      <c r="BL352" s="475">
        <f>IF(BA352&gt;0,DP!$BH$44,0*1)</f>
        <v>0</v>
      </c>
      <c r="BM352" s="475">
        <f t="shared" si="363"/>
        <v>0</v>
      </c>
      <c r="BN352" s="102">
        <f>BA352*DP!$BG$45</f>
        <v>0</v>
      </c>
      <c r="BO352" s="102">
        <f>IF(BA352&gt;0,DP!$BH$45,0*1)</f>
        <v>0</v>
      </c>
      <c r="BP352" s="475">
        <f t="shared" si="364"/>
        <v>0</v>
      </c>
      <c r="BQ352" s="100"/>
      <c r="BR352" s="100"/>
      <c r="BS352" s="100"/>
      <c r="BT352" s="93">
        <f>IF(AW352=DP!$AN$15,AY352*(1+DP!$AR$15),IF(AW352=DP!$AN$16,AY352*(1+DP!$AR$16),IF(AW352=DP!$AN$17,AY352*(1+DP!$AR$17),IF(AW352=DP!$AN$18,AY352*(1+DP!$AR$18),0*1))))</f>
        <v>0</v>
      </c>
      <c r="BU352" s="102">
        <f>IF(AW352=DP!$AN$22,(DP!$AO$22),IF(AW352=DP!$AN$23,(DP!$AO$23),IF(AW352=DP!$AN$24,(DP!$AO$24),IF(AW352=DP!$AN$25,(DP!$AO$25),((0*1))))))</f>
        <v>0</v>
      </c>
      <c r="BV352" s="93">
        <f t="shared" si="365"/>
        <v>0</v>
      </c>
      <c r="BW352" s="93">
        <f>IF(AW352=DP!$AN$15,AY352*(1+DP!$AR$15),IF(AW352=DP!$AN$16,AY352*(1+DP!$AR$16),IF(AW352=DP!$AN$17,AY352*(1+DP!$AR$17),IF(AW352=DP!$AN$18,AY352*(1+DP!$AR$18),0*1))))</f>
        <v>0</v>
      </c>
      <c r="BX352" s="102">
        <f>IF(AW352=DP!$AN$22,(DP!$AP$22),IF(AW352=DP!$AN$23,(DP!$AP$23),IF(AW352=DP!$AN$24,(DP!$AP$24),IF(AW352=DP!$AN$25,(DP!$AP$25),((0*1))))))</f>
        <v>0</v>
      </c>
      <c r="BY352" s="93">
        <f t="shared" si="366"/>
        <v>0</v>
      </c>
      <c r="BZ352" s="93">
        <f>IF(AW352=DP!$AN$15,(AY352/DP!$AM$15)*(1+DP!$AR$15),IF(AW352=DP!$AN$16,(AY352/DP!$AM$16)*(1+DP!$AR$16),IF(AW352=DP!$AN$17,(AY352/DP!$AM$17)*(1+DP!$AR$17),IF(AW352=DP!$AN$18,(AY352/DP!$AM$18)*(1+DP!$AR$18),0*1))))</f>
        <v>0</v>
      </c>
      <c r="CA352" s="102">
        <f>IF(AW352=DP!$AN$22,(DP!$AQ$22),IF(AW352=DP!$AN$23,(DP!$AQ$23),IF(AW352=DP!$AN$24,(DP!$AQ$24),IF(AW352=DP!$AN$25,(DP!$AQ$25),((0*1))))))</f>
        <v>0</v>
      </c>
      <c r="CB352" s="93">
        <f t="shared" si="367"/>
        <v>0</v>
      </c>
      <c r="CC352" s="93">
        <f>IF(AW352=DP!$AN$15,AY352*(1+DP!$AR$15),IF(AW352=DP!$AN$16,AY352*(1+DP!$AR$16),IF(AW352=DP!$AN$17,AY352*(1+DP!$AR$17),IF(AW352=DP!$AN$18,AY352*(1+DP!$AR$18),0*1))))</f>
        <v>0</v>
      </c>
      <c r="CD352" s="102">
        <f>IF(AW352=DP!$AN$22,(DP!$AR$22),IF(AW352=DP!$AN$23,(DP!$AR$23),IF(AW352=DP!$AN$24,(DP!$AR$24),IF(AW352=DP!$AN$25,(DP!$AR$25),((0*1))))))</f>
        <v>0</v>
      </c>
      <c r="CE352" s="93">
        <f t="shared" si="368"/>
        <v>0</v>
      </c>
      <c r="CF352" s="100"/>
      <c r="CG352" s="149">
        <f t="shared" si="369"/>
        <v>0</v>
      </c>
      <c r="CH352" s="149">
        <f>DP!$N$35*BA352</f>
        <v>0</v>
      </c>
      <c r="CI352" s="149">
        <f>DP!$O$35*BA352</f>
        <v>0</v>
      </c>
      <c r="CJ352" s="149">
        <f>DP!$P$35*BA352</f>
        <v>0</v>
      </c>
    </row>
    <row r="353" spans="2:88" x14ac:dyDescent="0.35">
      <c r="B353" s="480">
        <f>DP!S29</f>
        <v>0</v>
      </c>
      <c r="C353" s="480">
        <f>DP!T29</f>
        <v>0</v>
      </c>
      <c r="D353" s="480">
        <f>DP!U29</f>
        <v>0</v>
      </c>
      <c r="E353" s="480">
        <f>DP!V29</f>
        <v>0</v>
      </c>
      <c r="F353" s="412">
        <f t="shared" si="349"/>
        <v>0</v>
      </c>
      <c r="G353" s="470">
        <f>DP!AG29</f>
        <v>0</v>
      </c>
      <c r="H353" s="98">
        <f t="shared" si="350"/>
        <v>0</v>
      </c>
      <c r="I353" s="97"/>
      <c r="J353" s="102">
        <f t="shared" si="340"/>
        <v>0</v>
      </c>
      <c r="K353" s="98">
        <f t="shared" si="341"/>
        <v>0</v>
      </c>
      <c r="L353" s="93">
        <f t="shared" si="342"/>
        <v>0</v>
      </c>
      <c r="M353" s="99">
        <f t="shared" si="343"/>
        <v>0</v>
      </c>
      <c r="N353" s="100"/>
      <c r="O353" s="102">
        <f>($E353/DP!$P$29)*F353</f>
        <v>0</v>
      </c>
      <c r="P353" s="102">
        <f>IF(O353&gt;0,(DP!$P$31),0*1)</f>
        <v>0</v>
      </c>
      <c r="Q353" s="102">
        <f t="shared" si="351"/>
        <v>0</v>
      </c>
      <c r="R353" s="102">
        <f t="shared" si="352"/>
        <v>0</v>
      </c>
      <c r="S353" s="418">
        <f t="shared" si="353"/>
        <v>0</v>
      </c>
      <c r="T353" s="475">
        <f>H353*DP!$AE$44</f>
        <v>0</v>
      </c>
      <c r="U353" s="475">
        <f>IF(H353&gt;0,DP!$AF$44,0*1)</f>
        <v>0</v>
      </c>
      <c r="V353" s="475">
        <f t="shared" si="354"/>
        <v>0</v>
      </c>
      <c r="W353" s="475">
        <f>H353*DP!$AE$45</f>
        <v>0</v>
      </c>
      <c r="X353" s="475">
        <f>IF(H353&gt;0,DP!$AF$45,0*1)</f>
        <v>0</v>
      </c>
      <c r="Y353" s="475">
        <f t="shared" si="355"/>
        <v>0</v>
      </c>
      <c r="Z353" s="100"/>
      <c r="AA353" s="93">
        <f>IF(D353=DP!$L$15,F353*(1+DP!$P$15),IF(D353=DP!$L$16,F353*(1+DP!$P$16),IF(D353=DP!$L$17,F353*(1+DP!$P$17),IF(D353=DP!$L$18,F353*(1+DP!$P$18),0*1))))</f>
        <v>0</v>
      </c>
      <c r="AB353" s="102">
        <f>IF(D353=DP!$L$22,(DP!$M$22),IF(D353=DP!$L$23,(DP!$M$23),IF(D353=DP!$L$24,(DP!$M$24),IF(D353=DP!$L$25,(DP!$M$25),((0*1))))))</f>
        <v>0</v>
      </c>
      <c r="AC353" s="93">
        <f t="shared" si="356"/>
        <v>0</v>
      </c>
      <c r="AD353" s="93">
        <f>IF(D353=DP!$L$15,F353*(1+DP!$P$15),IF(D353=DP!$L$16,F353*(1+DP!$P$16),IF(D353=DP!$L$17,F353*(1+DP!$P$17),IF(D353=DP!$L$18,F353*(1+DP!$P$18),0*1))))</f>
        <v>0</v>
      </c>
      <c r="AE353" s="102">
        <f>IF(D353=DP!$L$22,(DP!$N$22),IF(D353=DP!$L$23,(DP!$N$23),IF(D353=DP!$L$24,(DP!$N$24),IF(D353=DP!$L$25,(DP!$N$25),((0*1))))))</f>
        <v>0</v>
      </c>
      <c r="AF353" s="93">
        <f t="shared" si="357"/>
        <v>0</v>
      </c>
      <c r="AG353" s="93">
        <f>IF(D353=DP!$L$15,(F353/DP!$K$15)*(1+DP!$P$15),IF(D353=DP!$L$16,(F353/DP!$K$16)*(1+DP!$P$16),IF(D353=DP!$L$17,(F353/DP!$K$17)*(1+DP!$P$17),IF(D353=DP!$L$18,(F353/DP!$K$18)*(1+DP!$P$18),0*1))))</f>
        <v>0</v>
      </c>
      <c r="AH353" s="102">
        <f>IF(D353=DP!$L$22,(DP!$O$22),IF(D353=DP!$L$23,(DP!$O$23),IF(D353=DP!$L$24,(DP!$O$24),IF(D353=DP!$L$25,(DP!$O$25),((0*1))))))</f>
        <v>0</v>
      </c>
      <c r="AI353" s="93">
        <f t="shared" si="358"/>
        <v>0</v>
      </c>
      <c r="AJ353" s="93">
        <f>IF(D353=DP!$L$15,F353*(1+DP!$P$15),IF(D353=DP!$L$16,F353*(1+DP!$P$16),IF(D353=DP!$L$17,F353*(1+DP!$P$17),IF(D353=DP!$L$18,F353*(1+DP!$P$18),0*1))))</f>
        <v>0</v>
      </c>
      <c r="AK353" s="102">
        <f>IF(D353=DP!$L$22,(DP!$P$22),IF(D353=DP!$L$23,(DP!$P$23),IF(D353=DP!$L$24,(DP!$P$24),IF(D353=DP!$L$25,(DP!$P$25),((0*1))))))</f>
        <v>0</v>
      </c>
      <c r="AL353" s="93">
        <f t="shared" si="359"/>
        <v>0</v>
      </c>
      <c r="AM353" s="100"/>
      <c r="AN353" s="149">
        <f t="shared" si="344"/>
        <v>0</v>
      </c>
      <c r="AO353" s="149">
        <f>DP!$N$35*H353</f>
        <v>0</v>
      </c>
      <c r="AP353" s="149">
        <f>DP!$O$35*H353</f>
        <v>0</v>
      </c>
      <c r="AQ353" s="149">
        <f>DP!$P$35*H353</f>
        <v>0</v>
      </c>
      <c r="AV353" s="412">
        <f>DP!AV29</f>
        <v>0</v>
      </c>
      <c r="AW353" s="412">
        <f>DP!AW29</f>
        <v>0</v>
      </c>
      <c r="AX353" s="412">
        <f>DP!AX29</f>
        <v>0</v>
      </c>
      <c r="AY353" s="412">
        <f t="shared" si="360"/>
        <v>0</v>
      </c>
      <c r="AZ353" s="470">
        <f>DP!BI29</f>
        <v>0</v>
      </c>
      <c r="BA353" s="98">
        <f t="shared" si="361"/>
        <v>0</v>
      </c>
      <c r="BB353" s="97"/>
      <c r="BC353" s="102">
        <f t="shared" si="345"/>
        <v>0</v>
      </c>
      <c r="BD353" s="98">
        <f t="shared" si="346"/>
        <v>0</v>
      </c>
      <c r="BE353" s="93">
        <f t="shared" si="347"/>
        <v>0</v>
      </c>
      <c r="BF353" s="99">
        <f t="shared" si="348"/>
        <v>0</v>
      </c>
      <c r="BG353" s="100"/>
      <c r="BH353" s="102">
        <f>IFERROR((BA353*100%)/DP!$AR$29,(0*1))</f>
        <v>0</v>
      </c>
      <c r="BI353" s="102">
        <f>IF(BH353&gt;0,(DP!$AR$31),0*1)</f>
        <v>0</v>
      </c>
      <c r="BJ353" s="435">
        <f t="shared" si="362"/>
        <v>0</v>
      </c>
      <c r="BK353" s="475">
        <f>BA353*DP!$BG$44</f>
        <v>0</v>
      </c>
      <c r="BL353" s="475">
        <f>IF(BA353&gt;0,DP!$BH$44,0*1)</f>
        <v>0</v>
      </c>
      <c r="BM353" s="475">
        <f t="shared" si="363"/>
        <v>0</v>
      </c>
      <c r="BN353" s="102">
        <f>BA353*DP!$BG$45</f>
        <v>0</v>
      </c>
      <c r="BO353" s="102">
        <f>IF(BA353&gt;0,DP!$BH$45,0*1)</f>
        <v>0</v>
      </c>
      <c r="BP353" s="475">
        <f t="shared" si="364"/>
        <v>0</v>
      </c>
      <c r="BQ353" s="100"/>
      <c r="BR353" s="100"/>
      <c r="BS353" s="100"/>
      <c r="BT353" s="93">
        <f>IF(AW353=DP!$AN$15,AY353*(1+DP!$AR$15),IF(AW353=DP!$AN$16,AY353*(1+DP!$AR$16),IF(AW353=DP!$AN$17,AY353*(1+DP!$AR$17),IF(AW353=DP!$AN$18,AY353*(1+DP!$AR$18),0*1))))</f>
        <v>0</v>
      </c>
      <c r="BU353" s="102">
        <f>IF(AW353=DP!$AN$22,(DP!$AO$22),IF(AW353=DP!$AN$23,(DP!$AO$23),IF(AW353=DP!$AN$24,(DP!$AO$24),IF(AW353=DP!$AN$25,(DP!$AO$25),((0*1))))))</f>
        <v>0</v>
      </c>
      <c r="BV353" s="93">
        <f t="shared" si="365"/>
        <v>0</v>
      </c>
      <c r="BW353" s="93">
        <f>IF(AW353=DP!$AN$15,AY353*(1+DP!$AR$15),IF(AW353=DP!$AN$16,AY353*(1+DP!$AR$16),IF(AW353=DP!$AN$17,AY353*(1+DP!$AR$17),IF(AW353=DP!$AN$18,AY353*(1+DP!$AR$18),0*1))))</f>
        <v>0</v>
      </c>
      <c r="BX353" s="102">
        <f>IF(AW353=DP!$AN$22,(DP!$AP$22),IF(AW353=DP!$AN$23,(DP!$AP$23),IF(AW353=DP!$AN$24,(DP!$AP$24),IF(AW353=DP!$AN$25,(DP!$AP$25),((0*1))))))</f>
        <v>0</v>
      </c>
      <c r="BY353" s="93">
        <f t="shared" si="366"/>
        <v>0</v>
      </c>
      <c r="BZ353" s="93">
        <f>IF(AW353=DP!$AN$15,(AY353/DP!$AM$15)*(1+DP!$AR$15),IF(AW353=DP!$AN$16,(AY353/DP!$AM$16)*(1+DP!$AR$16),IF(AW353=DP!$AN$17,(AY353/DP!$AM$17)*(1+DP!$AR$17),IF(AW353=DP!$AN$18,(AY353/DP!$AM$18)*(1+DP!$AR$18),0*1))))</f>
        <v>0</v>
      </c>
      <c r="CA353" s="102">
        <f>IF(AW353=DP!$AN$22,(DP!$AQ$22),IF(AW353=DP!$AN$23,(DP!$AQ$23),IF(AW353=DP!$AN$24,(DP!$AQ$24),IF(AW353=DP!$AN$25,(DP!$AQ$25),((0*1))))))</f>
        <v>0</v>
      </c>
      <c r="CB353" s="93">
        <f t="shared" si="367"/>
        <v>0</v>
      </c>
      <c r="CC353" s="93">
        <f>IF(AW353=DP!$AN$15,AY353*(1+DP!$AR$15),IF(AW353=DP!$AN$16,AY353*(1+DP!$AR$16),IF(AW353=DP!$AN$17,AY353*(1+DP!$AR$17),IF(AW353=DP!$AN$18,AY353*(1+DP!$AR$18),0*1))))</f>
        <v>0</v>
      </c>
      <c r="CD353" s="102">
        <f>IF(AW353=DP!$AN$22,(DP!$AR$22),IF(AW353=DP!$AN$23,(DP!$AR$23),IF(AW353=DP!$AN$24,(DP!$AR$24),IF(AW353=DP!$AN$25,(DP!$AR$25),((0*1))))))</f>
        <v>0</v>
      </c>
      <c r="CE353" s="93">
        <f t="shared" si="368"/>
        <v>0</v>
      </c>
      <c r="CF353" s="100"/>
      <c r="CG353" s="149">
        <f t="shared" si="369"/>
        <v>0</v>
      </c>
      <c r="CH353" s="149">
        <f>DP!$N$35*BA353</f>
        <v>0</v>
      </c>
      <c r="CI353" s="149">
        <f>DP!$O$35*BA353</f>
        <v>0</v>
      </c>
      <c r="CJ353" s="149">
        <f>DP!$P$35*BA353</f>
        <v>0</v>
      </c>
    </row>
    <row r="354" spans="2:88" x14ac:dyDescent="0.35">
      <c r="B354" s="480">
        <f>DP!S30</f>
        <v>0</v>
      </c>
      <c r="C354" s="480">
        <f>DP!T30</f>
        <v>0</v>
      </c>
      <c r="D354" s="480">
        <f>DP!U30</f>
        <v>0</v>
      </c>
      <c r="E354" s="480">
        <f>DP!V30</f>
        <v>0</v>
      </c>
      <c r="F354" s="412">
        <f t="shared" si="349"/>
        <v>0</v>
      </c>
      <c r="G354" s="470">
        <f>DP!AG30</f>
        <v>0</v>
      </c>
      <c r="H354" s="98">
        <f t="shared" si="350"/>
        <v>0</v>
      </c>
      <c r="I354" s="97"/>
      <c r="J354" s="102">
        <f t="shared" si="340"/>
        <v>0</v>
      </c>
      <c r="K354" s="98">
        <f t="shared" si="341"/>
        <v>0</v>
      </c>
      <c r="L354" s="93">
        <f t="shared" si="342"/>
        <v>0</v>
      </c>
      <c r="M354" s="99">
        <f t="shared" si="343"/>
        <v>0</v>
      </c>
      <c r="N354" s="100"/>
      <c r="O354" s="102">
        <f>($E354/DP!$P$29)*F354</f>
        <v>0</v>
      </c>
      <c r="P354" s="102">
        <f>IF(O354&gt;0,(DP!$P$31),0*1)</f>
        <v>0</v>
      </c>
      <c r="Q354" s="102">
        <f t="shared" si="351"/>
        <v>0</v>
      </c>
      <c r="R354" s="102">
        <f t="shared" si="352"/>
        <v>0</v>
      </c>
      <c r="S354" s="418">
        <f t="shared" si="353"/>
        <v>0</v>
      </c>
      <c r="T354" s="475">
        <f>H354*DP!$AE$44</f>
        <v>0</v>
      </c>
      <c r="U354" s="475">
        <f>IF(H354&gt;0,DP!$AF$44,0*1)</f>
        <v>0</v>
      </c>
      <c r="V354" s="475">
        <f t="shared" si="354"/>
        <v>0</v>
      </c>
      <c r="W354" s="475">
        <f>H354*DP!$AE$45</f>
        <v>0</v>
      </c>
      <c r="X354" s="475">
        <f>IF(H354&gt;0,DP!$AF$45,0*1)</f>
        <v>0</v>
      </c>
      <c r="Y354" s="475">
        <f t="shared" si="355"/>
        <v>0</v>
      </c>
      <c r="Z354" s="100"/>
      <c r="AA354" s="93">
        <f>IF(D354=DP!$L$15,F354*(1+DP!$P$15),IF(D354=DP!$L$16,F354*(1+DP!$P$16),IF(D354=DP!$L$17,F354*(1+DP!$P$17),IF(D354=DP!$L$18,F354*(1+DP!$P$18),0*1))))</f>
        <v>0</v>
      </c>
      <c r="AB354" s="102">
        <f>IF(D354=DP!$L$22,(DP!$M$22),IF(D354=DP!$L$23,(DP!$M$23),IF(D354=DP!$L$24,(DP!$M$24),IF(D354=DP!$L$25,(DP!$M$25),((0*1))))))</f>
        <v>0</v>
      </c>
      <c r="AC354" s="93">
        <f t="shared" si="356"/>
        <v>0</v>
      </c>
      <c r="AD354" s="93">
        <f>IF(D354=DP!$L$15,F354*(1+DP!$P$15),IF(D354=DP!$L$16,F354*(1+DP!$P$16),IF(D354=DP!$L$17,F354*(1+DP!$P$17),IF(D354=DP!$L$18,F354*(1+DP!$P$18),0*1))))</f>
        <v>0</v>
      </c>
      <c r="AE354" s="102">
        <f>IF(D354=DP!$L$22,(DP!$N$22),IF(D354=DP!$L$23,(DP!$N$23),IF(D354=DP!$L$24,(DP!$N$24),IF(D354=DP!$L$25,(DP!$N$25),((0*1))))))</f>
        <v>0</v>
      </c>
      <c r="AF354" s="93">
        <f t="shared" si="357"/>
        <v>0</v>
      </c>
      <c r="AG354" s="93">
        <f>IF(D354=DP!$L$15,(F354/DP!$K$15)*(1+DP!$P$15),IF(D354=DP!$L$16,(F354/DP!$K$16)*(1+DP!$P$16),IF(D354=DP!$L$17,(F354/DP!$K$17)*(1+DP!$P$17),IF(D354=DP!$L$18,(F354/DP!$K$18)*(1+DP!$P$18),0*1))))</f>
        <v>0</v>
      </c>
      <c r="AH354" s="102">
        <f>IF(D354=DP!$L$22,(DP!$O$22),IF(D354=DP!$L$23,(DP!$O$23),IF(D354=DP!$L$24,(DP!$O$24),IF(D354=DP!$L$25,(DP!$O$25),((0*1))))))</f>
        <v>0</v>
      </c>
      <c r="AI354" s="93">
        <f t="shared" si="358"/>
        <v>0</v>
      </c>
      <c r="AJ354" s="93">
        <f>IF(D354=DP!$L$15,F354*(1+DP!$P$15),IF(D354=DP!$L$16,F354*(1+DP!$P$16),IF(D354=DP!$L$17,F354*(1+DP!$P$17),IF(D354=DP!$L$18,F354*(1+DP!$P$18),0*1))))</f>
        <v>0</v>
      </c>
      <c r="AK354" s="102">
        <f>IF(D354=DP!$L$22,(DP!$P$22),IF(D354=DP!$L$23,(DP!$P$23),IF(D354=DP!$L$24,(DP!$P$24),IF(D354=DP!$L$25,(DP!$P$25),((0*1))))))</f>
        <v>0</v>
      </c>
      <c r="AL354" s="93">
        <f t="shared" si="359"/>
        <v>0</v>
      </c>
      <c r="AM354" s="100"/>
      <c r="AN354" s="149">
        <f t="shared" si="344"/>
        <v>0</v>
      </c>
      <c r="AO354" s="149">
        <f>DP!$N$35*H354</f>
        <v>0</v>
      </c>
      <c r="AP354" s="149">
        <f>DP!$O$35*H354</f>
        <v>0</v>
      </c>
      <c r="AQ354" s="149">
        <f>DP!$P$35*H354</f>
        <v>0</v>
      </c>
      <c r="AV354" s="412">
        <f>DP!AV30</f>
        <v>0</v>
      </c>
      <c r="AW354" s="412">
        <f>DP!AW30</f>
        <v>0</v>
      </c>
      <c r="AX354" s="412">
        <f>DP!AX30</f>
        <v>0</v>
      </c>
      <c r="AY354" s="412">
        <f t="shared" si="360"/>
        <v>0</v>
      </c>
      <c r="AZ354" s="470">
        <f>DP!BI30</f>
        <v>0</v>
      </c>
      <c r="BA354" s="98">
        <f t="shared" si="361"/>
        <v>0</v>
      </c>
      <c r="BB354" s="97"/>
      <c r="BC354" s="102">
        <f t="shared" si="345"/>
        <v>0</v>
      </c>
      <c r="BD354" s="98">
        <f t="shared" si="346"/>
        <v>0</v>
      </c>
      <c r="BE354" s="93">
        <f t="shared" si="347"/>
        <v>0</v>
      </c>
      <c r="BF354" s="99">
        <f t="shared" si="348"/>
        <v>0</v>
      </c>
      <c r="BG354" s="100"/>
      <c r="BH354" s="102">
        <f>IFERROR((BA354*100%)/DP!$AR$29,(0*1))</f>
        <v>0</v>
      </c>
      <c r="BI354" s="102">
        <f>IF(BH354&gt;0,(DP!$AR$31),0*1)</f>
        <v>0</v>
      </c>
      <c r="BJ354" s="435">
        <f t="shared" si="362"/>
        <v>0</v>
      </c>
      <c r="BK354" s="475">
        <f>BA354*DP!$BG$44</f>
        <v>0</v>
      </c>
      <c r="BL354" s="475">
        <f>IF(BA354&gt;0,DP!$BH$44,0*1)</f>
        <v>0</v>
      </c>
      <c r="BM354" s="475">
        <f t="shared" si="363"/>
        <v>0</v>
      </c>
      <c r="BN354" s="102">
        <f>BA354*DP!$BG$45</f>
        <v>0</v>
      </c>
      <c r="BO354" s="102">
        <f>IF(BA354&gt;0,DP!$BH$45,0*1)</f>
        <v>0</v>
      </c>
      <c r="BP354" s="475">
        <f t="shared" si="364"/>
        <v>0</v>
      </c>
      <c r="BQ354" s="100"/>
      <c r="BR354" s="100"/>
      <c r="BS354" s="100"/>
      <c r="BT354" s="93">
        <f>IF(AW354=DP!$AN$15,AY354*(1+DP!$AR$15),IF(AW354=DP!$AN$16,AY354*(1+DP!$AR$16),IF(AW354=DP!$AN$17,AY354*(1+DP!$AR$17),IF(AW354=DP!$AN$18,AY354*(1+DP!$AR$18),0*1))))</f>
        <v>0</v>
      </c>
      <c r="BU354" s="102">
        <f>IF(AW354=DP!$AN$22,(DP!$AO$22),IF(AW354=DP!$AN$23,(DP!$AO$23),IF(AW354=DP!$AN$24,(DP!$AO$24),IF(AW354=DP!$AN$25,(DP!$AO$25),((0*1))))))</f>
        <v>0</v>
      </c>
      <c r="BV354" s="93">
        <f t="shared" si="365"/>
        <v>0</v>
      </c>
      <c r="BW354" s="93">
        <f>IF(AW354=DP!$AN$15,AY354*(1+DP!$AR$15),IF(AW354=DP!$AN$16,AY354*(1+DP!$AR$16),IF(AW354=DP!$AN$17,AY354*(1+DP!$AR$17),IF(AW354=DP!$AN$18,AY354*(1+DP!$AR$18),0*1))))</f>
        <v>0</v>
      </c>
      <c r="BX354" s="102">
        <f>IF(AW354=DP!$AN$22,(DP!$AP$22),IF(AW354=DP!$AN$23,(DP!$AP$23),IF(AW354=DP!$AN$24,(DP!$AP$24),IF(AW354=DP!$AN$25,(DP!$AP$25),((0*1))))))</f>
        <v>0</v>
      </c>
      <c r="BY354" s="93">
        <f t="shared" si="366"/>
        <v>0</v>
      </c>
      <c r="BZ354" s="93">
        <f>IF(AW354=DP!$AN$15,(AY354/DP!$AM$15)*(1+DP!$AR$15),IF(AW354=DP!$AN$16,(AY354/DP!$AM$16)*(1+DP!$AR$16),IF(AW354=DP!$AN$17,(AY354/DP!$AM$17)*(1+DP!$AR$17),IF(AW354=DP!$AN$18,(AY354/DP!$AM$18)*(1+DP!$AR$18),0*1))))</f>
        <v>0</v>
      </c>
      <c r="CA354" s="102">
        <f>IF(AW354=DP!$AN$22,(DP!$AQ$22),IF(AW354=DP!$AN$23,(DP!$AQ$23),IF(AW354=DP!$AN$24,(DP!$AQ$24),IF(AW354=DP!$AN$25,(DP!$AQ$25),((0*1))))))</f>
        <v>0</v>
      </c>
      <c r="CB354" s="93">
        <f t="shared" si="367"/>
        <v>0</v>
      </c>
      <c r="CC354" s="93">
        <f>IF(AW354=DP!$AN$15,AY354*(1+DP!$AR$15),IF(AW354=DP!$AN$16,AY354*(1+DP!$AR$16),IF(AW354=DP!$AN$17,AY354*(1+DP!$AR$17),IF(AW354=DP!$AN$18,AY354*(1+DP!$AR$18),0*1))))</f>
        <v>0</v>
      </c>
      <c r="CD354" s="102">
        <f>IF(AW354=DP!$AN$22,(DP!$AR$22),IF(AW354=DP!$AN$23,(DP!$AR$23),IF(AW354=DP!$AN$24,(DP!$AR$24),IF(AW354=DP!$AN$25,(DP!$AR$25),((0*1))))))</f>
        <v>0</v>
      </c>
      <c r="CE354" s="93">
        <f t="shared" si="368"/>
        <v>0</v>
      </c>
      <c r="CF354" s="100"/>
      <c r="CG354" s="149">
        <f t="shared" si="369"/>
        <v>0</v>
      </c>
      <c r="CH354" s="149">
        <f>DP!$N$35*BA354</f>
        <v>0</v>
      </c>
      <c r="CI354" s="149">
        <f>DP!$O$35*BA354</f>
        <v>0</v>
      </c>
      <c r="CJ354" s="149">
        <f>DP!$P$35*BA354</f>
        <v>0</v>
      </c>
    </row>
    <row r="355" spans="2:88" x14ac:dyDescent="0.35">
      <c r="B355" s="480">
        <f>DP!S31</f>
        <v>0</v>
      </c>
      <c r="C355" s="480">
        <f>DP!T31</f>
        <v>0</v>
      </c>
      <c r="D355" s="480">
        <f>DP!U31</f>
        <v>0</v>
      </c>
      <c r="E355" s="480">
        <f>DP!V31</f>
        <v>0</v>
      </c>
      <c r="F355" s="412">
        <f t="shared" si="349"/>
        <v>0</v>
      </c>
      <c r="G355" s="470">
        <f>DP!AG31</f>
        <v>0</v>
      </c>
      <c r="H355" s="98">
        <f t="shared" si="350"/>
        <v>0</v>
      </c>
      <c r="I355" s="97"/>
      <c r="J355" s="102">
        <f t="shared" si="340"/>
        <v>0</v>
      </c>
      <c r="K355" s="98">
        <f t="shared" si="341"/>
        <v>0</v>
      </c>
      <c r="L355" s="93">
        <f t="shared" si="342"/>
        <v>0</v>
      </c>
      <c r="M355" s="99">
        <f t="shared" si="343"/>
        <v>0</v>
      </c>
      <c r="N355" s="100"/>
      <c r="O355" s="102">
        <f>($E355/DP!$P$29)*F355</f>
        <v>0</v>
      </c>
      <c r="P355" s="102">
        <f>IF(O355&gt;0,(DP!$P$31),0*1)</f>
        <v>0</v>
      </c>
      <c r="Q355" s="102">
        <f t="shared" si="351"/>
        <v>0</v>
      </c>
      <c r="R355" s="102">
        <f t="shared" si="352"/>
        <v>0</v>
      </c>
      <c r="S355" s="418">
        <f t="shared" si="353"/>
        <v>0</v>
      </c>
      <c r="T355" s="475">
        <f>H355*DP!$AE$44</f>
        <v>0</v>
      </c>
      <c r="U355" s="475">
        <f>IF(H355&gt;0,DP!$AF$44,0*1)</f>
        <v>0</v>
      </c>
      <c r="V355" s="475">
        <f t="shared" si="354"/>
        <v>0</v>
      </c>
      <c r="W355" s="475">
        <f>H355*DP!$AE$45</f>
        <v>0</v>
      </c>
      <c r="X355" s="475">
        <f>IF(H355&gt;0,DP!$AF$45,0*1)</f>
        <v>0</v>
      </c>
      <c r="Y355" s="475">
        <f t="shared" si="355"/>
        <v>0</v>
      </c>
      <c r="Z355" s="100"/>
      <c r="AA355" s="93">
        <f>IF(D355=DP!$L$15,F355*(1+DP!$P$15),IF(D355=DP!$L$16,F355*(1+DP!$P$16),IF(D355=DP!$L$17,F355*(1+DP!$P$17),IF(D355=DP!$L$18,F355*(1+DP!$P$18),0*1))))</f>
        <v>0</v>
      </c>
      <c r="AB355" s="102">
        <f>IF(D355=DP!$L$22,(DP!$M$22),IF(D355=DP!$L$23,(DP!$M$23),IF(D355=DP!$L$24,(DP!$M$24),IF(D355=DP!$L$25,(DP!$M$25),((0*1))))))</f>
        <v>0</v>
      </c>
      <c r="AC355" s="93">
        <f t="shared" si="356"/>
        <v>0</v>
      </c>
      <c r="AD355" s="93">
        <f>IF(D355=DP!$L$15,F355*(1+DP!$P$15),IF(D355=DP!$L$16,F355*(1+DP!$P$16),IF(D355=DP!$L$17,F355*(1+DP!$P$17),IF(D355=DP!$L$18,F355*(1+DP!$P$18),0*1))))</f>
        <v>0</v>
      </c>
      <c r="AE355" s="102">
        <f>IF(D355=DP!$L$22,(DP!$N$22),IF(D355=DP!$L$23,(DP!$N$23),IF(D355=DP!$L$24,(DP!$N$24),IF(D355=DP!$L$25,(DP!$N$25),((0*1))))))</f>
        <v>0</v>
      </c>
      <c r="AF355" s="93">
        <f t="shared" si="357"/>
        <v>0</v>
      </c>
      <c r="AG355" s="93">
        <f>IF(D355=DP!$L$15,(F355/DP!$K$15)*(1+DP!$P$15),IF(D355=DP!$L$16,(F355/DP!$K$16)*(1+DP!$P$16),IF(D355=DP!$L$17,(F355/DP!$K$17)*(1+DP!$P$17),IF(D355=DP!$L$18,(F355/DP!$K$18)*(1+DP!$P$18),0*1))))</f>
        <v>0</v>
      </c>
      <c r="AH355" s="102">
        <f>IF(D355=DP!$L$22,(DP!$O$22),IF(D355=DP!$L$23,(DP!$O$23),IF(D355=DP!$L$24,(DP!$O$24),IF(D355=DP!$L$25,(DP!$O$25),((0*1))))))</f>
        <v>0</v>
      </c>
      <c r="AI355" s="93">
        <f t="shared" si="358"/>
        <v>0</v>
      </c>
      <c r="AJ355" s="93">
        <f>IF(D355=DP!$L$15,F355*(1+DP!$P$15),IF(D355=DP!$L$16,F355*(1+DP!$P$16),IF(D355=DP!$L$17,F355*(1+DP!$P$17),IF(D355=DP!$L$18,F355*(1+DP!$P$18),0*1))))</f>
        <v>0</v>
      </c>
      <c r="AK355" s="102">
        <f>IF(D355=DP!$L$22,(DP!$P$22),IF(D355=DP!$L$23,(DP!$P$23),IF(D355=DP!$L$24,(DP!$P$24),IF(D355=DP!$L$25,(DP!$P$25),((0*1))))))</f>
        <v>0</v>
      </c>
      <c r="AL355" s="93">
        <f t="shared" si="359"/>
        <v>0</v>
      </c>
      <c r="AM355" s="100"/>
      <c r="AN355" s="149">
        <f t="shared" si="344"/>
        <v>0</v>
      </c>
      <c r="AO355" s="149">
        <f>DP!$N$35*H355</f>
        <v>0</v>
      </c>
      <c r="AP355" s="149">
        <f>DP!$O$35*H355</f>
        <v>0</v>
      </c>
      <c r="AQ355" s="149">
        <f>DP!$P$35*H355</f>
        <v>0</v>
      </c>
      <c r="AV355" s="412">
        <f>DP!AV31</f>
        <v>0</v>
      </c>
      <c r="AW355" s="412">
        <f>DP!AW31</f>
        <v>0</v>
      </c>
      <c r="AX355" s="412">
        <f>DP!AX31</f>
        <v>0</v>
      </c>
      <c r="AY355" s="412">
        <f t="shared" si="360"/>
        <v>0</v>
      </c>
      <c r="AZ355" s="470">
        <f>DP!BI31</f>
        <v>0</v>
      </c>
      <c r="BA355" s="98">
        <f t="shared" si="361"/>
        <v>0</v>
      </c>
      <c r="BB355" s="97"/>
      <c r="BC355" s="102">
        <f t="shared" si="345"/>
        <v>0</v>
      </c>
      <c r="BD355" s="98">
        <f t="shared" si="346"/>
        <v>0</v>
      </c>
      <c r="BE355" s="93">
        <f t="shared" si="347"/>
        <v>0</v>
      </c>
      <c r="BF355" s="99">
        <f t="shared" si="348"/>
        <v>0</v>
      </c>
      <c r="BG355" s="100"/>
      <c r="BH355" s="102">
        <f>IFERROR((BA355*100%)/DP!$AR$29,(0*1))</f>
        <v>0</v>
      </c>
      <c r="BI355" s="102">
        <f>IF(BH355&gt;0,(DP!$AR$31),0*1)</f>
        <v>0</v>
      </c>
      <c r="BJ355" s="435">
        <f t="shared" si="362"/>
        <v>0</v>
      </c>
      <c r="BK355" s="475">
        <f>BA355*DP!$BG$44</f>
        <v>0</v>
      </c>
      <c r="BL355" s="475">
        <f>IF(BA355&gt;0,DP!$BH$44,0*1)</f>
        <v>0</v>
      </c>
      <c r="BM355" s="475">
        <f t="shared" si="363"/>
        <v>0</v>
      </c>
      <c r="BN355" s="102">
        <f>BA355*DP!$BG$45</f>
        <v>0</v>
      </c>
      <c r="BO355" s="102">
        <f>IF(BA355&gt;0,DP!$BH$45,0*1)</f>
        <v>0</v>
      </c>
      <c r="BP355" s="475">
        <f t="shared" si="364"/>
        <v>0</v>
      </c>
      <c r="BQ355" s="100"/>
      <c r="BR355" s="100"/>
      <c r="BS355" s="100"/>
      <c r="BT355" s="93">
        <f>IF(AW355=DP!$AN$15,AY355*(1+DP!$AR$15),IF(AW355=DP!$AN$16,AY355*(1+DP!$AR$16),IF(AW355=DP!$AN$17,AY355*(1+DP!$AR$17),IF(AW355=DP!$AN$18,AY355*(1+DP!$AR$18),0*1))))</f>
        <v>0</v>
      </c>
      <c r="BU355" s="102">
        <f>IF(AW355=DP!$AN$22,(DP!$AO$22),IF(AW355=DP!$AN$23,(DP!$AO$23),IF(AW355=DP!$AN$24,(DP!$AO$24),IF(AW355=DP!$AN$25,(DP!$AO$25),((0*1))))))</f>
        <v>0</v>
      </c>
      <c r="BV355" s="93">
        <f t="shared" si="365"/>
        <v>0</v>
      </c>
      <c r="BW355" s="93">
        <f>IF(AW355=DP!$AN$15,AY355*(1+DP!$AR$15),IF(AW355=DP!$AN$16,AY355*(1+DP!$AR$16),IF(AW355=DP!$AN$17,AY355*(1+DP!$AR$17),IF(AW355=DP!$AN$18,AY355*(1+DP!$AR$18),0*1))))</f>
        <v>0</v>
      </c>
      <c r="BX355" s="102">
        <f>IF(AW355=DP!$AN$22,(DP!$AP$22),IF(AW355=DP!$AN$23,(DP!$AP$23),IF(AW355=DP!$AN$24,(DP!$AP$24),IF(AW355=DP!$AN$25,(DP!$AP$25),((0*1))))))</f>
        <v>0</v>
      </c>
      <c r="BY355" s="93">
        <f t="shared" si="366"/>
        <v>0</v>
      </c>
      <c r="BZ355" s="93">
        <f>IF(AW355=DP!$AN$15,(AY355/DP!$AM$15)*(1+DP!$AR$15),IF(AW355=DP!$AN$16,(AY355/DP!$AM$16)*(1+DP!$AR$16),IF(AW355=DP!$AN$17,(AY355/DP!$AM$17)*(1+DP!$AR$17),IF(AW355=DP!$AN$18,(AY355/DP!$AM$18)*(1+DP!$AR$18),0*1))))</f>
        <v>0</v>
      </c>
      <c r="CA355" s="102">
        <f>IF(AW355=DP!$AN$22,(DP!$AQ$22),IF(AW355=DP!$AN$23,(DP!$AQ$23),IF(AW355=DP!$AN$24,(DP!$AQ$24),IF(AW355=DP!$AN$25,(DP!$AQ$25),((0*1))))))</f>
        <v>0</v>
      </c>
      <c r="CB355" s="93">
        <f t="shared" si="367"/>
        <v>0</v>
      </c>
      <c r="CC355" s="93">
        <f>IF(AW355=DP!$AN$15,AY355*(1+DP!$AR$15),IF(AW355=DP!$AN$16,AY355*(1+DP!$AR$16),IF(AW355=DP!$AN$17,AY355*(1+DP!$AR$17),IF(AW355=DP!$AN$18,AY355*(1+DP!$AR$18),0*1))))</f>
        <v>0</v>
      </c>
      <c r="CD355" s="102">
        <f>IF(AW355=DP!$AN$22,(DP!$AR$22),IF(AW355=DP!$AN$23,(DP!$AR$23),IF(AW355=DP!$AN$24,(DP!$AR$24),IF(AW355=DP!$AN$25,(DP!$AR$25),((0*1))))))</f>
        <v>0</v>
      </c>
      <c r="CE355" s="93">
        <f t="shared" si="368"/>
        <v>0</v>
      </c>
      <c r="CF355" s="100"/>
      <c r="CG355" s="149">
        <f t="shared" si="369"/>
        <v>0</v>
      </c>
      <c r="CH355" s="149">
        <f>DP!$N$35*BA355</f>
        <v>0</v>
      </c>
      <c r="CI355" s="149">
        <f>DP!$O$35*BA355</f>
        <v>0</v>
      </c>
      <c r="CJ355" s="149">
        <f>DP!$P$35*BA355</f>
        <v>0</v>
      </c>
    </row>
    <row r="356" spans="2:88" x14ac:dyDescent="0.35">
      <c r="B356" s="480">
        <f>DP!S32</f>
        <v>0</v>
      </c>
      <c r="C356" s="480">
        <f>DP!T32</f>
        <v>0</v>
      </c>
      <c r="D356" s="480">
        <f>DP!U32</f>
        <v>0</v>
      </c>
      <c r="E356" s="480">
        <f>DP!V32</f>
        <v>0</v>
      </c>
      <c r="F356" s="412">
        <f t="shared" si="349"/>
        <v>0</v>
      </c>
      <c r="G356" s="470">
        <f>DP!AG32</f>
        <v>0</v>
      </c>
      <c r="H356" s="98">
        <f t="shared" si="350"/>
        <v>0</v>
      </c>
      <c r="I356" s="97"/>
      <c r="J356" s="102">
        <f t="shared" si="340"/>
        <v>0</v>
      </c>
      <c r="K356" s="98">
        <f t="shared" si="341"/>
        <v>0</v>
      </c>
      <c r="L356" s="93">
        <f t="shared" si="342"/>
        <v>0</v>
      </c>
      <c r="M356" s="99">
        <f t="shared" si="343"/>
        <v>0</v>
      </c>
      <c r="N356" s="100"/>
      <c r="O356" s="102">
        <f>($E356/DP!$P$29)*F356</f>
        <v>0</v>
      </c>
      <c r="P356" s="102">
        <f>IF(O356&gt;0,(DP!$P$31),0*1)</f>
        <v>0</v>
      </c>
      <c r="Q356" s="102">
        <f t="shared" si="351"/>
        <v>0</v>
      </c>
      <c r="R356" s="102">
        <f t="shared" si="352"/>
        <v>0</v>
      </c>
      <c r="S356" s="418">
        <f t="shared" si="353"/>
        <v>0</v>
      </c>
      <c r="T356" s="475">
        <f>H356*DP!$AE$44</f>
        <v>0</v>
      </c>
      <c r="U356" s="475">
        <f>IF(H356&gt;0,DP!$AF$44,0*1)</f>
        <v>0</v>
      </c>
      <c r="V356" s="475">
        <f t="shared" si="354"/>
        <v>0</v>
      </c>
      <c r="W356" s="475">
        <f>H356*DP!$AE$45</f>
        <v>0</v>
      </c>
      <c r="X356" s="475">
        <f>IF(H356&gt;0,DP!$AF$45,0*1)</f>
        <v>0</v>
      </c>
      <c r="Y356" s="475">
        <f t="shared" si="355"/>
        <v>0</v>
      </c>
      <c r="Z356" s="100"/>
      <c r="AA356" s="93">
        <f>IF(D356=DP!$L$15,F356*(1+DP!$P$15),IF(D356=DP!$L$16,F356*(1+DP!$P$16),IF(D356=DP!$L$17,F356*(1+DP!$P$17),IF(D356=DP!$L$18,F356*(1+DP!$P$18),0*1))))</f>
        <v>0</v>
      </c>
      <c r="AB356" s="102">
        <f>IF(D356=DP!$L$22,(DP!$M$22),IF(D356=DP!$L$23,(DP!$M$23),IF(D356=DP!$L$24,(DP!$M$24),IF(D356=DP!$L$25,(DP!$M$25),((0*1))))))</f>
        <v>0</v>
      </c>
      <c r="AC356" s="93">
        <f t="shared" si="356"/>
        <v>0</v>
      </c>
      <c r="AD356" s="93">
        <f>IF(D356=DP!$L$15,F356*(1+DP!$P$15),IF(D356=DP!$L$16,F356*(1+DP!$P$16),IF(D356=DP!$L$17,F356*(1+DP!$P$17),IF(D356=DP!$L$18,F356*(1+DP!$P$18),0*1))))</f>
        <v>0</v>
      </c>
      <c r="AE356" s="102">
        <f>IF(D356=DP!$L$22,(DP!$N$22),IF(D356=DP!$L$23,(DP!$N$23),IF(D356=DP!$L$24,(DP!$N$24),IF(D356=DP!$L$25,(DP!$N$25),((0*1))))))</f>
        <v>0</v>
      </c>
      <c r="AF356" s="93">
        <f t="shared" si="357"/>
        <v>0</v>
      </c>
      <c r="AG356" s="93">
        <f>IF(D356=DP!$L$15,(F356/DP!$K$15)*(1+DP!$P$15),IF(D356=DP!$L$16,(F356/DP!$K$16)*(1+DP!$P$16),IF(D356=DP!$L$17,(F356/DP!$K$17)*(1+DP!$P$17),IF(D356=DP!$L$18,(F356/DP!$K$18)*(1+DP!$P$18),0*1))))</f>
        <v>0</v>
      </c>
      <c r="AH356" s="102">
        <f>IF(D356=DP!$L$22,(DP!$O$22),IF(D356=DP!$L$23,(DP!$O$23),IF(D356=DP!$L$24,(DP!$O$24),IF(D356=DP!$L$25,(DP!$O$25),((0*1))))))</f>
        <v>0</v>
      </c>
      <c r="AI356" s="93">
        <f t="shared" si="358"/>
        <v>0</v>
      </c>
      <c r="AJ356" s="93">
        <f>IF(D356=DP!$L$15,F356*(1+DP!$P$15),IF(D356=DP!$L$16,F356*(1+DP!$P$16),IF(D356=DP!$L$17,F356*(1+DP!$P$17),IF(D356=DP!$L$18,F356*(1+DP!$P$18),0*1))))</f>
        <v>0</v>
      </c>
      <c r="AK356" s="102">
        <f>IF(D356=DP!$L$22,(DP!$P$22),IF(D356=DP!$L$23,(DP!$P$23),IF(D356=DP!$L$24,(DP!$P$24),IF(D356=DP!$L$25,(DP!$P$25),((0*1))))))</f>
        <v>0</v>
      </c>
      <c r="AL356" s="93">
        <f t="shared" si="359"/>
        <v>0</v>
      </c>
      <c r="AM356" s="100"/>
      <c r="AN356" s="149">
        <f t="shared" si="344"/>
        <v>0</v>
      </c>
      <c r="AO356" s="149">
        <f>DP!$N$35*H356</f>
        <v>0</v>
      </c>
      <c r="AP356" s="149">
        <f>DP!$O$35*H356</f>
        <v>0</v>
      </c>
      <c r="AQ356" s="149">
        <f>DP!$P$35*H356</f>
        <v>0</v>
      </c>
      <c r="AV356" s="412">
        <f>DP!AV32</f>
        <v>0</v>
      </c>
      <c r="AW356" s="412">
        <f>DP!AW32</f>
        <v>0</v>
      </c>
      <c r="AX356" s="412">
        <f>DP!AX32</f>
        <v>0</v>
      </c>
      <c r="AY356" s="412">
        <f t="shared" si="360"/>
        <v>0</v>
      </c>
      <c r="AZ356" s="470">
        <f>DP!BI32</f>
        <v>0</v>
      </c>
      <c r="BA356" s="98">
        <f t="shared" si="361"/>
        <v>0</v>
      </c>
      <c r="BB356" s="97"/>
      <c r="BC356" s="102">
        <f t="shared" si="345"/>
        <v>0</v>
      </c>
      <c r="BD356" s="98">
        <f t="shared" si="346"/>
        <v>0</v>
      </c>
      <c r="BE356" s="93">
        <f t="shared" si="347"/>
        <v>0</v>
      </c>
      <c r="BF356" s="99">
        <f t="shared" si="348"/>
        <v>0</v>
      </c>
      <c r="BG356" s="100"/>
      <c r="BH356" s="102">
        <f>IFERROR((BA356*100%)/DP!$AR$29,(0*1))</f>
        <v>0</v>
      </c>
      <c r="BI356" s="102">
        <f>IF(BH356&gt;0,(DP!$AR$31),0*1)</f>
        <v>0</v>
      </c>
      <c r="BJ356" s="435">
        <f t="shared" si="362"/>
        <v>0</v>
      </c>
      <c r="BK356" s="475">
        <f>BA356*DP!$BG$44</f>
        <v>0</v>
      </c>
      <c r="BL356" s="475">
        <f>IF(BA356&gt;0,DP!$BH$44,0*1)</f>
        <v>0</v>
      </c>
      <c r="BM356" s="475">
        <f t="shared" si="363"/>
        <v>0</v>
      </c>
      <c r="BN356" s="102">
        <f>BA356*DP!$BG$45</f>
        <v>0</v>
      </c>
      <c r="BO356" s="102">
        <f>IF(BA356&gt;0,DP!$BH$45,0*1)</f>
        <v>0</v>
      </c>
      <c r="BP356" s="475">
        <f t="shared" si="364"/>
        <v>0</v>
      </c>
      <c r="BQ356" s="100"/>
      <c r="BR356" s="100"/>
      <c r="BS356" s="100"/>
      <c r="BT356" s="93">
        <f>IF(AW356=DP!$AN$15,AY356*(1+DP!$AR$15),IF(AW356=DP!$AN$16,AY356*(1+DP!$AR$16),IF(AW356=DP!$AN$17,AY356*(1+DP!$AR$17),IF(AW356=DP!$AN$18,AY356*(1+DP!$AR$18),0*1))))</f>
        <v>0</v>
      </c>
      <c r="BU356" s="102">
        <f>IF(AW356=DP!$AN$22,(DP!$AO$22),IF(AW356=DP!$AN$23,(DP!$AO$23),IF(AW356=DP!$AN$24,(DP!$AO$24),IF(AW356=DP!$AN$25,(DP!$AO$25),((0*1))))))</f>
        <v>0</v>
      </c>
      <c r="BV356" s="93">
        <f t="shared" si="365"/>
        <v>0</v>
      </c>
      <c r="BW356" s="93">
        <f>IF(AW356=DP!$AN$15,AY356*(1+DP!$AR$15),IF(AW356=DP!$AN$16,AY356*(1+DP!$AR$16),IF(AW356=DP!$AN$17,AY356*(1+DP!$AR$17),IF(AW356=DP!$AN$18,AY356*(1+DP!$AR$18),0*1))))</f>
        <v>0</v>
      </c>
      <c r="BX356" s="102">
        <f>IF(AW356=DP!$AN$22,(DP!$AP$22),IF(AW356=DP!$AN$23,(DP!$AP$23),IF(AW356=DP!$AN$24,(DP!$AP$24),IF(AW356=DP!$AN$25,(DP!$AP$25),((0*1))))))</f>
        <v>0</v>
      </c>
      <c r="BY356" s="93">
        <f t="shared" si="366"/>
        <v>0</v>
      </c>
      <c r="BZ356" s="93">
        <f>IF(AW356=DP!$AN$15,(AY356/DP!$AM$15)*(1+DP!$AR$15),IF(AW356=DP!$AN$16,(AY356/DP!$AM$16)*(1+DP!$AR$16),IF(AW356=DP!$AN$17,(AY356/DP!$AM$17)*(1+DP!$AR$17),IF(AW356=DP!$AN$18,(AY356/DP!$AM$18)*(1+DP!$AR$18),0*1))))</f>
        <v>0</v>
      </c>
      <c r="CA356" s="102">
        <f>IF(AW356=DP!$AN$22,(DP!$AQ$22),IF(AW356=DP!$AN$23,(DP!$AQ$23),IF(AW356=DP!$AN$24,(DP!$AQ$24),IF(AW356=DP!$AN$25,(DP!$AQ$25),((0*1))))))</f>
        <v>0</v>
      </c>
      <c r="CB356" s="93">
        <f t="shared" si="367"/>
        <v>0</v>
      </c>
      <c r="CC356" s="93">
        <f>IF(AW356=DP!$AN$15,AY356*(1+DP!$AR$15),IF(AW356=DP!$AN$16,AY356*(1+DP!$AR$16),IF(AW356=DP!$AN$17,AY356*(1+DP!$AR$17),IF(AW356=DP!$AN$18,AY356*(1+DP!$AR$18),0*1))))</f>
        <v>0</v>
      </c>
      <c r="CD356" s="102">
        <f>IF(AW356=DP!$AN$22,(DP!$AR$22),IF(AW356=DP!$AN$23,(DP!$AR$23),IF(AW356=DP!$AN$24,(DP!$AR$24),IF(AW356=DP!$AN$25,(DP!$AR$25),((0*1))))))</f>
        <v>0</v>
      </c>
      <c r="CE356" s="93">
        <f t="shared" si="368"/>
        <v>0</v>
      </c>
      <c r="CF356" s="100"/>
      <c r="CG356" s="149">
        <f t="shared" si="369"/>
        <v>0</v>
      </c>
      <c r="CH356" s="149">
        <f>DP!$N$35*BA356</f>
        <v>0</v>
      </c>
      <c r="CI356" s="149">
        <f>DP!$O$35*BA356</f>
        <v>0</v>
      </c>
      <c r="CJ356" s="149">
        <f>DP!$P$35*BA356</f>
        <v>0</v>
      </c>
    </row>
    <row r="357" spans="2:88" x14ac:dyDescent="0.35">
      <c r="B357" s="480">
        <f>DP!S33</f>
        <v>0</v>
      </c>
      <c r="C357" s="480">
        <f>DP!T33</f>
        <v>0</v>
      </c>
      <c r="D357" s="480">
        <f>DP!U33</f>
        <v>0</v>
      </c>
      <c r="E357" s="480">
        <f>DP!V33</f>
        <v>0</v>
      </c>
      <c r="F357" s="412">
        <f t="shared" si="349"/>
        <v>0</v>
      </c>
      <c r="G357" s="470">
        <f>DP!AG33</f>
        <v>0</v>
      </c>
      <c r="H357" s="98">
        <f t="shared" si="350"/>
        <v>0</v>
      </c>
      <c r="I357" s="97"/>
      <c r="J357" s="102">
        <f t="shared" si="340"/>
        <v>0</v>
      </c>
      <c r="K357" s="98">
        <f t="shared" si="341"/>
        <v>0</v>
      </c>
      <c r="L357" s="93">
        <f t="shared" si="342"/>
        <v>0</v>
      </c>
      <c r="M357" s="99">
        <f t="shared" si="343"/>
        <v>0</v>
      </c>
      <c r="N357" s="100"/>
      <c r="O357" s="102">
        <f>($E357/DP!$P$29)*F357</f>
        <v>0</v>
      </c>
      <c r="P357" s="102">
        <f>IF(O357&gt;0,(DP!$P$31),0*1)</f>
        <v>0</v>
      </c>
      <c r="Q357" s="102">
        <f t="shared" si="351"/>
        <v>0</v>
      </c>
      <c r="R357" s="102">
        <f t="shared" si="352"/>
        <v>0</v>
      </c>
      <c r="S357" s="418">
        <f t="shared" si="353"/>
        <v>0</v>
      </c>
      <c r="T357" s="475">
        <f>H357*DP!$AE$44</f>
        <v>0</v>
      </c>
      <c r="U357" s="475">
        <f>IF(H357&gt;0,DP!$AF$44,0*1)</f>
        <v>0</v>
      </c>
      <c r="V357" s="475">
        <f t="shared" si="354"/>
        <v>0</v>
      </c>
      <c r="W357" s="475">
        <f>H357*DP!$AE$45</f>
        <v>0</v>
      </c>
      <c r="X357" s="475">
        <f>IF(H357&gt;0,DP!$AF$45,0*1)</f>
        <v>0</v>
      </c>
      <c r="Y357" s="475">
        <f t="shared" si="355"/>
        <v>0</v>
      </c>
      <c r="Z357" s="100"/>
      <c r="AA357" s="93">
        <f>IF(D357=DP!$L$15,F357*(1+DP!$P$15),IF(D357=DP!$L$16,F357*(1+DP!$P$16),IF(D357=DP!$L$17,F357*(1+DP!$P$17),IF(D357=DP!$L$18,F357*(1+DP!$P$18),0*1))))</f>
        <v>0</v>
      </c>
      <c r="AB357" s="102">
        <f>IF(D357=DP!$L$22,(DP!$M$22),IF(D357=DP!$L$23,(DP!$M$23),IF(D357=DP!$L$24,(DP!$M$24),IF(D357=DP!$L$25,(DP!$M$25),((0*1))))))</f>
        <v>0</v>
      </c>
      <c r="AC357" s="93">
        <f t="shared" si="356"/>
        <v>0</v>
      </c>
      <c r="AD357" s="93">
        <f>IF(D357=DP!$L$15,F357*(1+DP!$P$15),IF(D357=DP!$L$16,F357*(1+DP!$P$16),IF(D357=DP!$L$17,F357*(1+DP!$P$17),IF(D357=DP!$L$18,F357*(1+DP!$P$18),0*1))))</f>
        <v>0</v>
      </c>
      <c r="AE357" s="102">
        <f>IF(D357=DP!$L$22,(DP!$N$22),IF(D357=DP!$L$23,(DP!$N$23),IF(D357=DP!$L$24,(DP!$N$24),IF(D357=DP!$L$25,(DP!$N$25),((0*1))))))</f>
        <v>0</v>
      </c>
      <c r="AF357" s="93">
        <f t="shared" si="357"/>
        <v>0</v>
      </c>
      <c r="AG357" s="93">
        <f>IF(D357=DP!$L$15,(F357/DP!$K$15)*(1+DP!$P$15),IF(D357=DP!$L$16,(F357/DP!$K$16)*(1+DP!$P$16),IF(D357=DP!$L$17,(F357/DP!$K$17)*(1+DP!$P$17),IF(D357=DP!$L$18,(F357/DP!$K$18)*(1+DP!$P$18),0*1))))</f>
        <v>0</v>
      </c>
      <c r="AH357" s="102">
        <f>IF(D357=DP!$L$22,(DP!$O$22),IF(D357=DP!$L$23,(DP!$O$23),IF(D357=DP!$L$24,(DP!$O$24),IF(D357=DP!$L$25,(DP!$O$25),((0*1))))))</f>
        <v>0</v>
      </c>
      <c r="AI357" s="93">
        <f t="shared" si="358"/>
        <v>0</v>
      </c>
      <c r="AJ357" s="93">
        <f>IF(D357=DP!$L$15,F357*(1+DP!$P$15),IF(D357=DP!$L$16,F357*(1+DP!$P$16),IF(D357=DP!$L$17,F357*(1+DP!$P$17),IF(D357=DP!$L$18,F357*(1+DP!$P$18),0*1))))</f>
        <v>0</v>
      </c>
      <c r="AK357" s="102">
        <f>IF(D357=DP!$L$22,(DP!$P$22),IF(D357=DP!$L$23,(DP!$P$23),IF(D357=DP!$L$24,(DP!$P$24),IF(D357=DP!$L$25,(DP!$P$25),((0*1))))))</f>
        <v>0</v>
      </c>
      <c r="AL357" s="93">
        <f t="shared" si="359"/>
        <v>0</v>
      </c>
      <c r="AM357" s="100"/>
      <c r="AN357" s="149">
        <f t="shared" si="344"/>
        <v>0</v>
      </c>
      <c r="AO357" s="149">
        <f>DP!$N$35*H357</f>
        <v>0</v>
      </c>
      <c r="AP357" s="149">
        <f>DP!$O$35*H357</f>
        <v>0</v>
      </c>
      <c r="AQ357" s="149">
        <f>DP!$P$35*H357</f>
        <v>0</v>
      </c>
      <c r="AV357" s="412">
        <f>DP!AV33</f>
        <v>0</v>
      </c>
      <c r="AW357" s="412">
        <f>DP!AW33</f>
        <v>0</v>
      </c>
      <c r="AX357" s="412">
        <f>DP!AX33</f>
        <v>0</v>
      </c>
      <c r="AY357" s="412">
        <f t="shared" si="360"/>
        <v>0</v>
      </c>
      <c r="AZ357" s="470">
        <f>DP!BI33</f>
        <v>0</v>
      </c>
      <c r="BA357" s="98">
        <f t="shared" si="361"/>
        <v>0</v>
      </c>
      <c r="BB357" s="97"/>
      <c r="BC357" s="102">
        <f t="shared" si="345"/>
        <v>0</v>
      </c>
      <c r="BD357" s="98">
        <f t="shared" si="346"/>
        <v>0</v>
      </c>
      <c r="BE357" s="93">
        <f t="shared" si="347"/>
        <v>0</v>
      </c>
      <c r="BF357" s="99">
        <f t="shared" si="348"/>
        <v>0</v>
      </c>
      <c r="BG357" s="100"/>
      <c r="BH357" s="102">
        <f>IFERROR((BA357*100%)/DP!$AR$29,(0*1))</f>
        <v>0</v>
      </c>
      <c r="BI357" s="102">
        <f>IF(BH357&gt;0,(DP!$AR$31),0*1)</f>
        <v>0</v>
      </c>
      <c r="BJ357" s="435">
        <f t="shared" si="362"/>
        <v>0</v>
      </c>
      <c r="BK357" s="475">
        <f>BA357*DP!$BG$44</f>
        <v>0</v>
      </c>
      <c r="BL357" s="475">
        <f>IF(BA357&gt;0,DP!$BH$44,0*1)</f>
        <v>0</v>
      </c>
      <c r="BM357" s="475">
        <f t="shared" si="363"/>
        <v>0</v>
      </c>
      <c r="BN357" s="102">
        <f>BA357*DP!$BG$45</f>
        <v>0</v>
      </c>
      <c r="BO357" s="102">
        <f>IF(BA357&gt;0,DP!$BH$45,0*1)</f>
        <v>0</v>
      </c>
      <c r="BP357" s="475">
        <f t="shared" si="364"/>
        <v>0</v>
      </c>
      <c r="BQ357" s="100"/>
      <c r="BR357" s="100"/>
      <c r="BS357" s="100"/>
      <c r="BT357" s="93">
        <f>IF(AW357=DP!$AN$15,AY357*(1+DP!$AR$15),IF(AW357=DP!$AN$16,AY357*(1+DP!$AR$16),IF(AW357=DP!$AN$17,AY357*(1+DP!$AR$17),IF(AW357=DP!$AN$18,AY357*(1+DP!$AR$18),0*1))))</f>
        <v>0</v>
      </c>
      <c r="BU357" s="102">
        <f>IF(AW357=DP!$AN$22,(DP!$AO$22),IF(AW357=DP!$AN$23,(DP!$AO$23),IF(AW357=DP!$AN$24,(DP!$AO$24),IF(AW357=DP!$AN$25,(DP!$AO$25),((0*1))))))</f>
        <v>0</v>
      </c>
      <c r="BV357" s="93">
        <f t="shared" si="365"/>
        <v>0</v>
      </c>
      <c r="BW357" s="93">
        <f>IF(AW357=DP!$AN$15,AY357*(1+DP!$AR$15),IF(AW357=DP!$AN$16,AY357*(1+DP!$AR$16),IF(AW357=DP!$AN$17,AY357*(1+DP!$AR$17),IF(AW357=DP!$AN$18,AY357*(1+DP!$AR$18),0*1))))</f>
        <v>0</v>
      </c>
      <c r="BX357" s="102">
        <f>IF(AW357=DP!$AN$22,(DP!$AP$22),IF(AW357=DP!$AN$23,(DP!$AP$23),IF(AW357=DP!$AN$24,(DP!$AP$24),IF(AW357=DP!$AN$25,(DP!$AP$25),((0*1))))))</f>
        <v>0</v>
      </c>
      <c r="BY357" s="93">
        <f t="shared" si="366"/>
        <v>0</v>
      </c>
      <c r="BZ357" s="93">
        <f>IF(AW357=DP!$AN$15,(AY357/DP!$AM$15)*(1+DP!$AR$15),IF(AW357=DP!$AN$16,(AY357/DP!$AM$16)*(1+DP!$AR$16),IF(AW357=DP!$AN$17,(AY357/DP!$AM$17)*(1+DP!$AR$17),IF(AW357=DP!$AN$18,(AY357/DP!$AM$18)*(1+DP!$AR$18),0*1))))</f>
        <v>0</v>
      </c>
      <c r="CA357" s="102">
        <f>IF(AW357=DP!$AN$22,(DP!$AQ$22),IF(AW357=DP!$AN$23,(DP!$AQ$23),IF(AW357=DP!$AN$24,(DP!$AQ$24),IF(AW357=DP!$AN$25,(DP!$AQ$25),((0*1))))))</f>
        <v>0</v>
      </c>
      <c r="CB357" s="93">
        <f t="shared" si="367"/>
        <v>0</v>
      </c>
      <c r="CC357" s="93">
        <f>IF(AW357=DP!$AN$15,AY357*(1+DP!$AR$15),IF(AW357=DP!$AN$16,AY357*(1+DP!$AR$16),IF(AW357=DP!$AN$17,AY357*(1+DP!$AR$17),IF(AW357=DP!$AN$18,AY357*(1+DP!$AR$18),0*1))))</f>
        <v>0</v>
      </c>
      <c r="CD357" s="102">
        <f>IF(AW357=DP!$AN$22,(DP!$AR$22),IF(AW357=DP!$AN$23,(DP!$AR$23),IF(AW357=DP!$AN$24,(DP!$AR$24),IF(AW357=DP!$AN$25,(DP!$AR$25),((0*1))))))</f>
        <v>0</v>
      </c>
      <c r="CE357" s="93">
        <f t="shared" si="368"/>
        <v>0</v>
      </c>
      <c r="CF357" s="100"/>
      <c r="CG357" s="149">
        <f t="shared" si="369"/>
        <v>0</v>
      </c>
      <c r="CH357" s="149">
        <f>DP!$N$35*BA357</f>
        <v>0</v>
      </c>
      <c r="CI357" s="149">
        <f>DP!$O$35*BA357</f>
        <v>0</v>
      </c>
      <c r="CJ357" s="149">
        <f>DP!$P$35*BA357</f>
        <v>0</v>
      </c>
    </row>
    <row r="358" spans="2:88" x14ac:dyDescent="0.35">
      <c r="B358" s="480">
        <f>DP!S34</f>
        <v>0</v>
      </c>
      <c r="C358" s="480">
        <f>DP!T34</f>
        <v>0</v>
      </c>
      <c r="D358" s="480">
        <f>DP!U34</f>
        <v>0</v>
      </c>
      <c r="E358" s="480">
        <f>DP!V34</f>
        <v>0</v>
      </c>
      <c r="F358" s="412">
        <f t="shared" si="349"/>
        <v>0</v>
      </c>
      <c r="G358" s="470">
        <f>DP!AG34</f>
        <v>0</v>
      </c>
      <c r="H358" s="98">
        <f t="shared" si="350"/>
        <v>0</v>
      </c>
      <c r="I358" s="97"/>
      <c r="J358" s="102">
        <f t="shared" si="340"/>
        <v>0</v>
      </c>
      <c r="K358" s="98">
        <f t="shared" si="341"/>
        <v>0</v>
      </c>
      <c r="L358" s="93">
        <f t="shared" si="342"/>
        <v>0</v>
      </c>
      <c r="M358" s="99">
        <f t="shared" si="343"/>
        <v>0</v>
      </c>
      <c r="N358" s="100"/>
      <c r="O358" s="102">
        <f>($E358/DP!$P$29)*F358</f>
        <v>0</v>
      </c>
      <c r="P358" s="102">
        <f>IF(O358&gt;0,(DP!$P$31),0*1)</f>
        <v>0</v>
      </c>
      <c r="Q358" s="102">
        <f t="shared" si="351"/>
        <v>0</v>
      </c>
      <c r="R358" s="102">
        <f t="shared" si="352"/>
        <v>0</v>
      </c>
      <c r="S358" s="418">
        <f t="shared" si="353"/>
        <v>0</v>
      </c>
      <c r="T358" s="475">
        <f>H358*DP!$AE$44</f>
        <v>0</v>
      </c>
      <c r="U358" s="475">
        <f>IF(H358&gt;0,DP!$AF$44,0*1)</f>
        <v>0</v>
      </c>
      <c r="V358" s="475">
        <f t="shared" si="354"/>
        <v>0</v>
      </c>
      <c r="W358" s="475">
        <f>H358*DP!$AE$45</f>
        <v>0</v>
      </c>
      <c r="X358" s="475">
        <f>IF(H358&gt;0,DP!$AF$45,0*1)</f>
        <v>0</v>
      </c>
      <c r="Y358" s="475">
        <f t="shared" si="355"/>
        <v>0</v>
      </c>
      <c r="Z358" s="100"/>
      <c r="AA358" s="93">
        <f>IF(D358=DP!$L$15,F358*(1+DP!$P$15),IF(D358=DP!$L$16,F358*(1+DP!$P$16),IF(D358=DP!$L$17,F358*(1+DP!$P$17),IF(D358=DP!$L$18,F358*(1+DP!$P$18),0*1))))</f>
        <v>0</v>
      </c>
      <c r="AB358" s="102">
        <f>IF(D358=DP!$L$22,(DP!$M$22),IF(D358=DP!$L$23,(DP!$M$23),IF(D358=DP!$L$24,(DP!$M$24),IF(D358=DP!$L$25,(DP!$M$25),((0*1))))))</f>
        <v>0</v>
      </c>
      <c r="AC358" s="93">
        <f t="shared" si="356"/>
        <v>0</v>
      </c>
      <c r="AD358" s="93">
        <f>IF(D358=DP!$L$15,F358*(1+DP!$P$15),IF(D358=DP!$L$16,F358*(1+DP!$P$16),IF(D358=DP!$L$17,F358*(1+DP!$P$17),IF(D358=DP!$L$18,F358*(1+DP!$P$18),0*1))))</f>
        <v>0</v>
      </c>
      <c r="AE358" s="102">
        <f>IF(D358=DP!$L$22,(DP!$N$22),IF(D358=DP!$L$23,(DP!$N$23),IF(D358=DP!$L$24,(DP!$N$24),IF(D358=DP!$L$25,(DP!$N$25),((0*1))))))</f>
        <v>0</v>
      </c>
      <c r="AF358" s="93">
        <f t="shared" si="357"/>
        <v>0</v>
      </c>
      <c r="AG358" s="93">
        <f>IF(D358=DP!$L$15,(F358/DP!$K$15)*(1+DP!$P$15),IF(D358=DP!$L$16,(F358/DP!$K$16)*(1+DP!$P$16),IF(D358=DP!$L$17,(F358/DP!$K$17)*(1+DP!$P$17),IF(D358=DP!$L$18,(F358/DP!$K$18)*(1+DP!$P$18),0*1))))</f>
        <v>0</v>
      </c>
      <c r="AH358" s="102">
        <f>IF(D358=DP!$L$22,(DP!$O$22),IF(D358=DP!$L$23,(DP!$O$23),IF(D358=DP!$L$24,(DP!$O$24),IF(D358=DP!$L$25,(DP!$O$25),((0*1))))))</f>
        <v>0</v>
      </c>
      <c r="AI358" s="93">
        <f t="shared" si="358"/>
        <v>0</v>
      </c>
      <c r="AJ358" s="93">
        <f>IF(D358=DP!$L$15,F358*(1+DP!$P$15),IF(D358=DP!$L$16,F358*(1+DP!$P$16),IF(D358=DP!$L$17,F358*(1+DP!$P$17),IF(D358=DP!$L$18,F358*(1+DP!$P$18),0*1))))</f>
        <v>0</v>
      </c>
      <c r="AK358" s="102">
        <f>IF(D358=DP!$L$22,(DP!$P$22),IF(D358=DP!$L$23,(DP!$P$23),IF(D358=DP!$L$24,(DP!$P$24),IF(D358=DP!$L$25,(DP!$P$25),((0*1))))))</f>
        <v>0</v>
      </c>
      <c r="AL358" s="93">
        <f t="shared" si="359"/>
        <v>0</v>
      </c>
      <c r="AM358" s="100"/>
      <c r="AN358" s="149">
        <f t="shared" si="344"/>
        <v>0</v>
      </c>
      <c r="AO358" s="149">
        <f>DP!$N$35*H358</f>
        <v>0</v>
      </c>
      <c r="AP358" s="149">
        <f>DP!$O$35*H358</f>
        <v>0</v>
      </c>
      <c r="AQ358" s="149">
        <f>DP!$P$35*H358</f>
        <v>0</v>
      </c>
      <c r="AV358" s="412">
        <f>DP!AV34</f>
        <v>0</v>
      </c>
      <c r="AW358" s="412">
        <f>DP!AW34</f>
        <v>0</v>
      </c>
      <c r="AX358" s="412">
        <f>DP!AX34</f>
        <v>0</v>
      </c>
      <c r="AY358" s="412">
        <f t="shared" si="360"/>
        <v>0</v>
      </c>
      <c r="AZ358" s="470">
        <f>DP!BI34</f>
        <v>0</v>
      </c>
      <c r="BA358" s="98">
        <f t="shared" si="361"/>
        <v>0</v>
      </c>
      <c r="BB358" s="97"/>
      <c r="BC358" s="102">
        <f t="shared" si="345"/>
        <v>0</v>
      </c>
      <c r="BD358" s="98">
        <f t="shared" si="346"/>
        <v>0</v>
      </c>
      <c r="BE358" s="93">
        <f t="shared" si="347"/>
        <v>0</v>
      </c>
      <c r="BF358" s="99">
        <f t="shared" si="348"/>
        <v>0</v>
      </c>
      <c r="BG358" s="100"/>
      <c r="BH358" s="102">
        <f>IFERROR((BA358*100%)/DP!$AR$29,(0*1))</f>
        <v>0</v>
      </c>
      <c r="BI358" s="102">
        <f>IF(BH358&gt;0,(DP!$AR$31),0*1)</f>
        <v>0</v>
      </c>
      <c r="BJ358" s="435">
        <f>BH358*BI358</f>
        <v>0</v>
      </c>
      <c r="BK358" s="475">
        <f>BA358*DP!$BG$44</f>
        <v>0</v>
      </c>
      <c r="BL358" s="475">
        <f>IF(BA358&gt;0,DP!$BH$44,0*1)</f>
        <v>0</v>
      </c>
      <c r="BM358" s="475">
        <f t="shared" si="363"/>
        <v>0</v>
      </c>
      <c r="BN358" s="102">
        <f>BA358*DP!$BG$45</f>
        <v>0</v>
      </c>
      <c r="BO358" s="102">
        <f>IF(BA358&gt;0,DP!$BH$45,0*1)</f>
        <v>0</v>
      </c>
      <c r="BP358" s="475">
        <f t="shared" si="364"/>
        <v>0</v>
      </c>
      <c r="BQ358" s="100"/>
      <c r="BR358" s="100"/>
      <c r="BS358" s="100"/>
      <c r="BT358" s="93">
        <f>IF(AW358=DP!$AN$15,AY358*(1+DP!$AR$15),IF(AW358=DP!$AN$16,AY358*(1+DP!$AR$16),IF(AW358=DP!$AN$17,AY358*(1+DP!$AR$17),IF(AW358=DP!$AN$18,AY358*(1+DP!$AR$18),0*1))))</f>
        <v>0</v>
      </c>
      <c r="BU358" s="102">
        <f>IF(AW358=DP!$AN$22,(DP!$AO$22),IF(AW358=DP!$AN$23,(DP!$AO$23),IF(AW358=DP!$AN$24,(DP!$AO$24),IF(AW358=DP!$AN$25,(DP!$AO$25),((0*1))))))</f>
        <v>0</v>
      </c>
      <c r="BV358" s="93">
        <f t="shared" si="365"/>
        <v>0</v>
      </c>
      <c r="BW358" s="93">
        <f>IF(AW358=DP!$AN$15,AY358*(1+DP!$AR$15),IF(AW358=DP!$AN$16,AY358*(1+DP!$AR$16),IF(AW358=DP!$AN$17,AY358*(1+DP!$AR$17),IF(AW358=DP!$AN$18,AY358*(1+DP!$AR$18),0*1))))</f>
        <v>0</v>
      </c>
      <c r="BX358" s="102">
        <f>IF(AW358=DP!$AN$22,(DP!$AP$22),IF(AW358=DP!$AN$23,(DP!$AP$23),IF(AW358=DP!$AN$24,(DP!$AP$24),IF(AW358=DP!$AN$25,(DP!$AP$25),((0*1))))))</f>
        <v>0</v>
      </c>
      <c r="BY358" s="93">
        <f t="shared" si="366"/>
        <v>0</v>
      </c>
      <c r="BZ358" s="93">
        <f>IF(AW358=DP!$AN$15,(AY358/DP!$AM$15)*(1+DP!$AR$15),IF(AW358=DP!$AN$16,(AY358/DP!$AM$16)*(1+DP!$AR$16),IF(AW358=DP!$AN$17,(AY358/DP!$AM$17)*(1+DP!$AR$17),IF(AW358=DP!$AN$18,(AY358/DP!$AM$18)*(1+DP!$AR$18),0*1))))</f>
        <v>0</v>
      </c>
      <c r="CA358" s="102">
        <f>IF(AW358=DP!$AN$22,(DP!$AQ$22),IF(AW358=DP!$AN$23,(DP!$AQ$23),IF(AW358=DP!$AN$24,(DP!$AQ$24),IF(AW358=DP!$AN$25,(DP!$AQ$25),((0*1))))))</f>
        <v>0</v>
      </c>
      <c r="CB358" s="93">
        <f t="shared" si="367"/>
        <v>0</v>
      </c>
      <c r="CC358" s="93">
        <f>IF(AW358=DP!$AN$15,AY358*(1+DP!$AR$15),IF(AW358=DP!$AN$16,AY358*(1+DP!$AR$16),IF(AW358=DP!$AN$17,AY358*(1+DP!$AR$17),IF(AW358=DP!$AN$18,AY358*(1+DP!$AR$18),0*1))))</f>
        <v>0</v>
      </c>
      <c r="CD358" s="102">
        <f>IF(AW358=DP!$AN$22,(DP!$AR$22),IF(AW358=DP!$AN$23,(DP!$AR$23),IF(AW358=DP!$AN$24,(DP!$AR$24),IF(AW358=DP!$AN$25,(DP!$AR$25),((0*1))))))</f>
        <v>0</v>
      </c>
      <c r="CE358" s="93">
        <f t="shared" si="368"/>
        <v>0</v>
      </c>
      <c r="CF358" s="100"/>
      <c r="CG358" s="149">
        <f t="shared" si="369"/>
        <v>0</v>
      </c>
      <c r="CH358" s="149">
        <f>DP!$N$35*BA358</f>
        <v>0</v>
      </c>
      <c r="CI358" s="149">
        <f>DP!$O$35*BA358</f>
        <v>0</v>
      </c>
      <c r="CJ358" s="149">
        <f>DP!$P$35*BA358</f>
        <v>0</v>
      </c>
    </row>
    <row r="359" spans="2:88" x14ac:dyDescent="0.35">
      <c r="B359" s="480">
        <f>DP!S35</f>
        <v>0</v>
      </c>
      <c r="C359" s="480">
        <f>DP!T35</f>
        <v>0</v>
      </c>
      <c r="D359" s="480">
        <f>DP!U35</f>
        <v>0</v>
      </c>
      <c r="E359" s="480">
        <f>DP!V35</f>
        <v>0</v>
      </c>
      <c r="F359" s="412">
        <f t="shared" si="349"/>
        <v>0</v>
      </c>
      <c r="G359" s="470">
        <f>DP!AG35</f>
        <v>0</v>
      </c>
      <c r="H359" s="98">
        <f t="shared" si="350"/>
        <v>0</v>
      </c>
      <c r="I359" s="97"/>
      <c r="J359" s="102">
        <f t="shared" si="340"/>
        <v>0</v>
      </c>
      <c r="K359" s="98">
        <f t="shared" si="341"/>
        <v>0</v>
      </c>
      <c r="L359" s="93">
        <f t="shared" si="342"/>
        <v>0</v>
      </c>
      <c r="M359" s="99">
        <f t="shared" si="343"/>
        <v>0</v>
      </c>
      <c r="N359" s="100"/>
      <c r="O359" s="102">
        <f>($E359/DP!$P$29)*F359</f>
        <v>0</v>
      </c>
      <c r="P359" s="102">
        <f>IF(O359&gt;0,(DP!$P$31),0*1)</f>
        <v>0</v>
      </c>
      <c r="Q359" s="102">
        <f t="shared" si="351"/>
        <v>0</v>
      </c>
      <c r="R359" s="102">
        <f t="shared" si="352"/>
        <v>0</v>
      </c>
      <c r="S359" s="418">
        <f t="shared" si="353"/>
        <v>0</v>
      </c>
      <c r="T359" s="475">
        <f>H359*DP!$AE$44</f>
        <v>0</v>
      </c>
      <c r="U359" s="475">
        <f>IF(H359&gt;0,DP!$AF$44,0*1)</f>
        <v>0</v>
      </c>
      <c r="V359" s="475">
        <f t="shared" si="354"/>
        <v>0</v>
      </c>
      <c r="W359" s="475">
        <f>H359*DP!$AE$45</f>
        <v>0</v>
      </c>
      <c r="X359" s="475">
        <f>IF(H359&gt;0,DP!$AF$45,0*1)</f>
        <v>0</v>
      </c>
      <c r="Y359" s="475">
        <f t="shared" si="355"/>
        <v>0</v>
      </c>
      <c r="Z359" s="100"/>
      <c r="AA359" s="93">
        <f>IF(D359=DP!$L$15,F359*(1+DP!$P$15),IF(D359=DP!$L$16,F359*(1+DP!$P$16),IF(D359=DP!$L$17,F359*(1+DP!$P$17),IF(D359=DP!$L$18,F359*(1+DP!$P$18),0*1))))</f>
        <v>0</v>
      </c>
      <c r="AB359" s="102">
        <f>IF(D359=DP!$L$22,(DP!$M$22),IF(D359=DP!$L$23,(DP!$M$23),IF(D359=DP!$L$24,(DP!$M$24),IF(D359=DP!$L$25,(DP!$M$25),((0*1))))))</f>
        <v>0</v>
      </c>
      <c r="AC359" s="93">
        <f t="shared" si="356"/>
        <v>0</v>
      </c>
      <c r="AD359" s="93">
        <f>IF(D359=DP!$L$15,F359*(1+DP!$P$15),IF(D359=DP!$L$16,F359*(1+DP!$P$16),IF(D359=DP!$L$17,F359*(1+DP!$P$17),IF(D359=DP!$L$18,F359*(1+DP!$P$18),0*1))))</f>
        <v>0</v>
      </c>
      <c r="AE359" s="102">
        <f>IF(D359=DP!$L$22,(DP!$N$22),IF(D359=DP!$L$23,(DP!$N$23),IF(D359=DP!$L$24,(DP!$N$24),IF(D359=DP!$L$25,(DP!$N$25),((0*1))))))</f>
        <v>0</v>
      </c>
      <c r="AF359" s="93">
        <f t="shared" si="357"/>
        <v>0</v>
      </c>
      <c r="AG359" s="93">
        <f>IF(D359=DP!$L$15,(F359/DP!$K$15)*(1+DP!$P$15),IF(D359=DP!$L$16,(F359/DP!$K$16)*(1+DP!$P$16),IF(D359=DP!$L$17,(F359/DP!$K$17)*(1+DP!$P$17),IF(D359=DP!$L$18,(F359/DP!$K$18)*(1+DP!$P$18),0*1))))</f>
        <v>0</v>
      </c>
      <c r="AH359" s="102">
        <f>IF(D359=DP!$L$22,(DP!$O$22),IF(D359=DP!$L$23,(DP!$O$23),IF(D359=DP!$L$24,(DP!$O$24),IF(D359=DP!$L$25,(DP!$O$25),((0*1))))))</f>
        <v>0</v>
      </c>
      <c r="AI359" s="93">
        <f t="shared" si="358"/>
        <v>0</v>
      </c>
      <c r="AJ359" s="93">
        <f>IF(D359=DP!$L$15,F359*(1+DP!$P$15),IF(D359=DP!$L$16,F359*(1+DP!$P$16),IF(D359=DP!$L$17,F359*(1+DP!$P$17),IF(D359=DP!$L$18,F359*(1+DP!$P$18),0*1))))</f>
        <v>0</v>
      </c>
      <c r="AK359" s="102">
        <f>IF(D359=DP!$L$22,(DP!$P$22),IF(D359=DP!$L$23,(DP!$P$23),IF(D359=DP!$L$24,(DP!$P$24),IF(D359=DP!$L$25,(DP!$P$25),((0*1))))))</f>
        <v>0</v>
      </c>
      <c r="AL359" s="93">
        <f t="shared" si="359"/>
        <v>0</v>
      </c>
      <c r="AM359" s="100"/>
      <c r="AN359" s="149">
        <f t="shared" si="344"/>
        <v>0</v>
      </c>
      <c r="AO359" s="149">
        <f>DP!$N$35*H359</f>
        <v>0</v>
      </c>
      <c r="AP359" s="149">
        <f>DP!$O$35*H359</f>
        <v>0</v>
      </c>
      <c r="AQ359" s="149">
        <f>DP!$P$35*H359</f>
        <v>0</v>
      </c>
      <c r="AV359" s="412">
        <f>DP!AV35</f>
        <v>0</v>
      </c>
      <c r="AW359" s="412">
        <f>DP!AW35</f>
        <v>0</v>
      </c>
      <c r="AX359" s="412">
        <f>DP!AX35</f>
        <v>0</v>
      </c>
      <c r="AY359" s="412">
        <f t="shared" si="360"/>
        <v>0</v>
      </c>
      <c r="AZ359" s="470">
        <f>DP!BI35</f>
        <v>0</v>
      </c>
      <c r="BA359" s="98">
        <f t="shared" si="361"/>
        <v>0</v>
      </c>
      <c r="BB359" s="97"/>
      <c r="BC359" s="102">
        <f t="shared" si="345"/>
        <v>0</v>
      </c>
      <c r="BD359" s="98">
        <f t="shared" si="346"/>
        <v>0</v>
      </c>
      <c r="BE359" s="93">
        <f t="shared" si="347"/>
        <v>0</v>
      </c>
      <c r="BF359" s="99">
        <f t="shared" si="348"/>
        <v>0</v>
      </c>
      <c r="BG359" s="100"/>
      <c r="BH359" s="102">
        <f>IFERROR((BA359*100%)/DP!$AR$29,(0*1))</f>
        <v>0</v>
      </c>
      <c r="BI359" s="102">
        <f>IF(BH359&gt;0,(DP!$AR$31),0*1)</f>
        <v>0</v>
      </c>
      <c r="BJ359" s="435">
        <f t="shared" ref="BJ359:BJ360" si="370">BH359*BI359</f>
        <v>0</v>
      </c>
      <c r="BK359" s="475">
        <f>BA359*DP!$BG$44</f>
        <v>0</v>
      </c>
      <c r="BL359" s="475">
        <f>IF(BA359&gt;0,DP!$BH$44,0*1)</f>
        <v>0</v>
      </c>
      <c r="BM359" s="475">
        <f t="shared" si="363"/>
        <v>0</v>
      </c>
      <c r="BN359" s="102">
        <f>BA359*DP!$BG$45</f>
        <v>0</v>
      </c>
      <c r="BO359" s="102">
        <f>IF(BA359&gt;0,DP!$BH$45,0*1)</f>
        <v>0</v>
      </c>
      <c r="BP359" s="475">
        <f t="shared" si="364"/>
        <v>0</v>
      </c>
      <c r="BQ359" s="100"/>
      <c r="BR359" s="100"/>
      <c r="BS359" s="100"/>
      <c r="BT359" s="93">
        <f>IF(AW359=DP!$AN$15,AY359*(1+DP!$AR$15),IF(AW359=DP!$AN$16,AY359*(1+DP!$AR$16),IF(AW359=DP!$AN$17,AY359*(1+DP!$AR$17),IF(AW359=DP!$AN$18,AY359*(1+DP!$AR$18),0*1))))</f>
        <v>0</v>
      </c>
      <c r="BU359" s="102">
        <f>IF(AW359=DP!$AN$22,(DP!$AO$22),IF(AW359=DP!$AN$23,(DP!$AO$23),IF(AW359=DP!$AN$24,(DP!$AO$24),IF(AW359=DP!$AN$25,(DP!$AO$25),((0*1))))))</f>
        <v>0</v>
      </c>
      <c r="BV359" s="93">
        <f t="shared" si="365"/>
        <v>0</v>
      </c>
      <c r="BW359" s="93">
        <f>IF(AW359=DP!$AN$15,AY359*(1+DP!$AR$15),IF(AW359=DP!$AN$16,AY359*(1+DP!$AR$16),IF(AW359=DP!$AN$17,AY359*(1+DP!$AR$17),IF(AW359=DP!$AN$18,AY359*(1+DP!$AR$18),0*1))))</f>
        <v>0</v>
      </c>
      <c r="BX359" s="102">
        <f>IF(AW359=DP!$AN$22,(DP!$AP$22),IF(AW359=DP!$AN$23,(DP!$AP$23),IF(AW359=DP!$AN$24,(DP!$AP$24),IF(AW359=DP!$AN$25,(DP!$AP$25),((0*1))))))</f>
        <v>0</v>
      </c>
      <c r="BY359" s="93">
        <f t="shared" si="366"/>
        <v>0</v>
      </c>
      <c r="BZ359" s="93">
        <f>IF(AW359=DP!$AN$15,(AY359/DP!$AM$15)*(1+DP!$AR$15),IF(AW359=DP!$AN$16,(AY359/DP!$AM$16)*(1+DP!$AR$16),IF(AW359=DP!$AN$17,(AY359/DP!$AM$17)*(1+DP!$AR$17),IF(AW359=DP!$AN$18,(AY359/DP!$AM$18)*(1+DP!$AR$18),0*1))))</f>
        <v>0</v>
      </c>
      <c r="CA359" s="102">
        <f>IF(AW359=DP!$AN$22,(DP!$AQ$22),IF(AW359=DP!$AN$23,(DP!$AQ$23),IF(AW359=DP!$AN$24,(DP!$AQ$24),IF(AW359=DP!$AN$25,(DP!$AQ$25),((0*1))))))</f>
        <v>0</v>
      </c>
      <c r="CB359" s="93">
        <f t="shared" si="367"/>
        <v>0</v>
      </c>
      <c r="CC359" s="93">
        <f>IF(AW359=DP!$AN$15,AY359*(1+DP!$AR$15),IF(AW359=DP!$AN$16,AY359*(1+DP!$AR$16),IF(AW359=DP!$AN$17,AY359*(1+DP!$AR$17),IF(AW359=DP!$AN$18,AY359*(1+DP!$AR$18),0*1))))</f>
        <v>0</v>
      </c>
      <c r="CD359" s="102">
        <f>IF(AW359=DP!$AN$22,(DP!$AR$22),IF(AW359=DP!$AN$23,(DP!$AR$23),IF(AW359=DP!$AN$24,(DP!$AR$24),IF(AW359=DP!$AN$25,(DP!$AR$25),((0*1))))))</f>
        <v>0</v>
      </c>
      <c r="CE359" s="93">
        <f t="shared" si="368"/>
        <v>0</v>
      </c>
      <c r="CF359" s="100"/>
      <c r="CG359" s="149">
        <f t="shared" si="369"/>
        <v>0</v>
      </c>
      <c r="CH359" s="149">
        <f>DP!$N$35*BA359</f>
        <v>0</v>
      </c>
      <c r="CI359" s="149">
        <f>DP!$O$35*BA359</f>
        <v>0</v>
      </c>
      <c r="CJ359" s="149">
        <f>DP!$P$35*BA359</f>
        <v>0</v>
      </c>
    </row>
    <row r="360" spans="2:88" ht="16" thickBot="1" x14ac:dyDescent="0.4">
      <c r="B360" s="480">
        <f>DP!S36</f>
        <v>0</v>
      </c>
      <c r="C360" s="480">
        <f>DP!T36</f>
        <v>0</v>
      </c>
      <c r="D360" s="480">
        <f>DP!U36</f>
        <v>0</v>
      </c>
      <c r="E360" s="480">
        <f>DP!V36</f>
        <v>0</v>
      </c>
      <c r="F360" s="412">
        <f t="shared" si="349"/>
        <v>0</v>
      </c>
      <c r="G360" s="470">
        <f>DP!AG36</f>
        <v>0</v>
      </c>
      <c r="H360" s="98">
        <f t="shared" si="350"/>
        <v>0</v>
      </c>
      <c r="I360" s="97"/>
      <c r="J360" s="102">
        <f t="shared" si="340"/>
        <v>0</v>
      </c>
      <c r="K360" s="98">
        <f t="shared" si="341"/>
        <v>0</v>
      </c>
      <c r="L360" s="93">
        <f t="shared" si="342"/>
        <v>0</v>
      </c>
      <c r="M360" s="99">
        <f t="shared" si="343"/>
        <v>0</v>
      </c>
      <c r="N360" s="100"/>
      <c r="O360" s="102">
        <f>($E360/DP!$P$29)*F360</f>
        <v>0</v>
      </c>
      <c r="P360" s="102">
        <f>IF(O360&gt;0,(DP!$P$31),0*1)</f>
        <v>0</v>
      </c>
      <c r="Q360" s="102">
        <f t="shared" si="351"/>
        <v>0</v>
      </c>
      <c r="R360" s="102">
        <f t="shared" si="352"/>
        <v>0</v>
      </c>
      <c r="S360" s="418">
        <f t="shared" si="353"/>
        <v>0</v>
      </c>
      <c r="T360" s="475">
        <f>H360*DP!$AE$44</f>
        <v>0</v>
      </c>
      <c r="U360" s="475">
        <f>IF(H360&gt;0,DP!$AF$44,0*1)</f>
        <v>0</v>
      </c>
      <c r="V360" s="475">
        <f t="shared" si="354"/>
        <v>0</v>
      </c>
      <c r="W360" s="475">
        <f>H360*DP!$AE$45</f>
        <v>0</v>
      </c>
      <c r="X360" s="475">
        <f>IF(H360&gt;0,DP!$AF$45,0*1)</f>
        <v>0</v>
      </c>
      <c r="Y360" s="475">
        <f t="shared" si="355"/>
        <v>0</v>
      </c>
      <c r="Z360" s="100"/>
      <c r="AA360" s="93">
        <f>IF(D360=DP!$L$15,F360*(1+DP!$P$15),IF(D360=DP!$L$16,F360*(1+DP!$P$16),IF(D360=DP!$L$17,F360*(1+DP!$P$17),IF(D360=DP!$L$18,F360*(1+DP!$P$18),0*1))))</f>
        <v>0</v>
      </c>
      <c r="AB360" s="102">
        <f>IF(D360=DP!$L$22,(DP!$M$22),IF(D360=DP!$L$23,(DP!$M$23),IF(D360=DP!$L$24,(DP!$M$24),IF(D360=DP!$L$25,(DP!$M$25),((0*1))))))</f>
        <v>0</v>
      </c>
      <c r="AC360" s="93">
        <f t="shared" si="356"/>
        <v>0</v>
      </c>
      <c r="AD360" s="93">
        <f>IF(D360=DP!$L$15,F360*(1+DP!$P$15),IF(D360=DP!$L$16,F360*(1+DP!$P$16),IF(D360=DP!$L$17,F360*(1+DP!$P$17),IF(D360=DP!$L$18,F360*(1+DP!$P$18),0*1))))</f>
        <v>0</v>
      </c>
      <c r="AE360" s="102">
        <f>IF(D360=DP!$L$22,(DP!$N$22),IF(D360=DP!$L$23,(DP!$N$23),IF(D360=DP!$L$24,(DP!$N$24),IF(D360=DP!$L$25,(DP!$N$25),((0*1))))))</f>
        <v>0</v>
      </c>
      <c r="AF360" s="93">
        <f t="shared" si="357"/>
        <v>0</v>
      </c>
      <c r="AG360" s="93">
        <f>IF(D360=DP!$L$15,(F360/DP!$K$15)*(1+DP!$P$15),IF(D360=DP!$L$16,(F360/DP!$K$16)*(1+DP!$P$16),IF(D360=DP!$L$17,(F360/DP!$K$17)*(1+DP!$P$17),IF(D360=DP!$L$18,(F360/DP!$K$18)*(1+DP!$P$18),0*1))))</f>
        <v>0</v>
      </c>
      <c r="AH360" s="102">
        <f>IF(D360=DP!$L$22,(DP!$O$22),IF(D360=DP!$L$23,(DP!$O$23),IF(D360=DP!$L$24,(DP!$O$24),IF(D360=DP!$L$25,(DP!$O$25),((0*1))))))</f>
        <v>0</v>
      </c>
      <c r="AI360" s="93">
        <f t="shared" si="358"/>
        <v>0</v>
      </c>
      <c r="AJ360" s="93">
        <f>IF(D360=DP!$L$15,F360*(1+DP!$P$15),IF(D360=DP!$L$16,F360*(1+DP!$P$16),IF(D360=DP!$L$17,F360*(1+DP!$P$17),IF(D360=DP!$L$18,F360*(1+DP!$P$18),0*1))))</f>
        <v>0</v>
      </c>
      <c r="AK360" s="102">
        <f>IF(D360=DP!$L$22,(DP!$P$22),IF(D360=DP!$L$23,(DP!$P$23),IF(D360=DP!$L$24,(DP!$P$24),IF(D360=DP!$L$25,(DP!$P$25),((0*1))))))</f>
        <v>0</v>
      </c>
      <c r="AL360" s="93">
        <f t="shared" si="359"/>
        <v>0</v>
      </c>
      <c r="AM360" s="100"/>
      <c r="AN360" s="149">
        <f t="shared" si="344"/>
        <v>0</v>
      </c>
      <c r="AO360" s="149">
        <f>DP!$N$35*H360</f>
        <v>0</v>
      </c>
      <c r="AP360" s="149">
        <f>DP!$O$35*H360</f>
        <v>0</v>
      </c>
      <c r="AQ360" s="149">
        <f>DP!$P$35*H360</f>
        <v>0</v>
      </c>
      <c r="AV360" s="412">
        <f>DP!AV36</f>
        <v>0</v>
      </c>
      <c r="AW360" s="412">
        <f>DP!AW36</f>
        <v>0</v>
      </c>
      <c r="AX360" s="412">
        <f>DP!AX36</f>
        <v>0</v>
      </c>
      <c r="AY360" s="412">
        <f t="shared" si="360"/>
        <v>0</v>
      </c>
      <c r="AZ360" s="470">
        <f>DP!BI36</f>
        <v>0</v>
      </c>
      <c r="BA360" s="98">
        <f t="shared" si="361"/>
        <v>0</v>
      </c>
      <c r="BB360" s="97"/>
      <c r="BC360" s="102">
        <f t="shared" si="345"/>
        <v>0</v>
      </c>
      <c r="BD360" s="98">
        <f t="shared" si="346"/>
        <v>0</v>
      </c>
      <c r="BE360" s="93">
        <f t="shared" si="347"/>
        <v>0</v>
      </c>
      <c r="BF360" s="99">
        <f t="shared" si="348"/>
        <v>0</v>
      </c>
      <c r="BG360" s="100"/>
      <c r="BH360" s="102">
        <f>IFERROR((BA360*100%)/DP!$AR$29,(0*1))</f>
        <v>0</v>
      </c>
      <c r="BI360" s="102">
        <f>IF(BH360&gt;0,(DP!$AR$31),0*1)</f>
        <v>0</v>
      </c>
      <c r="BJ360" s="435">
        <f t="shared" si="370"/>
        <v>0</v>
      </c>
      <c r="BK360" s="475">
        <f>BA360*DP!$BG$44</f>
        <v>0</v>
      </c>
      <c r="BL360" s="475">
        <f>IF(BA360&gt;0,DP!$BH$44,0*1)</f>
        <v>0</v>
      </c>
      <c r="BM360" s="475">
        <f t="shared" si="363"/>
        <v>0</v>
      </c>
      <c r="BN360" s="102">
        <f>BA360*DP!$BG$45</f>
        <v>0</v>
      </c>
      <c r="BO360" s="102">
        <f>IF(BA360&gt;0,DP!$BH$45,0*1)</f>
        <v>0</v>
      </c>
      <c r="BP360" s="475">
        <f t="shared" si="364"/>
        <v>0</v>
      </c>
      <c r="BQ360" s="100"/>
      <c r="BR360" s="100"/>
      <c r="BS360" s="100"/>
      <c r="BT360" s="93">
        <f>IF(AW360=DP!$AN$15,AY360*(1+DP!$AR$15),IF(AW360=DP!$AN$16,AY360*(1+DP!$AR$16),IF(AW360=DP!$AN$17,AY360*(1+DP!$AR$17),IF(AW360=DP!$AN$18,AY360*(1+DP!$AR$18),0*1))))</f>
        <v>0</v>
      </c>
      <c r="BU360" s="102">
        <f>IF(AW360=DP!$AN$22,(DP!$AO$22),IF(AW360=DP!$AN$23,(DP!$AO$23),IF(AW360=DP!$AN$24,(DP!$AO$24),IF(AW360=DP!$AN$25,(DP!$AO$25),((0*1))))))</f>
        <v>0</v>
      </c>
      <c r="BV360" s="93">
        <f t="shared" si="365"/>
        <v>0</v>
      </c>
      <c r="BW360" s="93">
        <f>IF(AW360=DP!$AN$15,AY360*(1+DP!$AR$15),IF(AW360=DP!$AN$16,AY360*(1+DP!$AR$16),IF(AW360=DP!$AN$17,AY360*(1+DP!$AR$17),IF(AW360=DP!$AN$18,AY360*(1+DP!$AR$18),0*1))))</f>
        <v>0</v>
      </c>
      <c r="BX360" s="102">
        <f>IF(AW360=DP!$AN$22,(DP!$AP$22),IF(AW360=DP!$AN$23,(DP!$AP$23),IF(AW360=DP!$AN$24,(DP!$AP$24),IF(AW360=DP!$AN$25,(DP!$AP$25),((0*1))))))</f>
        <v>0</v>
      </c>
      <c r="BY360" s="93">
        <f t="shared" si="366"/>
        <v>0</v>
      </c>
      <c r="BZ360" s="93">
        <f>IF(AW360=DP!$AN$15,(AY360/DP!$AM$15)*(1+DP!$AR$15),IF(AW360=DP!$AN$16,(AY360/DP!$AM$16)*(1+DP!$AR$16),IF(AW360=DP!$AN$17,(AY360/DP!$AM$17)*(1+DP!$AR$17),IF(AW360=DP!$AN$18,(AY360/DP!$AM$18)*(1+DP!$AR$18),0*1))))</f>
        <v>0</v>
      </c>
      <c r="CA360" s="102">
        <f>IF(AW360=DP!$AN$22,(DP!$AQ$22),IF(AW360=DP!$AN$23,(DP!$AQ$23),IF(AW360=DP!$AN$24,(DP!$AQ$24),IF(AW360=DP!$AN$25,(DP!$AQ$25),((0*1))))))</f>
        <v>0</v>
      </c>
      <c r="CB360" s="93">
        <f t="shared" si="367"/>
        <v>0</v>
      </c>
      <c r="CC360" s="93">
        <f>IF(AW360=DP!$AN$15,AY360*(1+DP!$AR$15),IF(AW360=DP!$AN$16,AY360*(1+DP!$AR$16),IF(AW360=DP!$AN$17,AY360*(1+DP!$AR$17),IF(AW360=DP!$AN$18,AY360*(1+DP!$AR$18),0*1))))</f>
        <v>0</v>
      </c>
      <c r="CD360" s="102">
        <f>IF(AW360=DP!$AN$22,(DP!$AR$22),IF(AW360=DP!$AN$23,(DP!$AR$23),IF(AW360=DP!$AN$24,(DP!$AR$24),IF(AW360=DP!$AN$25,(DP!$AR$25),((0*1))))))</f>
        <v>0</v>
      </c>
      <c r="CE360" s="93">
        <f t="shared" si="368"/>
        <v>0</v>
      </c>
      <c r="CF360" s="100"/>
      <c r="CG360" s="149">
        <f t="shared" si="369"/>
        <v>0</v>
      </c>
      <c r="CH360" s="149">
        <f>DP!$N$35*BA360</f>
        <v>0</v>
      </c>
      <c r="CI360" s="149">
        <f>DP!$O$35*BA360</f>
        <v>0</v>
      </c>
      <c r="CJ360" s="149">
        <f>DP!$P$35*BA360</f>
        <v>0</v>
      </c>
    </row>
    <row r="361" spans="2:88" ht="16" thickBot="1" x14ac:dyDescent="0.4">
      <c r="C361" s="103" t="s">
        <v>222</v>
      </c>
      <c r="D361" s="104"/>
      <c r="E361" s="104"/>
      <c r="F361" s="120">
        <f>SUM(F342:F360)</f>
        <v>0</v>
      </c>
      <c r="G361" s="411">
        <f>SUM(G342:G360)</f>
        <v>0</v>
      </c>
      <c r="H361" s="121">
        <f>SUM(H342:H360)</f>
        <v>0</v>
      </c>
      <c r="I361" s="87"/>
      <c r="J361" s="151"/>
      <c r="K361" s="106"/>
      <c r="L361" s="107">
        <f t="shared" ref="L361" si="371">SUM(L342:L360)</f>
        <v>0</v>
      </c>
      <c r="M361" s="105">
        <f>SUM(M342:M360)</f>
        <v>0</v>
      </c>
      <c r="N361" s="87"/>
      <c r="O361" s="152">
        <f>SUM(O342:O360)</f>
        <v>0</v>
      </c>
      <c r="P361" s="416"/>
      <c r="Q361" s="152">
        <f>SUM(Q342:Q360)</f>
        <v>0</v>
      </c>
      <c r="R361" s="126"/>
      <c r="S361" s="419">
        <f>SUM(S342:S360)</f>
        <v>0</v>
      </c>
      <c r="T361" s="476">
        <f>SUM(T342:T360)</f>
        <v>0</v>
      </c>
      <c r="U361" s="477"/>
      <c r="V361" s="478">
        <f>SUM(V342:V360)</f>
        <v>0</v>
      </c>
      <c r="W361" s="478">
        <f>SUM(W342:W360)</f>
        <v>0</v>
      </c>
      <c r="X361" s="477"/>
      <c r="Y361" s="479">
        <f>SUM(Y342:Y360)</f>
        <v>0</v>
      </c>
      <c r="Z361" s="87"/>
      <c r="AA361" s="152">
        <f>SUM(AA342:AA360)</f>
        <v>0</v>
      </c>
      <c r="AB361" s="77"/>
      <c r="AC361" s="153">
        <f>SUM(AC342:AC360)</f>
        <v>0</v>
      </c>
      <c r="AD361" s="153">
        <f>SUM(AD342:AD360)</f>
        <v>0</v>
      </c>
      <c r="AE361" s="77"/>
      <c r="AF361" s="153">
        <f>SUM(AF342:AF360)</f>
        <v>0</v>
      </c>
      <c r="AG361" s="153">
        <f>SUM(AG342:AG360)</f>
        <v>0</v>
      </c>
      <c r="AH361" s="77"/>
      <c r="AI361" s="153">
        <f>SUM(AI342:AI360)</f>
        <v>0</v>
      </c>
      <c r="AJ361" s="153">
        <f>SUM(AJ342:AJ360)</f>
        <v>0</v>
      </c>
      <c r="AK361" s="77"/>
      <c r="AL361" s="154">
        <f>SUM(AL342:AL360)</f>
        <v>0</v>
      </c>
      <c r="AM361" s="87"/>
      <c r="AN361" s="152">
        <f>SUM(AN342:AN360)</f>
        <v>0</v>
      </c>
      <c r="AO361" s="153">
        <f t="shared" ref="AO361:AQ361" si="372">SUM(AO342:AO360)</f>
        <v>0</v>
      </c>
      <c r="AP361" s="153">
        <f t="shared" si="372"/>
        <v>0</v>
      </c>
      <c r="AQ361" s="153">
        <f t="shared" si="372"/>
        <v>0</v>
      </c>
      <c r="AV361" s="103" t="s">
        <v>222</v>
      </c>
      <c r="AW361" s="104"/>
      <c r="AX361" s="104"/>
      <c r="AY361" s="120">
        <f>SUM(AY342:AY360)</f>
        <v>522720</v>
      </c>
      <c r="AZ361" s="411">
        <f>SUM(AZ342:AZ360)</f>
        <v>0.99999999999999989</v>
      </c>
      <c r="BA361" s="121">
        <f>SUM(BA342:BA360)</f>
        <v>183600</v>
      </c>
      <c r="BB361" s="87"/>
      <c r="BC361" s="151"/>
      <c r="BD361" s="106"/>
      <c r="BE361" s="107">
        <f>SUM(BE342:BE360)</f>
        <v>514438.37083430099</v>
      </c>
      <c r="BF361" s="105">
        <f>SUM(BF342:BF360)</f>
        <v>446506.37083430093</v>
      </c>
      <c r="BG361" s="87"/>
      <c r="BH361" s="152">
        <f>SUM(BH342:BH360)</f>
        <v>408000</v>
      </c>
      <c r="BI361" s="126"/>
      <c r="BJ361" s="419">
        <f>SUM(BJ342:BJ360)</f>
        <v>183600</v>
      </c>
      <c r="BK361" s="492">
        <f>SUM(BK342:BK360)</f>
        <v>459</v>
      </c>
      <c r="BL361" s="491"/>
      <c r="BM361" s="492">
        <f>SUM(BM342:BM360)</f>
        <v>436.05</v>
      </c>
      <c r="BN361" s="492">
        <f>SUM(BN342:BN360)</f>
        <v>30477.600000000006</v>
      </c>
      <c r="BO361" s="491"/>
      <c r="BP361" s="492">
        <f>SUM(BP342:BP360)</f>
        <v>23443.369920000001</v>
      </c>
      <c r="BQ361" s="87"/>
      <c r="BR361" s="87"/>
      <c r="BS361" s="87"/>
      <c r="BT361" s="152">
        <f>SUM(BT342:BT360)</f>
        <v>525333.59999999986</v>
      </c>
      <c r="BU361" s="77"/>
      <c r="BV361" s="153">
        <f>SUM(BV342:BV360)</f>
        <v>121195.764</v>
      </c>
      <c r="BW361" s="153">
        <f>SUM(BW342:BW360)</f>
        <v>525333.59999999986</v>
      </c>
      <c r="BX361" s="77"/>
      <c r="BY361" s="153">
        <f>SUM(BY342:BY360)</f>
        <v>29446.901999999998</v>
      </c>
      <c r="BZ361" s="153">
        <f>SUM(BZ342:BZ360)</f>
        <v>23426.549999999996</v>
      </c>
      <c r="CA361" s="77"/>
      <c r="CB361" s="153">
        <f>SUM(CB342:CB360)</f>
        <v>11994.393599999983</v>
      </c>
      <c r="CC361" s="153">
        <f>SUM(CC342:CC360)</f>
        <v>525333.59999999986</v>
      </c>
      <c r="CD361" s="77"/>
      <c r="CE361" s="154">
        <f>SUM(CE342:CE360)</f>
        <v>17360.162068965514</v>
      </c>
      <c r="CF361" s="87"/>
      <c r="CG361" s="152">
        <f>SUM(CG342:CG360)</f>
        <v>59029.729245335489</v>
      </c>
      <c r="CH361" s="153">
        <f t="shared" ref="CH361:CJ361" si="373">SUM(CH342:CH360)</f>
        <v>2637.9310344827586</v>
      </c>
      <c r="CI361" s="153">
        <f t="shared" si="373"/>
        <v>10024.137931034486</v>
      </c>
      <c r="CJ361" s="153">
        <f t="shared" si="373"/>
        <v>67932</v>
      </c>
    </row>
    <row r="362" spans="2:88" x14ac:dyDescent="0.35">
      <c r="C362" s="108"/>
      <c r="D362" s="108"/>
      <c r="E362" s="108"/>
      <c r="F362" s="87"/>
      <c r="G362" s="87"/>
      <c r="H362" s="87"/>
      <c r="I362" s="109"/>
      <c r="J362" s="87"/>
      <c r="K362" s="87"/>
      <c r="L362" s="87"/>
      <c r="M362" s="87"/>
      <c r="N362" s="87"/>
      <c r="O362" s="220"/>
      <c r="P362" s="220"/>
      <c r="Q362" s="220"/>
      <c r="R362" s="87"/>
      <c r="S362" s="422">
        <f>Q361</f>
        <v>0</v>
      </c>
      <c r="T362"/>
      <c r="U362"/>
      <c r="V362"/>
      <c r="W362"/>
      <c r="X362"/>
      <c r="Y362"/>
      <c r="Z362" s="87"/>
      <c r="AA362" s="87"/>
      <c r="AB362" s="87"/>
      <c r="AC362" s="87"/>
      <c r="AD362" s="87"/>
      <c r="AM362" s="87"/>
      <c r="AN362" s="420">
        <f>IFERROR(IF(DP!$C$16=PS!$B$3,PS!$K$23*D337/(D337+AW337),IF(DP!$C$16=PS!$N$3,PS!$AC$23*D337/(D337+AW337),IF(DP!$C$16=PS!$AF$3,PS!$AP$23*D337/(D337+AW337)))),0*1)</f>
        <v>0</v>
      </c>
      <c r="AO362" s="220"/>
      <c r="AP362" s="220"/>
      <c r="AQ362" s="433"/>
      <c r="AV362" s="108"/>
      <c r="AW362" s="108"/>
      <c r="AX362" s="108"/>
      <c r="AY362" s="87"/>
      <c r="AZ362" s="87"/>
      <c r="BA362" s="87"/>
      <c r="BB362" s="109"/>
      <c r="BC362" s="87"/>
      <c r="BD362" s="87"/>
      <c r="BE362" s="87"/>
      <c r="BF362" s="87"/>
      <c r="BG362" s="87"/>
      <c r="BH362" s="87"/>
      <c r="BI362" s="87"/>
      <c r="BJ362" s="87"/>
      <c r="BK362"/>
      <c r="BL362"/>
      <c r="BM362"/>
      <c r="BN362"/>
      <c r="BO362"/>
      <c r="BP362"/>
      <c r="BQ362" s="87"/>
      <c r="BR362" s="87"/>
      <c r="BS362" s="87"/>
      <c r="BT362" s="87"/>
      <c r="BU362" s="87"/>
      <c r="BV362" s="87"/>
      <c r="BW362" s="87"/>
      <c r="CF362" s="87"/>
      <c r="CG362" s="420">
        <f>IFERROR(IF(DP!$C$16=PS!$B$3,PS!$K$23*AW337/(AW337+D337),IF(DP!$C$16=PS!$N$3,PS!$AC$23*AW337/(AW337+D337),IF(DP!$C$16=PS!$AF$3,PS!$AP$23*AW337/(AW337+D337)))),0*1)</f>
        <v>59029.729245335482</v>
      </c>
      <c r="CH362" s="220"/>
      <c r="CI362" s="220"/>
      <c r="CJ362" s="433"/>
    </row>
    <row r="363" spans="2:88" x14ac:dyDescent="0.35">
      <c r="C363" s="108"/>
      <c r="D363" s="108"/>
      <c r="E363" s="108"/>
      <c r="F363" s="87"/>
      <c r="G363" s="87"/>
      <c r="H363" s="87"/>
      <c r="I363" s="109"/>
      <c r="J363" s="87"/>
      <c r="K363" s="87"/>
      <c r="L363" s="87"/>
      <c r="M363" s="87"/>
      <c r="N363" s="87"/>
      <c r="O363" s="87"/>
      <c r="P363" s="87"/>
      <c r="Q363" s="87"/>
      <c r="T363" s="87"/>
      <c r="U363" s="87"/>
      <c r="V363" s="87"/>
      <c r="W363" s="87"/>
      <c r="X363" s="87"/>
      <c r="Y363" s="87"/>
      <c r="Z363" s="87"/>
      <c r="AM363" s="87"/>
      <c r="AV363" s="108"/>
      <c r="AW363" s="108"/>
      <c r="AX363" s="108"/>
      <c r="AY363" s="87"/>
      <c r="AZ363" s="87"/>
      <c r="BA363" s="87"/>
      <c r="BB363" s="109"/>
      <c r="BC363" s="87"/>
      <c r="BD363" s="87"/>
      <c r="BE363" s="87"/>
      <c r="BF363" s="87"/>
      <c r="BG363" s="87"/>
      <c r="BH363" s="87"/>
      <c r="BK363" s="87"/>
      <c r="BL363" s="87"/>
      <c r="BM363" s="87"/>
      <c r="BN363" s="87"/>
      <c r="BO363" s="87"/>
      <c r="BP363" s="87"/>
      <c r="BQ363" s="87"/>
      <c r="BR363" s="87"/>
      <c r="BS363" s="87"/>
      <c r="BT363"/>
      <c r="BU363"/>
      <c r="BV363"/>
      <c r="BW363"/>
      <c r="BX363"/>
      <c r="BY363"/>
      <c r="BZ363"/>
      <c r="CA363"/>
      <c r="CB363"/>
      <c r="CC363"/>
      <c r="CF363" s="87"/>
    </row>
    <row r="364" spans="2:88" x14ac:dyDescent="0.35">
      <c r="C364" s="108"/>
      <c r="D364" s="108"/>
      <c r="E364" s="108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116" t="s">
        <v>228</v>
      </c>
      <c r="S364" s="94">
        <f>IFERROR((SUMIF(B342:B360,1,H342:H360))/H361*S362,0*1)</f>
        <v>0</v>
      </c>
      <c r="T364" s="109"/>
      <c r="U364" s="87"/>
      <c r="V364" s="87"/>
      <c r="W364" s="87"/>
      <c r="X364" s="87"/>
      <c r="Y364" s="87"/>
      <c r="Z364" s="87"/>
      <c r="AM364" s="87"/>
      <c r="AV364" s="108"/>
      <c r="AW364" s="108"/>
      <c r="AX364" s="108"/>
      <c r="AY364" s="87"/>
      <c r="AZ364" s="87"/>
      <c r="BA364" s="87"/>
      <c r="BB364" s="87"/>
      <c r="BC364" s="87"/>
      <c r="BD364" s="87"/>
      <c r="BE364" s="87"/>
      <c r="BF364" s="87"/>
      <c r="BG364" s="87"/>
      <c r="BK364" s="109"/>
      <c r="BL364" s="87"/>
      <c r="BM364" s="87"/>
      <c r="BN364" s="87"/>
      <c r="BO364" s="87"/>
      <c r="BP364" s="87"/>
      <c r="BQ364" s="87"/>
      <c r="BR364" s="87"/>
      <c r="BS364" s="87"/>
      <c r="BT364"/>
      <c r="BU364"/>
      <c r="BV364"/>
      <c r="BW364"/>
      <c r="BX364"/>
      <c r="BY364"/>
      <c r="BZ364"/>
      <c r="CA364"/>
      <c r="CB364"/>
      <c r="CC364"/>
      <c r="CF364" s="87"/>
    </row>
    <row r="365" spans="2:88" x14ac:dyDescent="0.35">
      <c r="C365" s="108"/>
      <c r="D365" s="108"/>
      <c r="E365" s="108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116" t="s">
        <v>229</v>
      </c>
      <c r="S365" s="94">
        <f>S362-S364</f>
        <v>0</v>
      </c>
      <c r="T365" s="109"/>
      <c r="U365" s="87"/>
      <c r="V365" s="87"/>
      <c r="W365" s="87"/>
      <c r="X365" s="87"/>
      <c r="Y365" s="87"/>
      <c r="Z365" s="87"/>
      <c r="AM365" s="87"/>
      <c r="AV365" s="108"/>
      <c r="AW365" s="108"/>
      <c r="AX365" s="108"/>
      <c r="AY365" s="87"/>
      <c r="AZ365" s="87"/>
      <c r="BA365" s="87"/>
      <c r="BB365" s="87"/>
      <c r="BC365" s="87"/>
      <c r="BD365" s="87"/>
      <c r="BE365" s="87"/>
      <c r="BF365" s="87"/>
      <c r="BG365" s="87"/>
      <c r="BK365" s="109"/>
      <c r="BL365" s="87"/>
      <c r="BM365" s="87"/>
      <c r="BN365" s="87"/>
      <c r="BO365" s="87"/>
      <c r="BP365" s="87"/>
      <c r="BQ365" s="87"/>
      <c r="BR365" s="87"/>
      <c r="BS365" s="87"/>
      <c r="BT365"/>
      <c r="BU365"/>
      <c r="BV365"/>
      <c r="BW365"/>
      <c r="BX365"/>
      <c r="BY365"/>
      <c r="BZ365"/>
      <c r="CA365"/>
      <c r="CB365"/>
      <c r="CC365"/>
      <c r="CF365" s="87"/>
    </row>
    <row r="366" spans="2:88" x14ac:dyDescent="0.35">
      <c r="C366" s="108"/>
      <c r="D366" s="108"/>
      <c r="E366" s="108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T366" s="87"/>
      <c r="U366" s="87"/>
      <c r="V366" s="87"/>
      <c r="W366" s="87"/>
      <c r="X366" s="87"/>
      <c r="Y366" s="87"/>
      <c r="Z366" s="87"/>
      <c r="AM366" s="87"/>
      <c r="AV366" s="108"/>
      <c r="AW366" s="108"/>
      <c r="AX366" s="108"/>
      <c r="AY366" s="87"/>
      <c r="AZ366" s="87"/>
      <c r="BA366" s="87"/>
      <c r="BB366" s="87"/>
      <c r="BC366" s="87"/>
      <c r="BD366" s="87"/>
      <c r="BE366" s="87"/>
      <c r="BF366" s="87"/>
      <c r="BG366" s="87"/>
      <c r="BK366" s="87"/>
      <c r="BL366" s="87"/>
      <c r="BM366" s="87"/>
      <c r="BN366" s="87"/>
      <c r="BO366" s="87"/>
      <c r="BP366" s="87"/>
      <c r="BQ366" s="87"/>
      <c r="BR366" s="87"/>
      <c r="BS366" s="87"/>
      <c r="BT366"/>
      <c r="BU366"/>
      <c r="BV366"/>
      <c r="BW366"/>
      <c r="BX366"/>
      <c r="BY366"/>
      <c r="BZ366"/>
      <c r="CA366"/>
      <c r="CB366"/>
      <c r="CC366"/>
      <c r="CF366" s="87"/>
    </row>
    <row r="367" spans="2:88" x14ac:dyDescent="0.35">
      <c r="C367" s="108"/>
      <c r="D367" s="108"/>
      <c r="E367" s="108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T367" s="87"/>
      <c r="U367" s="87"/>
      <c r="V367" s="87"/>
      <c r="W367" s="87"/>
      <c r="X367" s="87"/>
      <c r="Y367" s="87"/>
      <c r="Z367" s="87"/>
      <c r="AM367" s="87"/>
      <c r="AV367" s="108"/>
      <c r="AW367" s="108"/>
      <c r="AX367" s="108"/>
      <c r="AY367" s="87"/>
      <c r="AZ367" s="87"/>
      <c r="BA367" s="87"/>
      <c r="BB367" s="87"/>
      <c r="BC367" s="87"/>
      <c r="BD367" s="87"/>
      <c r="BE367" s="87"/>
      <c r="BF367" s="87"/>
      <c r="BG367" s="87"/>
      <c r="BH367" s="87"/>
      <c r="BK367" s="87"/>
      <c r="BL367" s="87"/>
      <c r="BM367" s="87"/>
      <c r="BN367" s="87"/>
      <c r="BO367" s="87"/>
      <c r="BP367" s="87"/>
      <c r="BQ367" s="87"/>
      <c r="BR367" s="87"/>
      <c r="BS367" s="87"/>
      <c r="BT367"/>
      <c r="BU367"/>
      <c r="BV367"/>
      <c r="BW367"/>
      <c r="BX367"/>
      <c r="BY367"/>
      <c r="BZ367"/>
      <c r="CA367"/>
      <c r="CB367"/>
      <c r="CC367"/>
      <c r="CF367" s="87"/>
    </row>
    <row r="368" spans="2:88" x14ac:dyDescent="0.35">
      <c r="C368" s="108"/>
      <c r="D368" s="108"/>
      <c r="E368" s="108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T368" s="87"/>
      <c r="U368" s="87"/>
      <c r="V368" s="87"/>
      <c r="W368" s="87"/>
      <c r="X368" s="87"/>
      <c r="Y368" s="87"/>
      <c r="Z368" s="87"/>
      <c r="AM368" s="87"/>
      <c r="AV368" s="108"/>
      <c r="AW368" s="108"/>
      <c r="AX368" s="108"/>
      <c r="AY368" s="87"/>
      <c r="AZ368" s="87"/>
      <c r="BA368" s="87"/>
      <c r="BB368" s="87"/>
      <c r="BC368" s="87"/>
      <c r="BD368" s="87"/>
      <c r="BE368" s="87"/>
      <c r="BF368" s="87"/>
      <c r="BG368" s="87"/>
      <c r="BH368" s="87"/>
      <c r="BK368" s="87"/>
      <c r="BL368" s="87"/>
      <c r="BM368" s="87"/>
      <c r="BN368" s="87"/>
      <c r="BO368" s="87"/>
      <c r="BP368" s="87"/>
      <c r="BQ368" s="87"/>
      <c r="BR368" s="87"/>
      <c r="BS368" s="87"/>
      <c r="BT368"/>
      <c r="BU368"/>
      <c r="BV368"/>
      <c r="BW368"/>
      <c r="BX368"/>
      <c r="BY368"/>
      <c r="BZ368"/>
      <c r="CA368"/>
      <c r="CB368"/>
      <c r="CC368"/>
      <c r="CF368" s="87"/>
    </row>
    <row r="369" spans="2:88" x14ac:dyDescent="0.35">
      <c r="AV369" s="108"/>
      <c r="AW369" s="108"/>
      <c r="AX369" s="108"/>
      <c r="AY369" s="87"/>
      <c r="AZ369" s="87"/>
      <c r="BA369" s="87"/>
      <c r="BB369" s="87"/>
      <c r="BC369" s="87"/>
      <c r="BD369" s="87"/>
      <c r="BE369" s="87"/>
      <c r="BF369" s="87"/>
      <c r="BG369" s="87"/>
      <c r="BH369" s="87"/>
      <c r="BK369" s="87"/>
      <c r="BL369" s="87"/>
      <c r="BM369" s="87"/>
      <c r="BN369" s="87"/>
      <c r="BO369" s="87"/>
      <c r="BP369" s="87"/>
      <c r="BQ369" s="87"/>
      <c r="BR369" s="87"/>
      <c r="BS369" s="87"/>
      <c r="BU369" s="87"/>
      <c r="BV369" s="87"/>
      <c r="BW369" s="87"/>
      <c r="CF369" s="87"/>
    </row>
    <row r="370" spans="2:88" ht="16" thickBot="1" x14ac:dyDescent="0.4">
      <c r="C370" s="421" t="s">
        <v>347</v>
      </c>
      <c r="D370" s="482">
        <f>DP!AH14</f>
        <v>0</v>
      </c>
      <c r="E370" s="108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T370" s="87"/>
      <c r="U370" s="87"/>
      <c r="V370" s="87"/>
      <c r="W370" s="87"/>
      <c r="X370" s="87"/>
      <c r="Y370" s="87"/>
      <c r="Z370" s="87"/>
      <c r="AA370" s="87"/>
      <c r="AB370" s="87"/>
      <c r="AC370" s="87"/>
      <c r="AD370" s="87"/>
      <c r="AM370" s="87"/>
      <c r="AV370" s="436" t="s">
        <v>359</v>
      </c>
      <c r="AW370" s="482">
        <f>DP!BJ14</f>
        <v>183600</v>
      </c>
      <c r="AX370" s="108"/>
      <c r="AY370" s="87"/>
      <c r="AZ370" s="87"/>
      <c r="BA370" s="87"/>
      <c r="BB370" s="87"/>
      <c r="BC370" s="87"/>
      <c r="BD370" s="87"/>
      <c r="BE370" s="87"/>
      <c r="BF370" s="87"/>
      <c r="BG370" s="87"/>
      <c r="BH370" s="87"/>
      <c r="BK370" s="87"/>
      <c r="BL370" s="87"/>
      <c r="BM370" s="87"/>
      <c r="BN370" s="87"/>
      <c r="BO370" s="87"/>
      <c r="BP370" s="87"/>
      <c r="BQ370" s="87"/>
      <c r="BR370" s="87"/>
      <c r="BS370" s="87"/>
      <c r="BT370" s="87"/>
      <c r="BU370" s="87"/>
      <c r="BV370" s="87"/>
      <c r="BW370" s="87"/>
      <c r="CF370" s="87"/>
    </row>
    <row r="371" spans="2:88" ht="15.5" customHeight="1" x14ac:dyDescent="0.35">
      <c r="C371" s="1026" t="s">
        <v>78</v>
      </c>
      <c r="D371" s="1009" t="s">
        <v>169</v>
      </c>
      <c r="E371" s="1010"/>
      <c r="F371" s="1010"/>
      <c r="G371" s="1010"/>
      <c r="H371" s="1011"/>
      <c r="I371" s="130"/>
      <c r="J371" s="1015" t="s">
        <v>170</v>
      </c>
      <c r="K371" s="1015" t="s">
        <v>215</v>
      </c>
      <c r="L371" s="1015" t="s">
        <v>216</v>
      </c>
      <c r="M371" s="1017" t="s">
        <v>217</v>
      </c>
      <c r="N371" s="130"/>
      <c r="O371" s="1019" t="s">
        <v>213</v>
      </c>
      <c r="P371" s="1007"/>
      <c r="Q371" s="1007"/>
      <c r="R371" s="1007"/>
      <c r="S371" s="1007"/>
      <c r="T371" s="1007"/>
      <c r="U371" s="1007"/>
      <c r="V371" s="1007"/>
      <c r="W371" s="1007"/>
      <c r="X371" s="1007"/>
      <c r="Y371" s="1007"/>
      <c r="Z371" s="130"/>
      <c r="AA371" s="1019" t="s">
        <v>180</v>
      </c>
      <c r="AB371" s="1007"/>
      <c r="AC371" s="1007"/>
      <c r="AD371" s="1007"/>
      <c r="AE371" s="1007"/>
      <c r="AF371" s="1007"/>
      <c r="AG371" s="1007"/>
      <c r="AH371" s="1007"/>
      <c r="AI371" s="1007"/>
      <c r="AJ371" s="1007"/>
      <c r="AK371" s="1007"/>
      <c r="AL371" s="1020"/>
      <c r="AM371" s="130"/>
      <c r="AN371" s="131" t="s">
        <v>214</v>
      </c>
      <c r="AO371" s="1006" t="s">
        <v>361</v>
      </c>
      <c r="AP371" s="1007"/>
      <c r="AQ371" s="1008"/>
      <c r="AV371" s="1026" t="s">
        <v>78</v>
      </c>
      <c r="AW371" s="1009" t="s">
        <v>169</v>
      </c>
      <c r="AX371" s="1010"/>
      <c r="AY371" s="1010"/>
      <c r="AZ371" s="1010"/>
      <c r="BA371" s="1011"/>
      <c r="BB371" s="130"/>
      <c r="BC371" s="1015" t="s">
        <v>170</v>
      </c>
      <c r="BD371" s="1015" t="s">
        <v>215</v>
      </c>
      <c r="BE371" s="1015" t="s">
        <v>216</v>
      </c>
      <c r="BF371" s="1017" t="s">
        <v>217</v>
      </c>
      <c r="BG371" s="130"/>
      <c r="BH371" s="1019" t="s">
        <v>213</v>
      </c>
      <c r="BI371" s="1007"/>
      <c r="BJ371" s="1007"/>
      <c r="BK371" s="1007"/>
      <c r="BL371" s="1007"/>
      <c r="BM371" s="1007"/>
      <c r="BN371" s="1007"/>
      <c r="BO371" s="1007"/>
      <c r="BP371" s="1007"/>
      <c r="BQ371" s="130"/>
      <c r="BR371" s="130"/>
      <c r="BS371" s="130"/>
      <c r="BT371" s="1019" t="s">
        <v>180</v>
      </c>
      <c r="BU371" s="1007"/>
      <c r="BV371" s="1007"/>
      <c r="BW371" s="1007"/>
      <c r="BX371" s="1007"/>
      <c r="BY371" s="1007"/>
      <c r="BZ371" s="1007"/>
      <c r="CA371" s="1007"/>
      <c r="CB371" s="1007"/>
      <c r="CC371" s="1007"/>
      <c r="CD371" s="1007"/>
      <c r="CE371" s="1020"/>
      <c r="CF371" s="130"/>
      <c r="CG371" s="131" t="s">
        <v>214</v>
      </c>
      <c r="CH371" s="1006" t="s">
        <v>361</v>
      </c>
      <c r="CI371" s="1007"/>
      <c r="CJ371" s="1008"/>
    </row>
    <row r="372" spans="2:88" ht="30.5" thickBot="1" x14ac:dyDescent="0.4">
      <c r="C372" s="1027"/>
      <c r="D372" s="1012"/>
      <c r="E372" s="1013"/>
      <c r="F372" s="1013"/>
      <c r="G372" s="1013"/>
      <c r="H372" s="1014"/>
      <c r="I372" s="130"/>
      <c r="J372" s="1016"/>
      <c r="K372" s="1016"/>
      <c r="L372" s="1016"/>
      <c r="M372" s="1018"/>
      <c r="N372" s="130"/>
      <c r="O372" s="134" t="s">
        <v>218</v>
      </c>
      <c r="P372" s="415"/>
      <c r="Q372" s="415"/>
      <c r="R372" s="135"/>
      <c r="S372" s="135"/>
      <c r="T372" s="69" t="s">
        <v>171</v>
      </c>
      <c r="U372" s="69"/>
      <c r="V372" s="69"/>
      <c r="W372" s="69" t="s">
        <v>172</v>
      </c>
      <c r="X372" s="69"/>
      <c r="Y372" s="69"/>
      <c r="Z372" s="130"/>
      <c r="AA372" s="1021" t="s">
        <v>173</v>
      </c>
      <c r="AB372" s="1022"/>
      <c r="AC372" s="1023"/>
      <c r="AD372" s="1024" t="s">
        <v>174</v>
      </c>
      <c r="AE372" s="1022"/>
      <c r="AF372" s="1023"/>
      <c r="AG372" s="1024" t="s">
        <v>175</v>
      </c>
      <c r="AH372" s="1022"/>
      <c r="AI372" s="1023"/>
      <c r="AJ372" s="1024" t="s">
        <v>176</v>
      </c>
      <c r="AK372" s="1022"/>
      <c r="AL372" s="1025"/>
      <c r="AM372" s="130"/>
      <c r="AN372" s="115" t="s">
        <v>177</v>
      </c>
      <c r="AO372" s="458" t="s">
        <v>362</v>
      </c>
      <c r="AP372" s="458" t="s">
        <v>363</v>
      </c>
      <c r="AQ372" s="494" t="s">
        <v>364</v>
      </c>
      <c r="AV372" s="1027"/>
      <c r="AW372" s="1012"/>
      <c r="AX372" s="1013"/>
      <c r="AY372" s="1013"/>
      <c r="AZ372" s="1013"/>
      <c r="BA372" s="1014"/>
      <c r="BB372" s="130"/>
      <c r="BC372" s="1016"/>
      <c r="BD372" s="1016"/>
      <c r="BE372" s="1016"/>
      <c r="BF372" s="1018"/>
      <c r="BG372" s="130"/>
      <c r="BH372" s="1031" t="s">
        <v>234</v>
      </c>
      <c r="BI372" s="1032"/>
      <c r="BJ372" s="1033"/>
      <c r="BK372" s="1024" t="s">
        <v>171</v>
      </c>
      <c r="BL372" s="1022"/>
      <c r="BM372" s="1023"/>
      <c r="BN372" s="1024" t="s">
        <v>231</v>
      </c>
      <c r="BO372" s="1022"/>
      <c r="BP372" s="1023"/>
      <c r="BQ372" s="130"/>
      <c r="BR372" s="130"/>
      <c r="BS372" s="130"/>
      <c r="BT372" s="1021" t="s">
        <v>173</v>
      </c>
      <c r="BU372" s="1022"/>
      <c r="BV372" s="1023"/>
      <c r="BW372" s="1024" t="s">
        <v>174</v>
      </c>
      <c r="BX372" s="1022"/>
      <c r="BY372" s="1023"/>
      <c r="BZ372" s="1024" t="s">
        <v>175</v>
      </c>
      <c r="CA372" s="1022"/>
      <c r="CB372" s="1023"/>
      <c r="CC372" s="1024" t="s">
        <v>176</v>
      </c>
      <c r="CD372" s="1022"/>
      <c r="CE372" s="1025"/>
      <c r="CF372" s="130"/>
      <c r="CG372" s="115" t="s">
        <v>177</v>
      </c>
      <c r="CH372" s="458" t="s">
        <v>362</v>
      </c>
      <c r="CI372" s="458" t="s">
        <v>363</v>
      </c>
      <c r="CJ372" s="629" t="s">
        <v>364</v>
      </c>
    </row>
    <row r="373" spans="2:88" ht="16" thickBot="1" x14ac:dyDescent="0.4">
      <c r="C373" s="1028"/>
      <c r="D373" s="111" t="s">
        <v>225</v>
      </c>
      <c r="E373" s="111"/>
      <c r="F373" s="112" t="s">
        <v>178</v>
      </c>
      <c r="G373" s="113" t="s">
        <v>226</v>
      </c>
      <c r="H373" s="114" t="s">
        <v>227</v>
      </c>
      <c r="I373" s="136"/>
      <c r="J373" s="119" t="s">
        <v>179</v>
      </c>
      <c r="K373" s="137" t="s">
        <v>224</v>
      </c>
      <c r="L373" s="137" t="s">
        <v>224</v>
      </c>
      <c r="M373" s="138" t="s">
        <v>224</v>
      </c>
      <c r="N373" s="136"/>
      <c r="O373" s="118" t="s">
        <v>223</v>
      </c>
      <c r="P373" s="119" t="s">
        <v>179</v>
      </c>
      <c r="Q373" s="137" t="s">
        <v>224</v>
      </c>
      <c r="R373" s="119" t="s">
        <v>330</v>
      </c>
      <c r="S373" s="137" t="s">
        <v>224</v>
      </c>
      <c r="T373" s="119" t="s">
        <v>219</v>
      </c>
      <c r="U373" s="119" t="s">
        <v>179</v>
      </c>
      <c r="V373" s="137" t="s">
        <v>224</v>
      </c>
      <c r="W373" s="119" t="s">
        <v>219</v>
      </c>
      <c r="X373" s="119" t="s">
        <v>179</v>
      </c>
      <c r="Y373" s="137" t="s">
        <v>224</v>
      </c>
      <c r="Z373" s="136"/>
      <c r="AA373" s="118" t="s">
        <v>220</v>
      </c>
      <c r="AB373" s="119" t="s">
        <v>179</v>
      </c>
      <c r="AC373" s="137" t="s">
        <v>224</v>
      </c>
      <c r="AD373" s="119" t="s">
        <v>220</v>
      </c>
      <c r="AE373" s="119" t="s">
        <v>179</v>
      </c>
      <c r="AF373" s="137" t="s">
        <v>224</v>
      </c>
      <c r="AG373" s="119" t="s">
        <v>220</v>
      </c>
      <c r="AH373" s="119" t="s">
        <v>179</v>
      </c>
      <c r="AI373" s="137" t="s">
        <v>224</v>
      </c>
      <c r="AJ373" s="119" t="s">
        <v>221</v>
      </c>
      <c r="AK373" s="119" t="s">
        <v>179</v>
      </c>
      <c r="AL373" s="138" t="s">
        <v>224</v>
      </c>
      <c r="AM373" s="136"/>
      <c r="AN373" s="139" t="s">
        <v>224</v>
      </c>
      <c r="AO373" s="137" t="s">
        <v>224</v>
      </c>
      <c r="AP373" s="137" t="s">
        <v>224</v>
      </c>
      <c r="AQ373" s="137" t="s">
        <v>224</v>
      </c>
      <c r="AV373" s="1028"/>
      <c r="AW373" s="111" t="s">
        <v>225</v>
      </c>
      <c r="AX373" s="111"/>
      <c r="AY373" s="112" t="s">
        <v>178</v>
      </c>
      <c r="AZ373" s="113" t="s">
        <v>226</v>
      </c>
      <c r="BA373" s="114" t="s">
        <v>227</v>
      </c>
      <c r="BB373" s="136"/>
      <c r="BC373" s="119" t="s">
        <v>179</v>
      </c>
      <c r="BD373" s="137" t="s">
        <v>224</v>
      </c>
      <c r="BE373" s="137" t="s">
        <v>224</v>
      </c>
      <c r="BF373" s="138" t="s">
        <v>224</v>
      </c>
      <c r="BG373" s="136"/>
      <c r="BH373" s="118" t="s">
        <v>219</v>
      </c>
      <c r="BI373" s="119" t="s">
        <v>179</v>
      </c>
      <c r="BJ373" s="137" t="s">
        <v>224</v>
      </c>
      <c r="BK373" s="119" t="s">
        <v>219</v>
      </c>
      <c r="BL373" s="119" t="s">
        <v>179</v>
      </c>
      <c r="BM373" s="137" t="s">
        <v>224</v>
      </c>
      <c r="BN373" s="119" t="s">
        <v>219</v>
      </c>
      <c r="BO373" s="119" t="s">
        <v>179</v>
      </c>
      <c r="BP373" s="137" t="s">
        <v>224</v>
      </c>
      <c r="BQ373" s="136"/>
      <c r="BR373" s="136"/>
      <c r="BS373" s="136"/>
      <c r="BT373" s="118" t="s">
        <v>220</v>
      </c>
      <c r="BU373" s="119" t="s">
        <v>179</v>
      </c>
      <c r="BV373" s="137" t="s">
        <v>224</v>
      </c>
      <c r="BW373" s="119" t="s">
        <v>220</v>
      </c>
      <c r="BX373" s="119" t="s">
        <v>179</v>
      </c>
      <c r="BY373" s="137" t="s">
        <v>224</v>
      </c>
      <c r="BZ373" s="119" t="s">
        <v>220</v>
      </c>
      <c r="CA373" s="119" t="s">
        <v>179</v>
      </c>
      <c r="CB373" s="137" t="s">
        <v>224</v>
      </c>
      <c r="CC373" s="119" t="s">
        <v>221</v>
      </c>
      <c r="CD373" s="119" t="s">
        <v>179</v>
      </c>
      <c r="CE373" s="138" t="s">
        <v>224</v>
      </c>
      <c r="CF373" s="136"/>
      <c r="CG373" s="139" t="s">
        <v>224</v>
      </c>
      <c r="CH373" s="137" t="s">
        <v>224</v>
      </c>
      <c r="CI373" s="137" t="s">
        <v>224</v>
      </c>
      <c r="CJ373" s="137" t="s">
        <v>224</v>
      </c>
    </row>
    <row r="374" spans="2:88" ht="16" thickBot="1" x14ac:dyDescent="0.4">
      <c r="C374" s="117" t="s">
        <v>331</v>
      </c>
      <c r="D374" s="117"/>
      <c r="E374" s="11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  <c r="AA374" s="87"/>
      <c r="AB374" s="87"/>
      <c r="AC374" s="87"/>
      <c r="AD374" s="87"/>
      <c r="AE374" s="87"/>
      <c r="AF374" s="87"/>
      <c r="AG374" s="87"/>
      <c r="AH374" s="87"/>
      <c r="AI374" s="87"/>
      <c r="AJ374" s="87"/>
      <c r="AK374" s="87"/>
      <c r="AL374" s="87"/>
      <c r="AM374" s="87"/>
      <c r="AN374" s="87"/>
      <c r="AO374" s="87"/>
      <c r="AP374" s="87"/>
      <c r="AQ374" s="87"/>
      <c r="AV374" s="117" t="s">
        <v>350</v>
      </c>
      <c r="AW374" s="117"/>
      <c r="AX374" s="117"/>
      <c r="AY374" s="87"/>
      <c r="AZ374" s="87"/>
      <c r="BA374" s="87"/>
      <c r="BB374" s="87"/>
      <c r="BC374" s="87"/>
      <c r="BD374" s="87"/>
      <c r="BE374" s="87"/>
      <c r="BF374" s="87"/>
      <c r="BG374" s="87"/>
      <c r="BH374" s="87"/>
      <c r="BI374" s="87"/>
      <c r="BJ374" s="87"/>
      <c r="BK374" s="87"/>
      <c r="BL374" s="87"/>
      <c r="BM374" s="87"/>
      <c r="BN374" s="87"/>
      <c r="BO374" s="87"/>
      <c r="BP374" s="87"/>
      <c r="BQ374" s="87"/>
      <c r="BR374" s="87"/>
      <c r="BS374" s="87"/>
      <c r="BT374" s="87"/>
      <c r="BU374" s="87"/>
      <c r="BV374" s="87"/>
      <c r="BW374" s="87"/>
      <c r="BX374" s="87"/>
      <c r="BY374" s="87"/>
      <c r="BZ374" s="87"/>
      <c r="CA374" s="87"/>
      <c r="CB374" s="87"/>
      <c r="CC374" s="87"/>
      <c r="CD374" s="87"/>
      <c r="CE374" s="87"/>
      <c r="CF374" s="87"/>
      <c r="CG374" s="87"/>
      <c r="CH374" s="87"/>
      <c r="CI374" s="87"/>
      <c r="CJ374" s="87"/>
    </row>
    <row r="375" spans="2:88" x14ac:dyDescent="0.35">
      <c r="B375" s="480">
        <f>DP!S18</f>
        <v>1</v>
      </c>
      <c r="C375" s="480" t="str">
        <f>DP!T18</f>
        <v xml:space="preserve">PALMITO ENTERO 800 </v>
      </c>
      <c r="D375" s="480">
        <f>DP!U18</f>
        <v>800</v>
      </c>
      <c r="E375" s="480">
        <f>DP!V18</f>
        <v>500</v>
      </c>
      <c r="F375" s="412">
        <f>IFERROR((H375*1000)/E375,0*1)</f>
        <v>0</v>
      </c>
      <c r="G375" s="470">
        <f>DP!AH18</f>
        <v>0</v>
      </c>
      <c r="H375" s="98">
        <f>$D$370*G375</f>
        <v>0</v>
      </c>
      <c r="I375" s="97"/>
      <c r="J375" s="101">
        <f t="shared" ref="J375:J393" si="374">IF(F375&gt;0,L375/F375,0*1)</f>
        <v>0</v>
      </c>
      <c r="K375" s="122">
        <f t="shared" ref="K375:K393" si="375">IF(F375&gt;0,M375/F375,0*1)</f>
        <v>0</v>
      </c>
      <c r="L375" s="140">
        <f t="shared" ref="L375:L393" si="376">IF(F375&gt;0,M375+AQ375,0*1)</f>
        <v>0</v>
      </c>
      <c r="M375" s="123">
        <f t="shared" ref="M375:M393" si="377">IF(F375&gt;0,(S375+V375+Y375+AC375+AF375+AI375+AL375+AN375),0*1)</f>
        <v>0</v>
      </c>
      <c r="N375" s="100"/>
      <c r="O375" s="102">
        <f>($E375/DP!$P$29)*F375</f>
        <v>0</v>
      </c>
      <c r="P375" s="102">
        <f>IF(O375&gt;0,(DP!$P$31),0*1)</f>
        <v>0</v>
      </c>
      <c r="Q375" s="102">
        <f>O375*P375</f>
        <v>0</v>
      </c>
      <c r="R375" s="102">
        <f>IF(O375&gt;0,S375/O375,0*1)</f>
        <v>0</v>
      </c>
      <c r="S375" s="418">
        <f>IFERROR(IF(B375=1,(S$397+70%*S$398)/(SUMIF($B$375:$B$393,1,$H$375:$H$393))*H375,(30%*S$398)/(SUMIF($B$375:$B$393,0,$H$375:$H$393))*H375),0*1)</f>
        <v>0</v>
      </c>
      <c r="T375" s="475">
        <f>H375*DP!$AG$44</f>
        <v>0</v>
      </c>
      <c r="U375" s="475">
        <f>IF(H375&gt;0,DP!$AH$44,0*1)</f>
        <v>0</v>
      </c>
      <c r="V375" s="475">
        <f>T375*U375</f>
        <v>0</v>
      </c>
      <c r="W375" s="475">
        <f>H375*DP!$AG$45</f>
        <v>0</v>
      </c>
      <c r="X375" s="475">
        <f>IF(H375&gt;0,DP!$AH$45,0*1)</f>
        <v>0</v>
      </c>
      <c r="Y375" s="475">
        <f>W375*X375</f>
        <v>0</v>
      </c>
      <c r="Z375" s="100"/>
      <c r="AA375" s="93">
        <f>IF(D375=DP!$L$15,F375*(1+DP!$P$15),IF(D375=DP!$L$16,F375*(1+DP!$P$16),IF(D375=DP!$L$17,F375*(1+DP!$P$17),IF(D375=DP!$L$18,F375*(1+DP!$P$18),0*1))))</f>
        <v>0</v>
      </c>
      <c r="AB375" s="102">
        <f>IF(D375=DP!$L$22,(DP!$M$22),IF(D375=DP!$L$23,(DP!$M$23),IF(D375=DP!$L$24,(DP!$M$24),IF(D375=DP!$L$25,(DP!$M$25),((0*1))))))</f>
        <v>0</v>
      </c>
      <c r="AC375" s="93">
        <f>AA375*AB375</f>
        <v>0</v>
      </c>
      <c r="AD375" s="93">
        <f>IF(D375=DP!$L$15,F375*(1+DP!$P$15),IF(D375=DP!$L$16,F375*(1+DP!$P$16),IF(D375=DP!$L$17,F375*(1+DP!$P$17),IF(D375=DP!$L$18,F375*(1+DP!$P$18),0*1))))</f>
        <v>0</v>
      </c>
      <c r="AE375" s="102">
        <f>IF(D375=DP!$L$22,(DP!$N$22),IF(D375=DP!$L$23,(DP!$N$23),IF(D375=DP!$L$24,(DP!$N$24),IF(D375=DP!$L$25,(DP!$N$25),((0*1))))))</f>
        <v>0</v>
      </c>
      <c r="AF375" s="93">
        <f>AD375*AE375</f>
        <v>0</v>
      </c>
      <c r="AG375" s="93">
        <f>IF(D375=DP!$L$15,(F375/DP!$K$15)*(1+DP!$P$15),IF(D375=DP!$L$16,(F375/DP!$K$16)*(1+DP!$P$16),IF(D375=DP!$L$17,(F375/DP!$K$17)*(1+DP!$P$17),IF(D375=DP!$L$18,(F375/DP!$K$18)*(1+DP!$P$18),0*1))))</f>
        <v>0</v>
      </c>
      <c r="AH375" s="102">
        <f>IF(D375=DP!$L$22,(DP!$O$22),IF(D375=DP!$L$23,(DP!$O$23),IF(D375=DP!$L$24,(DP!$O$24),IF(D375=DP!$L$25,(DP!$O$25),((0*1))))))</f>
        <v>0</v>
      </c>
      <c r="AI375" s="93">
        <f>AG375*AH375</f>
        <v>0</v>
      </c>
      <c r="AJ375" s="93">
        <f>IF(D375=DP!$L$15,F375*(1+DP!$P$15),IF(D375=DP!$L$16,F375*(1+DP!$P$16),IF(D375=DP!$L$17,F375*(1+DP!$P$17),IF(D375=DP!$L$18,F375*(1+DP!$P$18),0*1))))</f>
        <v>0</v>
      </c>
      <c r="AK375" s="102">
        <f>IF(D375=DP!$L$22,(DP!$P$22),IF(D375=DP!$L$23,(DP!$P$23),IF(D375=DP!$L$24,(DP!$P$24),IF(D375=DP!$L$25,(DP!$P$25),((0*1))))))</f>
        <v>0</v>
      </c>
      <c r="AL375" s="93">
        <f>AJ375*AK375</f>
        <v>0</v>
      </c>
      <c r="AM375" s="100"/>
      <c r="AN375" s="149">
        <f t="shared" ref="AN375:AN393" si="378">IF(F375&gt;0,AN$395/H$394*H375,0*1)</f>
        <v>0</v>
      </c>
      <c r="AO375" s="149">
        <f>DP!$N$35*H375</f>
        <v>0</v>
      </c>
      <c r="AP375" s="149">
        <f>DP!$O$35*H375</f>
        <v>0</v>
      </c>
      <c r="AQ375" s="149">
        <f>DP!$P$35*H375</f>
        <v>0</v>
      </c>
      <c r="AV375" s="412" t="str">
        <f>DP!AV18</f>
        <v>PIÑA RODAJA 850</v>
      </c>
      <c r="AW375" s="412">
        <f>DP!AW18</f>
        <v>850</v>
      </c>
      <c r="AX375" s="412">
        <f>DP!AX18</f>
        <v>425</v>
      </c>
      <c r="AY375" s="412">
        <f>IFERROR((BA375*1000)/AX375,0*1)</f>
        <v>0</v>
      </c>
      <c r="AZ375" s="470">
        <f>DP!BJ18</f>
        <v>0</v>
      </c>
      <c r="BA375" s="98">
        <f>$AW$370*AZ375</f>
        <v>0</v>
      </c>
      <c r="BB375" s="97"/>
      <c r="BC375" s="101">
        <f t="shared" ref="BC375:BC393" si="379">IF(AY375&gt;0,BE375/AY375,0*1)</f>
        <v>0</v>
      </c>
      <c r="BD375" s="122">
        <f t="shared" ref="BD375:BD393" si="380">IF(AY375&gt;0,BF375/AY375,0*1)</f>
        <v>0</v>
      </c>
      <c r="BE375" s="140">
        <f t="shared" ref="BE375:BE393" si="381">IF(AY375&gt;0,BF375+CJ375,0*1)</f>
        <v>0</v>
      </c>
      <c r="BF375" s="123">
        <f t="shared" ref="BF375:BF393" si="382">IF(AY375&gt;0,(BJ375+BM375+BP375+BV375+BY375+CB375+CE375+CG375),0*1)</f>
        <v>0</v>
      </c>
      <c r="BG375" s="100"/>
      <c r="BH375" s="102">
        <f>IFERROR((BA375*100%)/DP!$AR$29,(0*1))</f>
        <v>0</v>
      </c>
      <c r="BI375" s="102">
        <f>IF(BH375&gt;0,(DP!$AR$31),0*1)</f>
        <v>0</v>
      </c>
      <c r="BJ375" s="435">
        <f>BH375*BI375</f>
        <v>0</v>
      </c>
      <c r="BK375" s="475">
        <f>BA375*DP!$BI$44</f>
        <v>0</v>
      </c>
      <c r="BL375" s="475">
        <f>IF(BA375&gt;0,DP!$BJ$44,0*1)</f>
        <v>0</v>
      </c>
      <c r="BM375" s="475">
        <f>BK375*BL375</f>
        <v>0</v>
      </c>
      <c r="BN375" s="102">
        <f>BA375*DP!$BI$45</f>
        <v>0</v>
      </c>
      <c r="BO375" s="102">
        <f>IF(BA375&gt;0,DP!$BJ$45,0*1)</f>
        <v>0</v>
      </c>
      <c r="BP375" s="475">
        <f>BN375*BO375</f>
        <v>0</v>
      </c>
      <c r="BQ375" s="100"/>
      <c r="BR375" s="100"/>
      <c r="BS375" s="100"/>
      <c r="BT375" s="93">
        <f>IF(AW375=DP!$AN$15,AY375*(1+DP!$AR$15),IF(AW375=DP!$AN$16,AY375*(1+DP!$AR$16),IF(AW375=DP!$AN$17,AY375*(1+DP!$AR$17),IF(AW375=DP!$AN$18,AY375*(1+DP!$AR$18),0*1))))</f>
        <v>0</v>
      </c>
      <c r="BU375" s="102">
        <f>IF(AW375=DP!$AN$22,(DP!$AO$22),IF(AW375=DP!$AN$23,(DP!$AO$23),IF(AW375=DP!$AN$24,(DP!$AO$24),IF(AW375=DP!$AN$25,(DP!$AO$25),((0*1))))))</f>
        <v>0</v>
      </c>
      <c r="BV375" s="93">
        <f>BT375*BU375</f>
        <v>0</v>
      </c>
      <c r="BW375" s="93">
        <f>IF(AW375=DP!$AN$15,AY375*(1+DP!$AR$15),IF(AW375=DP!$AN$16,AY375*(1+DP!$AR$16),IF(AW375=DP!$AN$17,AY375*(1+DP!$AR$17),IF(AW375=DP!$AN$18,AY375*(1+DP!$AR$18),0*1))))</f>
        <v>0</v>
      </c>
      <c r="BX375" s="102">
        <f>IF(AW375=DP!$AN$22,(DP!$AP$22),IF(AW375=DP!$AN$23,(DP!$AP$23),IF(AW375=DP!$AN$24,(DP!$AP$24),IF(AW375=DP!$AN$25,(DP!$AP$25),((0*1))))))</f>
        <v>0</v>
      </c>
      <c r="BY375" s="93">
        <f>BW375*BX375</f>
        <v>0</v>
      </c>
      <c r="BZ375" s="93">
        <f>IF(AW375=DP!$AN$15,(AY375/DP!$AM$15)*(1+DP!$AR$15),IF(AW375=DP!$AN$16,(AY375/DP!$AM$16)*(1+DP!$AR$16),IF(AW375=DP!$AN$17,(AY375/DP!$AM$17)*(1+DP!$AR$17),IF(AW375=DP!$AN$18,(AY375/DP!$AM$18)*(1+DP!$AR$18),0*1))))</f>
        <v>0</v>
      </c>
      <c r="CA375" s="102">
        <f>IF(AW375=DP!$AN$22,(DP!$AQ$22),IF(AW375=DP!$AN$23,(DP!$AQ$23),IF(AW375=DP!$AN$24,(DP!$AQ$24),IF(AW375=DP!$AN$25,(DP!$AQ$25),((0*1))))))</f>
        <v>0</v>
      </c>
      <c r="CB375" s="93">
        <f>BZ375*CA375</f>
        <v>0</v>
      </c>
      <c r="CC375" s="93">
        <f>IF(AW375=DP!$AN$15,AY375*(1+DP!$AR$15),IF(AW375=DP!$AN$16,AY375*(1+DP!$AR$16),IF(AW375=DP!$AN$17,AY375*(1+DP!$AR$17),IF(AW375=DP!$AN$18,AY375*(1+DP!$AR$18),0*1))))</f>
        <v>0</v>
      </c>
      <c r="CD375" s="102">
        <f>IF(AW375=DP!$AN$22,(DP!$AR$22),IF(AW375=DP!$AN$23,(DP!$AR$23),IF(AW375=DP!$AN$24,(DP!$AR$24),IF(AW375=DP!$AN$25,(DP!$AR$25),((0*1))))))</f>
        <v>0</v>
      </c>
      <c r="CE375" s="93">
        <f>CC375*CD375</f>
        <v>0</v>
      </c>
      <c r="CF375" s="100"/>
      <c r="CG375" s="149">
        <f t="shared" ref="CG375:CG393" si="383">IF(AY375&gt;0,CG$395/BA$394*BA375,0*1)</f>
        <v>0</v>
      </c>
      <c r="CH375" s="149">
        <f>DP!$N$35*BA375</f>
        <v>0</v>
      </c>
      <c r="CI375" s="149">
        <f>DP!$O$35*BA375</f>
        <v>0</v>
      </c>
      <c r="CJ375" s="149">
        <f>DP!$P$35*BA375</f>
        <v>0</v>
      </c>
    </row>
    <row r="376" spans="2:88" x14ac:dyDescent="0.35">
      <c r="B376" s="480">
        <f>DP!S19</f>
        <v>0</v>
      </c>
      <c r="C376" s="480" t="str">
        <f>DP!T19</f>
        <v>PALMITO RODAJA 800</v>
      </c>
      <c r="D376" s="480">
        <f>DP!U19</f>
        <v>800</v>
      </c>
      <c r="E376" s="480">
        <f>DP!V19</f>
        <v>500</v>
      </c>
      <c r="F376" s="412">
        <f t="shared" ref="F376:F393" si="384">IFERROR((H376*1000)/E376,0*1)</f>
        <v>0</v>
      </c>
      <c r="G376" s="470">
        <f>DP!AH19</f>
        <v>0</v>
      </c>
      <c r="H376" s="98">
        <f t="shared" ref="H376:H393" si="385">$D$370*G376</f>
        <v>0</v>
      </c>
      <c r="I376" s="97"/>
      <c r="J376" s="102">
        <f t="shared" si="374"/>
        <v>0</v>
      </c>
      <c r="K376" s="98">
        <f t="shared" si="375"/>
        <v>0</v>
      </c>
      <c r="L376" s="93">
        <f t="shared" si="376"/>
        <v>0</v>
      </c>
      <c r="M376" s="99">
        <f t="shared" si="377"/>
        <v>0</v>
      </c>
      <c r="N376" s="100"/>
      <c r="O376" s="102">
        <f>($E376/DP!$P$29)*F376</f>
        <v>0</v>
      </c>
      <c r="P376" s="102">
        <f>IF(O376&gt;0,(DP!$P$31),0*1)</f>
        <v>0</v>
      </c>
      <c r="Q376" s="102">
        <f t="shared" ref="Q376:Q393" si="386">O376*P376</f>
        <v>0</v>
      </c>
      <c r="R376" s="102">
        <f t="shared" ref="R376:R393" si="387">IF(O376&gt;0,S376/O376,0*1)</f>
        <v>0</v>
      </c>
      <c r="S376" s="418">
        <f t="shared" ref="S376:S393" si="388">IFERROR(IF(B376=1,(S$397+70%*S$398)/(SUMIF($B$375:$B$393,1,$H$375:$H$393))*H376,(30%*S$398)/(SUMIF($B$375:$B$393,0,$H$375:$H$393))*H376),0*1)</f>
        <v>0</v>
      </c>
      <c r="T376" s="475">
        <f>H376*DP!$AG$44</f>
        <v>0</v>
      </c>
      <c r="U376" s="475">
        <f>IF(H376&gt;0,DP!$AH$44,0*1)</f>
        <v>0</v>
      </c>
      <c r="V376" s="475">
        <f t="shared" ref="V376:V393" si="389">T376*U376</f>
        <v>0</v>
      </c>
      <c r="W376" s="475">
        <f>H376*DP!$AG$45</f>
        <v>0</v>
      </c>
      <c r="X376" s="475">
        <f>IF(H376&gt;0,DP!$AH$45,0*1)</f>
        <v>0</v>
      </c>
      <c r="Y376" s="475">
        <f t="shared" ref="Y376:Y393" si="390">W376*X376</f>
        <v>0</v>
      </c>
      <c r="Z376" s="100"/>
      <c r="AA376" s="93">
        <f>IF(D376=DP!$L$15,F376*(1+DP!$P$15),IF(D376=DP!$L$16,F376*(1+DP!$P$16),IF(D376=DP!$L$17,F376*(1+DP!$P$17),IF(D376=DP!$L$18,F376*(1+DP!$P$18),0*1))))</f>
        <v>0</v>
      </c>
      <c r="AB376" s="102">
        <f>IF(D376=DP!$L$22,(DP!$M$22),IF(D376=DP!$L$23,(DP!$M$23),IF(D376=DP!$L$24,(DP!$M$24),IF(D376=DP!$L$25,(DP!$M$25),((0*1))))))</f>
        <v>0</v>
      </c>
      <c r="AC376" s="93">
        <f t="shared" ref="AC376:AC393" si="391">AA376*AB376</f>
        <v>0</v>
      </c>
      <c r="AD376" s="93">
        <f>IF(D376=DP!$L$15,F376*(1+DP!$P$15),IF(D376=DP!$L$16,F376*(1+DP!$P$16),IF(D376=DP!$L$17,F376*(1+DP!$P$17),IF(D376=DP!$L$18,F376*(1+DP!$P$18),0*1))))</f>
        <v>0</v>
      </c>
      <c r="AE376" s="102">
        <f>IF(D376=DP!$L$22,(DP!$N$22),IF(D376=DP!$L$23,(DP!$N$23),IF(D376=DP!$L$24,(DP!$N$24),IF(D376=DP!$L$25,(DP!$N$25),((0*1))))))</f>
        <v>0</v>
      </c>
      <c r="AF376" s="93">
        <f t="shared" ref="AF376:AF393" si="392">AD376*AE376</f>
        <v>0</v>
      </c>
      <c r="AG376" s="93">
        <f>IF(D376=DP!$L$15,(F376/DP!$K$15)*(1+DP!$P$15),IF(D376=DP!$L$16,(F376/DP!$K$16)*(1+DP!$P$16),IF(D376=DP!$L$17,(F376/DP!$K$17)*(1+DP!$P$17),IF(D376=DP!$L$18,(F376/DP!$K$18)*(1+DP!$P$18),0*1))))</f>
        <v>0</v>
      </c>
      <c r="AH376" s="102">
        <f>IF(D376=DP!$L$22,(DP!$O$22),IF(D376=DP!$L$23,(DP!$O$23),IF(D376=DP!$L$24,(DP!$O$24),IF(D376=DP!$L$25,(DP!$O$25),((0*1))))))</f>
        <v>0</v>
      </c>
      <c r="AI376" s="93">
        <f t="shared" ref="AI376:AI393" si="393">AG376*AH376</f>
        <v>0</v>
      </c>
      <c r="AJ376" s="93">
        <f>IF(D376=DP!$L$15,F376*(1+DP!$P$15),IF(D376=DP!$L$16,F376*(1+DP!$P$16),IF(D376=DP!$L$17,F376*(1+DP!$P$17),IF(D376=DP!$L$18,F376*(1+DP!$P$18),0*1))))</f>
        <v>0</v>
      </c>
      <c r="AK376" s="102">
        <f>IF(D376=DP!$L$22,(DP!$P$22),IF(D376=DP!$L$23,(DP!$P$23),IF(D376=DP!$L$24,(DP!$P$24),IF(D376=DP!$L$25,(DP!$P$25),((0*1))))))</f>
        <v>0</v>
      </c>
      <c r="AL376" s="93">
        <f t="shared" ref="AL376:AL393" si="394">AJ376*AK376</f>
        <v>0</v>
      </c>
      <c r="AM376" s="100"/>
      <c r="AN376" s="149">
        <f t="shared" si="378"/>
        <v>0</v>
      </c>
      <c r="AO376" s="149">
        <f>DP!$N$35*H376</f>
        <v>0</v>
      </c>
      <c r="AP376" s="149">
        <f>DP!$O$35*H376</f>
        <v>0</v>
      </c>
      <c r="AQ376" s="149">
        <f>DP!$P$35*H376</f>
        <v>0</v>
      </c>
      <c r="AV376" s="412" t="str">
        <f>DP!AV19</f>
        <v>PIÑA TROZO 850</v>
      </c>
      <c r="AW376" s="412">
        <f>DP!AW19</f>
        <v>850</v>
      </c>
      <c r="AX376" s="412">
        <f>DP!AX19</f>
        <v>440</v>
      </c>
      <c r="AY376" s="412">
        <f t="shared" ref="AY376:AY393" si="395">IFERROR((BA376*1000)/AX376,0*1)</f>
        <v>0</v>
      </c>
      <c r="AZ376" s="470">
        <f>DP!BJ19</f>
        <v>0</v>
      </c>
      <c r="BA376" s="98">
        <f t="shared" ref="BA376:BA393" si="396">$AW$370*AZ376</f>
        <v>0</v>
      </c>
      <c r="BB376" s="97"/>
      <c r="BC376" s="102">
        <f t="shared" si="379"/>
        <v>0</v>
      </c>
      <c r="BD376" s="98">
        <f t="shared" si="380"/>
        <v>0</v>
      </c>
      <c r="BE376" s="93">
        <f t="shared" si="381"/>
        <v>0</v>
      </c>
      <c r="BF376" s="99">
        <f t="shared" si="382"/>
        <v>0</v>
      </c>
      <c r="BG376" s="100"/>
      <c r="BH376" s="102">
        <f>IFERROR((BA376*100%)/DP!$AR$29,(0*1))</f>
        <v>0</v>
      </c>
      <c r="BI376" s="102">
        <f>IF(BH376&gt;0,(DP!$AR$31),0*1)</f>
        <v>0</v>
      </c>
      <c r="BJ376" s="435">
        <f t="shared" ref="BJ376:BJ390" si="397">BH376*BI376</f>
        <v>0</v>
      </c>
      <c r="BK376" s="475">
        <f>BA376*DP!$BI$44</f>
        <v>0</v>
      </c>
      <c r="BL376" s="475">
        <f>IF(BA376&gt;0,DP!$BJ$44,0*1)</f>
        <v>0</v>
      </c>
      <c r="BM376" s="475">
        <f t="shared" ref="BM376:BM393" si="398">BK376*BL376</f>
        <v>0</v>
      </c>
      <c r="BN376" s="102">
        <f>BA376*DP!$BI$45</f>
        <v>0</v>
      </c>
      <c r="BO376" s="102">
        <f>IF(BA376&gt;0,DP!$BJ$45,0*1)</f>
        <v>0</v>
      </c>
      <c r="BP376" s="475">
        <f t="shared" ref="BP376:BP393" si="399">BN376*BO376</f>
        <v>0</v>
      </c>
      <c r="BQ376" s="100"/>
      <c r="BR376" s="100"/>
      <c r="BS376" s="100"/>
      <c r="BT376" s="93">
        <f>IF(AW376=DP!$AN$15,AY376*(1+DP!$AR$15),IF(AW376=DP!$AN$16,AY376*(1+DP!$AR$16),IF(AW376=DP!$AN$17,AY376*(1+DP!$AR$17),IF(AW376=DP!$AN$18,AY376*(1+DP!$AR$18),0*1))))</f>
        <v>0</v>
      </c>
      <c r="BU376" s="102">
        <f>IF(AW376=DP!$AN$22,(DP!$AO$22),IF(AW376=DP!$AN$23,(DP!$AO$23),IF(AW376=DP!$AN$24,(DP!$AO$24),IF(AW376=DP!$AN$25,(DP!$AO$25),((0*1))))))</f>
        <v>0</v>
      </c>
      <c r="BV376" s="93">
        <f t="shared" ref="BV376:BV393" si="400">BT376*BU376</f>
        <v>0</v>
      </c>
      <c r="BW376" s="93">
        <f>IF(AW376=DP!$AN$15,AY376*(1+DP!$AR$15),IF(AW376=DP!$AN$16,AY376*(1+DP!$AR$16),IF(AW376=DP!$AN$17,AY376*(1+DP!$AR$17),IF(AW376=DP!$AN$18,AY376*(1+DP!$AR$18),0*1))))</f>
        <v>0</v>
      </c>
      <c r="BX376" s="102">
        <f>IF(AW376=DP!$AN$22,(DP!$AP$22),IF(AW376=DP!$AN$23,(DP!$AP$23),IF(AW376=DP!$AN$24,(DP!$AP$24),IF(AW376=DP!$AN$25,(DP!$AP$25),((0*1))))))</f>
        <v>0</v>
      </c>
      <c r="BY376" s="93">
        <f t="shared" ref="BY376:BY393" si="401">BW376*BX376</f>
        <v>0</v>
      </c>
      <c r="BZ376" s="93">
        <f>IF(AW376=DP!$AN$15,(AY376/DP!$AM$15)*(1+DP!$AR$15),IF(AW376=DP!$AN$16,(AY376/DP!$AM$16)*(1+DP!$AR$16),IF(AW376=DP!$AN$17,(AY376/DP!$AM$17)*(1+DP!$AR$17),IF(AW376=DP!$AN$18,(AY376/DP!$AM$18)*(1+DP!$AR$18),0*1))))</f>
        <v>0</v>
      </c>
      <c r="CA376" s="102">
        <f>IF(AW376=DP!$AN$22,(DP!$AQ$22),IF(AW376=DP!$AN$23,(DP!$AQ$23),IF(AW376=DP!$AN$24,(DP!$AQ$24),IF(AW376=DP!$AN$25,(DP!$AQ$25),((0*1))))))</f>
        <v>0</v>
      </c>
      <c r="CB376" s="93">
        <f t="shared" ref="CB376:CB393" si="402">BZ376*CA376</f>
        <v>0</v>
      </c>
      <c r="CC376" s="93">
        <f>IF(AW376=DP!$AN$15,AY376*(1+DP!$AR$15),IF(AW376=DP!$AN$16,AY376*(1+DP!$AR$16),IF(AW376=DP!$AN$17,AY376*(1+DP!$AR$17),IF(AW376=DP!$AN$18,AY376*(1+DP!$AR$18),0*1))))</f>
        <v>0</v>
      </c>
      <c r="CD376" s="102">
        <f>IF(AW376=DP!$AN$22,(DP!$AR$22),IF(AW376=DP!$AN$23,(DP!$AR$23),IF(AW376=DP!$AN$24,(DP!$AR$24),IF(AW376=DP!$AN$25,(DP!$AR$25),((0*1))))))</f>
        <v>0</v>
      </c>
      <c r="CE376" s="93">
        <f t="shared" ref="CE376:CE393" si="403">CC376*CD376</f>
        <v>0</v>
      </c>
      <c r="CF376" s="100"/>
      <c r="CG376" s="149">
        <f t="shared" si="383"/>
        <v>0</v>
      </c>
      <c r="CH376" s="149">
        <f>DP!$N$35*BA376</f>
        <v>0</v>
      </c>
      <c r="CI376" s="149">
        <f>DP!$O$35*BA376</f>
        <v>0</v>
      </c>
      <c r="CJ376" s="149">
        <f>DP!$P$35*BA376</f>
        <v>0</v>
      </c>
    </row>
    <row r="377" spans="2:88" x14ac:dyDescent="0.35">
      <c r="B377" s="480">
        <f>DP!S20</f>
        <v>0</v>
      </c>
      <c r="C377" s="480" t="str">
        <f>DP!T20</f>
        <v>PALMITO TROZO 800</v>
      </c>
      <c r="D377" s="480">
        <f>DP!U20</f>
        <v>800</v>
      </c>
      <c r="E377" s="480">
        <f>DP!V20</f>
        <v>500</v>
      </c>
      <c r="F377" s="412">
        <f t="shared" si="384"/>
        <v>0</v>
      </c>
      <c r="G377" s="470">
        <f>DP!AH20</f>
        <v>0</v>
      </c>
      <c r="H377" s="98">
        <f t="shared" si="385"/>
        <v>0</v>
      </c>
      <c r="I377" s="97"/>
      <c r="J377" s="102">
        <f t="shared" si="374"/>
        <v>0</v>
      </c>
      <c r="K377" s="98">
        <f t="shared" si="375"/>
        <v>0</v>
      </c>
      <c r="L377" s="93">
        <f t="shared" si="376"/>
        <v>0</v>
      </c>
      <c r="M377" s="99">
        <f t="shared" si="377"/>
        <v>0</v>
      </c>
      <c r="N377" s="100"/>
      <c r="O377" s="102">
        <f>($E377/DP!$P$29)*F377</f>
        <v>0</v>
      </c>
      <c r="P377" s="102">
        <f>IF(O377&gt;0,(DP!$P$31),0*1)</f>
        <v>0</v>
      </c>
      <c r="Q377" s="102">
        <f t="shared" si="386"/>
        <v>0</v>
      </c>
      <c r="R377" s="102">
        <f t="shared" si="387"/>
        <v>0</v>
      </c>
      <c r="S377" s="418">
        <f t="shared" si="388"/>
        <v>0</v>
      </c>
      <c r="T377" s="475">
        <f>H377*DP!$AG$44</f>
        <v>0</v>
      </c>
      <c r="U377" s="475">
        <f>IF(H377&gt;0,DP!$AH$44,0*1)</f>
        <v>0</v>
      </c>
      <c r="V377" s="475">
        <f t="shared" si="389"/>
        <v>0</v>
      </c>
      <c r="W377" s="475">
        <f>H377*DP!$AG$45</f>
        <v>0</v>
      </c>
      <c r="X377" s="475">
        <f>IF(H377&gt;0,DP!$AH$45,0*1)</f>
        <v>0</v>
      </c>
      <c r="Y377" s="475">
        <f t="shared" si="390"/>
        <v>0</v>
      </c>
      <c r="Z377" s="100"/>
      <c r="AA377" s="93">
        <f>IF(D377=DP!$L$15,F377*(1+DP!$P$15),IF(D377=DP!$L$16,F377*(1+DP!$P$16),IF(D377=DP!$L$17,F377*(1+DP!$P$17),IF(D377=DP!$L$18,F377*(1+DP!$P$18),0*1))))</f>
        <v>0</v>
      </c>
      <c r="AB377" s="102">
        <f>IF(D377=DP!$L$22,(DP!$M$22),IF(D377=DP!$L$23,(DP!$M$23),IF(D377=DP!$L$24,(DP!$M$24),IF(D377=DP!$L$25,(DP!$M$25),((0*1))))))</f>
        <v>0</v>
      </c>
      <c r="AC377" s="93">
        <f t="shared" si="391"/>
        <v>0</v>
      </c>
      <c r="AD377" s="93">
        <f>IF(D377=DP!$L$15,F377*(1+DP!$P$15),IF(D377=DP!$L$16,F377*(1+DP!$P$16),IF(D377=DP!$L$17,F377*(1+DP!$P$17),IF(D377=DP!$L$18,F377*(1+DP!$P$18),0*1))))</f>
        <v>0</v>
      </c>
      <c r="AE377" s="102">
        <f>IF(D377=DP!$L$22,(DP!$N$22),IF(D377=DP!$L$23,(DP!$N$23),IF(D377=DP!$L$24,(DP!$N$24),IF(D377=DP!$L$25,(DP!$N$25),((0*1))))))</f>
        <v>0</v>
      </c>
      <c r="AF377" s="93">
        <f t="shared" si="392"/>
        <v>0</v>
      </c>
      <c r="AG377" s="93">
        <f>IF(D377=DP!$L$15,(F377/DP!$K$15)*(1+DP!$P$15),IF(D377=DP!$L$16,(F377/DP!$K$16)*(1+DP!$P$16),IF(D377=DP!$L$17,(F377/DP!$K$17)*(1+DP!$P$17),IF(D377=DP!$L$18,(F377/DP!$K$18)*(1+DP!$P$18),0*1))))</f>
        <v>0</v>
      </c>
      <c r="AH377" s="102">
        <f>IF(D377=DP!$L$22,(DP!$O$22),IF(D377=DP!$L$23,(DP!$O$23),IF(D377=DP!$L$24,(DP!$O$24),IF(D377=DP!$L$25,(DP!$O$25),((0*1))))))</f>
        <v>0</v>
      </c>
      <c r="AI377" s="93">
        <f t="shared" si="393"/>
        <v>0</v>
      </c>
      <c r="AJ377" s="93">
        <f>IF(D377=DP!$L$15,F377*(1+DP!$P$15),IF(D377=DP!$L$16,F377*(1+DP!$P$16),IF(D377=DP!$L$17,F377*(1+DP!$P$17),IF(D377=DP!$L$18,F377*(1+DP!$P$18),0*1))))</f>
        <v>0</v>
      </c>
      <c r="AK377" s="102">
        <f>IF(D377=DP!$L$22,(DP!$P$22),IF(D377=DP!$L$23,(DP!$P$23),IF(D377=DP!$L$24,(DP!$P$24),IF(D377=DP!$L$25,(DP!$P$25),((0*1))))))</f>
        <v>0</v>
      </c>
      <c r="AL377" s="93">
        <f t="shared" si="394"/>
        <v>0</v>
      </c>
      <c r="AM377" s="100"/>
      <c r="AN377" s="149">
        <f t="shared" si="378"/>
        <v>0</v>
      </c>
      <c r="AO377" s="149">
        <f>DP!$N$35*H377</f>
        <v>0</v>
      </c>
      <c r="AP377" s="149">
        <f>DP!$O$35*H377</f>
        <v>0</v>
      </c>
      <c r="AQ377" s="149">
        <f>DP!$P$35*H377</f>
        <v>0</v>
      </c>
      <c r="AV377" s="412" t="str">
        <f>DP!AV20</f>
        <v>PIÑA TROZO A-10</v>
      </c>
      <c r="AW377" s="412">
        <f>DP!AW20</f>
        <v>2920</v>
      </c>
      <c r="AX377" s="412">
        <f>DP!AX20</f>
        <v>1825</v>
      </c>
      <c r="AY377" s="412">
        <f t="shared" si="395"/>
        <v>0</v>
      </c>
      <c r="AZ377" s="470">
        <f>DP!BJ20</f>
        <v>0</v>
      </c>
      <c r="BA377" s="98">
        <f t="shared" si="396"/>
        <v>0</v>
      </c>
      <c r="BB377" s="97"/>
      <c r="BC377" s="102">
        <f t="shared" si="379"/>
        <v>0</v>
      </c>
      <c r="BD377" s="98">
        <f t="shared" si="380"/>
        <v>0</v>
      </c>
      <c r="BE377" s="93">
        <f t="shared" si="381"/>
        <v>0</v>
      </c>
      <c r="BF377" s="99">
        <f t="shared" si="382"/>
        <v>0</v>
      </c>
      <c r="BG377" s="100"/>
      <c r="BH377" s="102">
        <f>IFERROR((BA377*100%)/DP!$AR$29,(0*1))</f>
        <v>0</v>
      </c>
      <c r="BI377" s="102">
        <f>IF(BH377&gt;0,(DP!$AR$31),0*1)</f>
        <v>0</v>
      </c>
      <c r="BJ377" s="435">
        <f t="shared" si="397"/>
        <v>0</v>
      </c>
      <c r="BK377" s="475">
        <f>BA377*DP!$BI$44</f>
        <v>0</v>
      </c>
      <c r="BL377" s="475">
        <f>IF(BA377&gt;0,DP!$BJ$44,0*1)</f>
        <v>0</v>
      </c>
      <c r="BM377" s="475">
        <f t="shared" si="398"/>
        <v>0</v>
      </c>
      <c r="BN377" s="102">
        <f>BA377*DP!$BI$45</f>
        <v>0</v>
      </c>
      <c r="BO377" s="102">
        <f>IF(BA377&gt;0,DP!$BJ$45,0*1)</f>
        <v>0</v>
      </c>
      <c r="BP377" s="475">
        <f t="shared" si="399"/>
        <v>0</v>
      </c>
      <c r="BQ377" s="100"/>
      <c r="BR377" s="100"/>
      <c r="BS377" s="100"/>
      <c r="BT377" s="93">
        <f>IF(AW377=DP!$AN$15,AY377*(1+DP!$AR$15),IF(AW377=DP!$AN$16,AY377*(1+DP!$AR$16),IF(AW377=DP!$AN$17,AY377*(1+DP!$AR$17),IF(AW377=DP!$AN$18,AY377*(1+DP!$AR$18),0*1))))</f>
        <v>0</v>
      </c>
      <c r="BU377" s="102">
        <f>IF(AW377=DP!$AN$22,(DP!$AO$22),IF(AW377=DP!$AN$23,(DP!$AO$23),IF(AW377=DP!$AN$24,(DP!$AO$24),IF(AW377=DP!$AN$25,(DP!$AO$25),((0*1))))))</f>
        <v>0</v>
      </c>
      <c r="BV377" s="93">
        <f t="shared" si="400"/>
        <v>0</v>
      </c>
      <c r="BW377" s="93">
        <f>IF(AW377=DP!$AN$15,AY377*(1+DP!$AR$15),IF(AW377=DP!$AN$16,AY377*(1+DP!$AR$16),IF(AW377=DP!$AN$17,AY377*(1+DP!$AR$17),IF(AW377=DP!$AN$18,AY377*(1+DP!$AR$18),0*1))))</f>
        <v>0</v>
      </c>
      <c r="BX377" s="102">
        <f>IF(AW377=DP!$AN$22,(DP!$AP$22),IF(AW377=DP!$AN$23,(DP!$AP$23),IF(AW377=DP!$AN$24,(DP!$AP$24),IF(AW377=DP!$AN$25,(DP!$AP$25),((0*1))))))</f>
        <v>0</v>
      </c>
      <c r="BY377" s="93">
        <f t="shared" si="401"/>
        <v>0</v>
      </c>
      <c r="BZ377" s="93">
        <f>IF(AW377=DP!$AN$15,(AY377/DP!$AM$15)*(1+DP!$AR$15),IF(AW377=DP!$AN$16,(AY377/DP!$AM$16)*(1+DP!$AR$16),IF(AW377=DP!$AN$17,(AY377/DP!$AM$17)*(1+DP!$AR$17),IF(AW377=DP!$AN$18,(AY377/DP!$AM$18)*(1+DP!$AR$18),0*1))))</f>
        <v>0</v>
      </c>
      <c r="CA377" s="102">
        <f>IF(AW377=DP!$AN$22,(DP!$AQ$22),IF(AW377=DP!$AN$23,(DP!$AQ$23),IF(AW377=DP!$AN$24,(DP!$AQ$24),IF(AW377=DP!$AN$25,(DP!$AQ$25),((0*1))))))</f>
        <v>0</v>
      </c>
      <c r="CB377" s="93">
        <f t="shared" si="402"/>
        <v>0</v>
      </c>
      <c r="CC377" s="93">
        <f>IF(AW377=DP!$AN$15,AY377*(1+DP!$AR$15),IF(AW377=DP!$AN$16,AY377*(1+DP!$AR$16),IF(AW377=DP!$AN$17,AY377*(1+DP!$AR$17),IF(AW377=DP!$AN$18,AY377*(1+DP!$AR$18),0*1))))</f>
        <v>0</v>
      </c>
      <c r="CD377" s="102">
        <f>IF(AW377=DP!$AN$22,(DP!$AR$22),IF(AW377=DP!$AN$23,(DP!$AR$23),IF(AW377=DP!$AN$24,(DP!$AR$24),IF(AW377=DP!$AN$25,(DP!$AR$25),((0*1))))))</f>
        <v>0</v>
      </c>
      <c r="CE377" s="93">
        <f t="shared" si="403"/>
        <v>0</v>
      </c>
      <c r="CF377" s="100"/>
      <c r="CG377" s="149">
        <f t="shared" si="383"/>
        <v>0</v>
      </c>
      <c r="CH377" s="149">
        <f>DP!$N$35*BA377</f>
        <v>0</v>
      </c>
      <c r="CI377" s="149">
        <f>DP!$O$35*BA377</f>
        <v>0</v>
      </c>
      <c r="CJ377" s="149">
        <f>DP!$P$35*BA377</f>
        <v>0</v>
      </c>
    </row>
    <row r="378" spans="2:88" x14ac:dyDescent="0.35">
      <c r="B378" s="480">
        <f>DP!S21</f>
        <v>1</v>
      </c>
      <c r="C378" s="480" t="str">
        <f>DP!T21</f>
        <v>PALMITO ENTERO 400</v>
      </c>
      <c r="D378" s="480">
        <f>DP!U21</f>
        <v>400</v>
      </c>
      <c r="E378" s="480">
        <f>DP!V21</f>
        <v>220</v>
      </c>
      <c r="F378" s="412">
        <f t="shared" si="384"/>
        <v>0</v>
      </c>
      <c r="G378" s="470">
        <f>DP!AH21</f>
        <v>0</v>
      </c>
      <c r="H378" s="98">
        <f t="shared" si="385"/>
        <v>0</v>
      </c>
      <c r="I378" s="97"/>
      <c r="J378" s="102">
        <f t="shared" si="374"/>
        <v>0</v>
      </c>
      <c r="K378" s="98">
        <f t="shared" si="375"/>
        <v>0</v>
      </c>
      <c r="L378" s="93">
        <f t="shared" si="376"/>
        <v>0</v>
      </c>
      <c r="M378" s="99">
        <f t="shared" si="377"/>
        <v>0</v>
      </c>
      <c r="N378" s="100"/>
      <c r="O378" s="102">
        <f>($E378/DP!$P$29)*F378</f>
        <v>0</v>
      </c>
      <c r="P378" s="102">
        <f>IF(O378&gt;0,(DP!$P$31),0*1)</f>
        <v>0</v>
      </c>
      <c r="Q378" s="102">
        <f t="shared" si="386"/>
        <v>0</v>
      </c>
      <c r="R378" s="102">
        <f t="shared" si="387"/>
        <v>0</v>
      </c>
      <c r="S378" s="418">
        <f t="shared" si="388"/>
        <v>0</v>
      </c>
      <c r="T378" s="475">
        <f>H378*DP!$AG$44</f>
        <v>0</v>
      </c>
      <c r="U378" s="475">
        <f>IF(H378&gt;0,DP!$AH$44,0*1)</f>
        <v>0</v>
      </c>
      <c r="V378" s="475">
        <f t="shared" si="389"/>
        <v>0</v>
      </c>
      <c r="W378" s="475">
        <f>H378*DP!$AG$45</f>
        <v>0</v>
      </c>
      <c r="X378" s="475">
        <f>IF(H378&gt;0,DP!$AH$45,0*1)</f>
        <v>0</v>
      </c>
      <c r="Y378" s="475">
        <f t="shared" si="390"/>
        <v>0</v>
      </c>
      <c r="Z378" s="100"/>
      <c r="AA378" s="93">
        <f>IF(D378=DP!$L$15,F378*(1+DP!$P$15),IF(D378=DP!$L$16,F378*(1+DP!$P$16),IF(D378=DP!$L$17,F378*(1+DP!$P$17),IF(D378=DP!$L$18,F378*(1+DP!$P$18),0*1))))</f>
        <v>0</v>
      </c>
      <c r="AB378" s="102">
        <f>IF(D378=DP!$L$22,(DP!$M$22),IF(D378=DP!$L$23,(DP!$M$23),IF(D378=DP!$L$24,(DP!$M$24),IF(D378=DP!$L$25,(DP!$M$25),((0*1))))))</f>
        <v>0</v>
      </c>
      <c r="AC378" s="93">
        <f t="shared" si="391"/>
        <v>0</v>
      </c>
      <c r="AD378" s="93">
        <f>IF(D378=DP!$L$15,F378*(1+DP!$P$15),IF(D378=DP!$L$16,F378*(1+DP!$P$16),IF(D378=DP!$L$17,F378*(1+DP!$P$17),IF(D378=DP!$L$18,F378*(1+DP!$P$18),0*1))))</f>
        <v>0</v>
      </c>
      <c r="AE378" s="102">
        <f>IF(D378=DP!$L$22,(DP!$N$22),IF(D378=DP!$L$23,(DP!$N$23),IF(D378=DP!$L$24,(DP!$N$24),IF(D378=DP!$L$25,(DP!$N$25),((0*1))))))</f>
        <v>0</v>
      </c>
      <c r="AF378" s="93">
        <f t="shared" si="392"/>
        <v>0</v>
      </c>
      <c r="AG378" s="93">
        <f>IF(D378=DP!$L$15,(F378/DP!$K$15)*(1+DP!$P$15),IF(D378=DP!$L$16,(F378/DP!$K$16)*(1+DP!$P$16),IF(D378=DP!$L$17,(F378/DP!$K$17)*(1+DP!$P$17),IF(D378=DP!$L$18,(F378/DP!$K$18)*(1+DP!$P$18),0*1))))</f>
        <v>0</v>
      </c>
      <c r="AH378" s="102">
        <f>IF(D378=DP!$L$22,(DP!$O$22),IF(D378=DP!$L$23,(DP!$O$23),IF(D378=DP!$L$24,(DP!$O$24),IF(D378=DP!$L$25,(DP!$O$25),((0*1))))))</f>
        <v>0</v>
      </c>
      <c r="AI378" s="93">
        <f t="shared" si="393"/>
        <v>0</v>
      </c>
      <c r="AJ378" s="93">
        <f>IF(D378=DP!$L$15,F378*(1+DP!$P$15),IF(D378=DP!$L$16,F378*(1+DP!$P$16),IF(D378=DP!$L$17,F378*(1+DP!$P$17),IF(D378=DP!$L$18,F378*(1+DP!$P$18),0*1))))</f>
        <v>0</v>
      </c>
      <c r="AK378" s="102">
        <f>IF(D378=DP!$L$22,(DP!$P$22),IF(D378=DP!$L$23,(DP!$P$23),IF(D378=DP!$L$24,(DP!$P$24),IF(D378=DP!$L$25,(DP!$P$25),((0*1))))))</f>
        <v>0</v>
      </c>
      <c r="AL378" s="93">
        <f t="shared" si="394"/>
        <v>0</v>
      </c>
      <c r="AM378" s="100"/>
      <c r="AN378" s="149">
        <f t="shared" si="378"/>
        <v>0</v>
      </c>
      <c r="AO378" s="149">
        <f>DP!$N$35*H378</f>
        <v>0</v>
      </c>
      <c r="AP378" s="149">
        <f>DP!$O$35*H378</f>
        <v>0</v>
      </c>
      <c r="AQ378" s="149">
        <f>DP!$P$35*H378</f>
        <v>0</v>
      </c>
      <c r="AV378" s="412" t="str">
        <f>DP!AV21</f>
        <v>PIÑA RODAJA A-10</v>
      </c>
      <c r="AW378" s="412">
        <f>DP!AW21</f>
        <v>2920</v>
      </c>
      <c r="AX378" s="412">
        <f>DP!AX21</f>
        <v>1825</v>
      </c>
      <c r="AY378" s="412">
        <f t="shared" si="395"/>
        <v>0</v>
      </c>
      <c r="AZ378" s="470">
        <f>DP!BJ21</f>
        <v>0</v>
      </c>
      <c r="BA378" s="98">
        <f t="shared" si="396"/>
        <v>0</v>
      </c>
      <c r="BB378" s="97"/>
      <c r="BC378" s="102">
        <f t="shared" si="379"/>
        <v>0</v>
      </c>
      <c r="BD378" s="98">
        <f t="shared" si="380"/>
        <v>0</v>
      </c>
      <c r="BE378" s="93">
        <f t="shared" si="381"/>
        <v>0</v>
      </c>
      <c r="BF378" s="99">
        <f t="shared" si="382"/>
        <v>0</v>
      </c>
      <c r="BG378" s="100"/>
      <c r="BH378" s="102">
        <f>IFERROR((BA378*100%)/DP!$AR$29,(0*1))</f>
        <v>0</v>
      </c>
      <c r="BI378" s="102">
        <f>IF(BH378&gt;0,(DP!$AR$31),0*1)</f>
        <v>0</v>
      </c>
      <c r="BJ378" s="435">
        <f t="shared" si="397"/>
        <v>0</v>
      </c>
      <c r="BK378" s="475">
        <f>BA378*DP!$BI$44</f>
        <v>0</v>
      </c>
      <c r="BL378" s="475">
        <f>IF(BA378&gt;0,DP!$BJ$44,0*1)</f>
        <v>0</v>
      </c>
      <c r="BM378" s="475">
        <f t="shared" si="398"/>
        <v>0</v>
      </c>
      <c r="BN378" s="102">
        <f>BA378*DP!$BI$45</f>
        <v>0</v>
      </c>
      <c r="BO378" s="102">
        <f>IF(BA378&gt;0,DP!$BJ$45,0*1)</f>
        <v>0</v>
      </c>
      <c r="BP378" s="475">
        <f t="shared" si="399"/>
        <v>0</v>
      </c>
      <c r="BQ378" s="100"/>
      <c r="BR378" s="100"/>
      <c r="BS378" s="100"/>
      <c r="BT378" s="93">
        <f>IF(AW378=DP!$AN$15,AY378*(1+DP!$AR$15),IF(AW378=DP!$AN$16,AY378*(1+DP!$AR$16),IF(AW378=DP!$AN$17,AY378*(1+DP!$AR$17),IF(AW378=DP!$AN$18,AY378*(1+DP!$AR$18),0*1))))</f>
        <v>0</v>
      </c>
      <c r="BU378" s="102">
        <f>IF(AW378=DP!$AN$22,(DP!$AO$22),IF(AW378=DP!$AN$23,(DP!$AO$23),IF(AW378=DP!$AN$24,(DP!$AO$24),IF(AW378=DP!$AN$25,(DP!$AO$25),((0*1))))))</f>
        <v>0</v>
      </c>
      <c r="BV378" s="93">
        <f t="shared" si="400"/>
        <v>0</v>
      </c>
      <c r="BW378" s="93">
        <f>IF(AW378=DP!$AN$15,AY378*(1+DP!$AR$15),IF(AW378=DP!$AN$16,AY378*(1+DP!$AR$16),IF(AW378=DP!$AN$17,AY378*(1+DP!$AR$17),IF(AW378=DP!$AN$18,AY378*(1+DP!$AR$18),0*1))))</f>
        <v>0</v>
      </c>
      <c r="BX378" s="102">
        <f>IF(AW378=DP!$AN$22,(DP!$AP$22),IF(AW378=DP!$AN$23,(DP!$AP$23),IF(AW378=DP!$AN$24,(DP!$AP$24),IF(AW378=DP!$AN$25,(DP!$AP$25),((0*1))))))</f>
        <v>0</v>
      </c>
      <c r="BY378" s="93">
        <f t="shared" si="401"/>
        <v>0</v>
      </c>
      <c r="BZ378" s="93">
        <f>IF(AW378=DP!$AN$15,(AY378/DP!$AM$15)*(1+DP!$AR$15),IF(AW378=DP!$AN$16,(AY378/DP!$AM$16)*(1+DP!$AR$16),IF(AW378=DP!$AN$17,(AY378/DP!$AM$17)*(1+DP!$AR$17),IF(AW378=DP!$AN$18,(AY378/DP!$AM$18)*(1+DP!$AR$18),0*1))))</f>
        <v>0</v>
      </c>
      <c r="CA378" s="102">
        <f>IF(AW378=DP!$AN$22,(DP!$AQ$22),IF(AW378=DP!$AN$23,(DP!$AQ$23),IF(AW378=DP!$AN$24,(DP!$AQ$24),IF(AW378=DP!$AN$25,(DP!$AQ$25),((0*1))))))</f>
        <v>0</v>
      </c>
      <c r="CB378" s="93">
        <f t="shared" si="402"/>
        <v>0</v>
      </c>
      <c r="CC378" s="93">
        <f>IF(AW378=DP!$AN$15,AY378*(1+DP!$AR$15),IF(AW378=DP!$AN$16,AY378*(1+DP!$AR$16),IF(AW378=DP!$AN$17,AY378*(1+DP!$AR$17),IF(AW378=DP!$AN$18,AY378*(1+DP!$AR$18),0*1))))</f>
        <v>0</v>
      </c>
      <c r="CD378" s="102">
        <f>IF(AW378=DP!$AN$22,(DP!$AR$22),IF(AW378=DP!$AN$23,(DP!$AR$23),IF(AW378=DP!$AN$24,(DP!$AR$24),IF(AW378=DP!$AN$25,(DP!$AR$25),((0*1))))))</f>
        <v>0</v>
      </c>
      <c r="CE378" s="93">
        <f t="shared" si="403"/>
        <v>0</v>
      </c>
      <c r="CF378" s="100"/>
      <c r="CG378" s="149">
        <f t="shared" si="383"/>
        <v>0</v>
      </c>
      <c r="CH378" s="149">
        <f>DP!$N$35*BA378</f>
        <v>0</v>
      </c>
      <c r="CI378" s="149">
        <f>DP!$O$35*BA378</f>
        <v>0</v>
      </c>
      <c r="CJ378" s="149">
        <f>DP!$P$35*BA378</f>
        <v>0</v>
      </c>
    </row>
    <row r="379" spans="2:88" x14ac:dyDescent="0.35">
      <c r="B379" s="480">
        <f>DP!S22</f>
        <v>0</v>
      </c>
      <c r="C379" s="480" t="str">
        <f>DP!T22</f>
        <v>PALMITO RODAJA 400</v>
      </c>
      <c r="D379" s="480">
        <f>DP!U22</f>
        <v>400</v>
      </c>
      <c r="E379" s="480">
        <f>DP!V22</f>
        <v>220</v>
      </c>
      <c r="F379" s="412">
        <f t="shared" si="384"/>
        <v>0</v>
      </c>
      <c r="G379" s="470">
        <f>DP!AH22</f>
        <v>0</v>
      </c>
      <c r="H379" s="98">
        <f t="shared" si="385"/>
        <v>0</v>
      </c>
      <c r="I379" s="97"/>
      <c r="J379" s="102">
        <f t="shared" si="374"/>
        <v>0</v>
      </c>
      <c r="K379" s="98">
        <f t="shared" si="375"/>
        <v>0</v>
      </c>
      <c r="L379" s="93">
        <f t="shared" si="376"/>
        <v>0</v>
      </c>
      <c r="M379" s="99">
        <f t="shared" si="377"/>
        <v>0</v>
      </c>
      <c r="N379" s="100"/>
      <c r="O379" s="102">
        <f>($E379/DP!$P$29)*F379</f>
        <v>0</v>
      </c>
      <c r="P379" s="102">
        <f>IF(O379&gt;0,(DP!$P$31),0*1)</f>
        <v>0</v>
      </c>
      <c r="Q379" s="102">
        <f t="shared" si="386"/>
        <v>0</v>
      </c>
      <c r="R379" s="102">
        <f t="shared" si="387"/>
        <v>0</v>
      </c>
      <c r="S379" s="418">
        <f t="shared" si="388"/>
        <v>0</v>
      </c>
      <c r="T379" s="475">
        <f>H379*DP!$AG$44</f>
        <v>0</v>
      </c>
      <c r="U379" s="475">
        <f>IF(H379&gt;0,DP!$AH$44,0*1)</f>
        <v>0</v>
      </c>
      <c r="V379" s="475">
        <f t="shared" si="389"/>
        <v>0</v>
      </c>
      <c r="W379" s="475">
        <f>H379*DP!$AG$45</f>
        <v>0</v>
      </c>
      <c r="X379" s="475">
        <f>IF(H379&gt;0,DP!$AH$45,0*1)</f>
        <v>0</v>
      </c>
      <c r="Y379" s="475">
        <f t="shared" si="390"/>
        <v>0</v>
      </c>
      <c r="Z379" s="100"/>
      <c r="AA379" s="93">
        <f>IF(D379=DP!$L$15,F379*(1+DP!$P$15),IF(D379=DP!$L$16,F379*(1+DP!$P$16),IF(D379=DP!$L$17,F379*(1+DP!$P$17),IF(D379=DP!$L$18,F379*(1+DP!$P$18),0*1))))</f>
        <v>0</v>
      </c>
      <c r="AB379" s="102">
        <f>IF(D379=DP!$L$22,(DP!$M$22),IF(D379=DP!$L$23,(DP!$M$23),IF(D379=DP!$L$24,(DP!$M$24),IF(D379=DP!$L$25,(DP!$M$25),((0*1))))))</f>
        <v>0</v>
      </c>
      <c r="AC379" s="93">
        <f t="shared" si="391"/>
        <v>0</v>
      </c>
      <c r="AD379" s="93">
        <f>IF(D379=DP!$L$15,F379*(1+DP!$P$15),IF(D379=DP!$L$16,F379*(1+DP!$P$16),IF(D379=DP!$L$17,F379*(1+DP!$P$17),IF(D379=DP!$L$18,F379*(1+DP!$P$18),0*1))))</f>
        <v>0</v>
      </c>
      <c r="AE379" s="102">
        <f>IF(D379=DP!$L$22,(DP!$N$22),IF(D379=DP!$L$23,(DP!$N$23),IF(D379=DP!$L$24,(DP!$N$24),IF(D379=DP!$L$25,(DP!$N$25),((0*1))))))</f>
        <v>0</v>
      </c>
      <c r="AF379" s="93">
        <f t="shared" si="392"/>
        <v>0</v>
      </c>
      <c r="AG379" s="93">
        <f>IF(D379=DP!$L$15,(F379/DP!$K$15)*(1+DP!$P$15),IF(D379=DP!$L$16,(F379/DP!$K$16)*(1+DP!$P$16),IF(D379=DP!$L$17,(F379/DP!$K$17)*(1+DP!$P$17),IF(D379=DP!$L$18,(F379/DP!$K$18)*(1+DP!$P$18),0*1))))</f>
        <v>0</v>
      </c>
      <c r="AH379" s="102">
        <f>IF(D379=DP!$L$22,(DP!$O$22),IF(D379=DP!$L$23,(DP!$O$23),IF(D379=DP!$L$24,(DP!$O$24),IF(D379=DP!$L$25,(DP!$O$25),((0*1))))))</f>
        <v>0</v>
      </c>
      <c r="AI379" s="93">
        <f t="shared" si="393"/>
        <v>0</v>
      </c>
      <c r="AJ379" s="93">
        <f>IF(D379=DP!$L$15,F379*(1+DP!$P$15),IF(D379=DP!$L$16,F379*(1+DP!$P$16),IF(D379=DP!$L$17,F379*(1+DP!$P$17),IF(D379=DP!$L$18,F379*(1+DP!$P$18),0*1))))</f>
        <v>0</v>
      </c>
      <c r="AK379" s="102">
        <f>IF(D379=DP!$L$22,(DP!$P$22),IF(D379=DP!$L$23,(DP!$P$23),IF(D379=DP!$L$24,(DP!$P$24),IF(D379=DP!$L$25,(DP!$P$25),((0*1))))))</f>
        <v>0</v>
      </c>
      <c r="AL379" s="93">
        <f t="shared" si="394"/>
        <v>0</v>
      </c>
      <c r="AM379" s="100"/>
      <c r="AN379" s="149">
        <f t="shared" si="378"/>
        <v>0</v>
      </c>
      <c r="AO379" s="149">
        <f>DP!$N$35*H379</f>
        <v>0</v>
      </c>
      <c r="AP379" s="149">
        <f>DP!$O$35*H379</f>
        <v>0</v>
      </c>
      <c r="AQ379" s="149">
        <f>DP!$P$35*H379</f>
        <v>0</v>
      </c>
      <c r="AV379" s="412" t="str">
        <f>DP!AV22</f>
        <v>PIÑA RODAJA 567</v>
      </c>
      <c r="AW379" s="412">
        <f>DP!AW22</f>
        <v>567</v>
      </c>
      <c r="AX379" s="412">
        <f>DP!AX22</f>
        <v>340</v>
      </c>
      <c r="AY379" s="412">
        <f t="shared" si="395"/>
        <v>324000</v>
      </c>
      <c r="AZ379" s="470">
        <f>DP!BJ22</f>
        <v>0.6</v>
      </c>
      <c r="BA379" s="98">
        <f t="shared" si="396"/>
        <v>110160</v>
      </c>
      <c r="BB379" s="97"/>
      <c r="BC379" s="102">
        <f t="shared" si="379"/>
        <v>0.96041166831383962</v>
      </c>
      <c r="BD379" s="98">
        <f t="shared" si="380"/>
        <v>0.83461166831383959</v>
      </c>
      <c r="BE379" s="93">
        <f t="shared" si="381"/>
        <v>311173.38053368405</v>
      </c>
      <c r="BF379" s="99">
        <f t="shared" si="382"/>
        <v>270414.18053368403</v>
      </c>
      <c r="BG379" s="100"/>
      <c r="BH379" s="102">
        <f>IFERROR((BA379*100%)/DP!$AR$29,(0*1))</f>
        <v>244800</v>
      </c>
      <c r="BI379" s="102">
        <f>IF(BH379&gt;0,(DP!$AR$31),0*1)</f>
        <v>0.45</v>
      </c>
      <c r="BJ379" s="435">
        <f t="shared" si="397"/>
        <v>110160</v>
      </c>
      <c r="BK379" s="475">
        <f>BA379*DP!$BI$44</f>
        <v>275.40000000000003</v>
      </c>
      <c r="BL379" s="475">
        <f>IF(BA379&gt;0,DP!$BJ$44,0*1)</f>
        <v>0.95</v>
      </c>
      <c r="BM379" s="475">
        <f t="shared" si="398"/>
        <v>261.63</v>
      </c>
      <c r="BN379" s="102">
        <f>BA379*DP!$BI$45</f>
        <v>18286.560000000001</v>
      </c>
      <c r="BO379" s="102">
        <f>IF(BA379&gt;0,DP!$BJ$45,0*1)</f>
        <v>0.76919999999999999</v>
      </c>
      <c r="BP379" s="475">
        <f t="shared" si="399"/>
        <v>14066.021952000001</v>
      </c>
      <c r="BQ379" s="100"/>
      <c r="BR379" s="100"/>
      <c r="BS379" s="100"/>
      <c r="BT379" s="93">
        <f>IF(AW379=DP!$AN$15,AY379*(1+DP!$AR$15),IF(AW379=DP!$AN$16,AY379*(1+DP!$AR$16),IF(AW379=DP!$AN$17,AY379*(1+DP!$AR$17),IF(AW379=DP!$AN$18,AY379*(1+DP!$AR$18),0*1))))</f>
        <v>325619.99999999994</v>
      </c>
      <c r="BU379" s="102">
        <f>IF(AW379=DP!$AN$22,(DP!$AO$22),IF(AW379=DP!$AN$23,(DP!$AO$23),IF(AW379=DP!$AN$24,(DP!$AO$24),IF(AW379=DP!$AN$25,(DP!$AO$25),((0*1))))))</f>
        <v>0.23</v>
      </c>
      <c r="BV379" s="93">
        <f t="shared" si="400"/>
        <v>74892.599999999991</v>
      </c>
      <c r="BW379" s="93">
        <f>IF(AW379=DP!$AN$15,AY379*(1+DP!$AR$15),IF(AW379=DP!$AN$16,AY379*(1+DP!$AR$16),IF(AW379=DP!$AN$17,AY379*(1+DP!$AR$17),IF(AW379=DP!$AN$18,AY379*(1+DP!$AR$18),0*1))))</f>
        <v>325619.99999999994</v>
      </c>
      <c r="BX379" s="102">
        <f>IF(AW379=DP!$AN$22,(DP!$AP$22),IF(AW379=DP!$AN$23,(DP!$AP$23),IF(AW379=DP!$AN$24,(DP!$AP$24),IF(AW379=DP!$AN$25,(DP!$AP$25),((0*1))))))</f>
        <v>5.5E-2</v>
      </c>
      <c r="BY379" s="93">
        <f t="shared" si="401"/>
        <v>17909.099999999999</v>
      </c>
      <c r="BZ379" s="93">
        <f>IF(AW379=DP!$AN$15,(AY379/DP!$AM$15)*(1+DP!$AR$15),IF(AW379=DP!$AN$16,(AY379/DP!$AM$16)*(1+DP!$AR$16),IF(AW379=DP!$AN$17,(AY379/DP!$AM$17)*(1+DP!$AR$17),IF(AW379=DP!$AN$18,(AY379/DP!$AM$18)*(1+DP!$AR$18),0*1))))</f>
        <v>13567.499999999998</v>
      </c>
      <c r="CA379" s="102">
        <f>IF(AW379=DP!$AN$22,(DP!$AQ$22),IF(AW379=DP!$AN$23,(DP!$AQ$23),IF(AW379=DP!$AN$24,(DP!$AQ$24),IF(AW379=DP!$AN$25,(DP!$AQ$25),((0*1))))))</f>
        <v>0.51199999999999923</v>
      </c>
      <c r="CB379" s="93">
        <f t="shared" si="402"/>
        <v>6946.5599999999886</v>
      </c>
      <c r="CC379" s="93">
        <f>IF(AW379=DP!$AN$15,AY379*(1+DP!$AR$15),IF(AW379=DP!$AN$16,AY379*(1+DP!$AR$16),IF(AW379=DP!$AN$17,AY379*(1+DP!$AR$17),IF(AW379=DP!$AN$18,AY379*(1+DP!$AR$18),0*1))))</f>
        <v>325619.99999999994</v>
      </c>
      <c r="CD379" s="102">
        <f>IF(AW379=DP!$AN$22,(DP!$AR$22),IF(AW379=DP!$AN$23,(DP!$AR$23),IF(AW379=DP!$AN$24,(DP!$AR$24),IF(AW379=DP!$AN$25,(DP!$AR$25),((0*1))))))</f>
        <v>3.3045977011494254E-2</v>
      </c>
      <c r="CE379" s="93">
        <f t="shared" si="403"/>
        <v>10760.431034482757</v>
      </c>
      <c r="CF379" s="100"/>
      <c r="CG379" s="149">
        <f t="shared" si="383"/>
        <v>35417.837547201292</v>
      </c>
      <c r="CH379" s="149">
        <f>DP!$N$35*BA379</f>
        <v>1582.7586206896553</v>
      </c>
      <c r="CI379" s="149">
        <f>DP!$O$35*BA379</f>
        <v>6014.4827586206902</v>
      </c>
      <c r="CJ379" s="149">
        <f>DP!$P$35*BA379</f>
        <v>40759.199999999997</v>
      </c>
    </row>
    <row r="380" spans="2:88" x14ac:dyDescent="0.35">
      <c r="B380" s="480">
        <f>DP!S23</f>
        <v>0</v>
      </c>
      <c r="C380" s="480" t="str">
        <f>DP!T23</f>
        <v>PALMITO TROZO 400</v>
      </c>
      <c r="D380" s="480">
        <f>DP!U23</f>
        <v>400</v>
      </c>
      <c r="E380" s="480">
        <f>DP!V23</f>
        <v>236</v>
      </c>
      <c r="F380" s="412">
        <f t="shared" si="384"/>
        <v>0</v>
      </c>
      <c r="G380" s="470">
        <f>DP!AH23</f>
        <v>0</v>
      </c>
      <c r="H380" s="98">
        <f t="shared" si="385"/>
        <v>0</v>
      </c>
      <c r="I380" s="97"/>
      <c r="J380" s="102">
        <f t="shared" si="374"/>
        <v>0</v>
      </c>
      <c r="K380" s="98">
        <f t="shared" si="375"/>
        <v>0</v>
      </c>
      <c r="L380" s="93">
        <f t="shared" si="376"/>
        <v>0</v>
      </c>
      <c r="M380" s="99">
        <f t="shared" si="377"/>
        <v>0</v>
      </c>
      <c r="N380" s="100"/>
      <c r="O380" s="102">
        <f>($E380/DP!$P$29)*F380</f>
        <v>0</v>
      </c>
      <c r="P380" s="102">
        <f>IF(O380&gt;0,(DP!$P$31),0*1)</f>
        <v>0</v>
      </c>
      <c r="Q380" s="102">
        <f t="shared" si="386"/>
        <v>0</v>
      </c>
      <c r="R380" s="102">
        <f t="shared" si="387"/>
        <v>0</v>
      </c>
      <c r="S380" s="418">
        <f t="shared" si="388"/>
        <v>0</v>
      </c>
      <c r="T380" s="475">
        <f>H380*DP!$AG$44</f>
        <v>0</v>
      </c>
      <c r="U380" s="475">
        <f>IF(H380&gt;0,DP!$AH$44,0*1)</f>
        <v>0</v>
      </c>
      <c r="V380" s="475">
        <f t="shared" si="389"/>
        <v>0</v>
      </c>
      <c r="W380" s="475">
        <f>H380*DP!$AG$45</f>
        <v>0</v>
      </c>
      <c r="X380" s="475">
        <f>IF(H380&gt;0,DP!$AH$45,0*1)</f>
        <v>0</v>
      </c>
      <c r="Y380" s="475">
        <f t="shared" si="390"/>
        <v>0</v>
      </c>
      <c r="Z380" s="100"/>
      <c r="AA380" s="93">
        <f>IF(D380=DP!$L$15,F380*(1+DP!$P$15),IF(D380=DP!$L$16,F380*(1+DP!$P$16),IF(D380=DP!$L$17,F380*(1+DP!$P$17),IF(D380=DP!$L$18,F380*(1+DP!$P$18),0*1))))</f>
        <v>0</v>
      </c>
      <c r="AB380" s="102">
        <f>IF(D380=DP!$L$22,(DP!$M$22),IF(D380=DP!$L$23,(DP!$M$23),IF(D380=DP!$L$24,(DP!$M$24),IF(D380=DP!$L$25,(DP!$M$25),((0*1))))))</f>
        <v>0</v>
      </c>
      <c r="AC380" s="93">
        <f t="shared" si="391"/>
        <v>0</v>
      </c>
      <c r="AD380" s="93">
        <f>IF(D380=DP!$L$15,F380*(1+DP!$P$15),IF(D380=DP!$L$16,F380*(1+DP!$P$16),IF(D380=DP!$L$17,F380*(1+DP!$P$17),IF(D380=DP!$L$18,F380*(1+DP!$P$18),0*1))))</f>
        <v>0</v>
      </c>
      <c r="AE380" s="102">
        <f>IF(D380=DP!$L$22,(DP!$N$22),IF(D380=DP!$L$23,(DP!$N$23),IF(D380=DP!$L$24,(DP!$N$24),IF(D380=DP!$L$25,(DP!$N$25),((0*1))))))</f>
        <v>0</v>
      </c>
      <c r="AF380" s="93">
        <f t="shared" si="392"/>
        <v>0</v>
      </c>
      <c r="AG380" s="93">
        <f>IF(D380=DP!$L$15,(F380/DP!$K$15)*(1+DP!$P$15),IF(D380=DP!$L$16,(F380/DP!$K$16)*(1+DP!$P$16),IF(D380=DP!$L$17,(F380/DP!$K$17)*(1+DP!$P$17),IF(D380=DP!$L$18,(F380/DP!$K$18)*(1+DP!$P$18),0*1))))</f>
        <v>0</v>
      </c>
      <c r="AH380" s="102">
        <f>IF(D380=DP!$L$22,(DP!$O$22),IF(D380=DP!$L$23,(DP!$O$23),IF(D380=DP!$L$24,(DP!$O$24),IF(D380=DP!$L$25,(DP!$O$25),((0*1))))))</f>
        <v>0</v>
      </c>
      <c r="AI380" s="93">
        <f t="shared" si="393"/>
        <v>0</v>
      </c>
      <c r="AJ380" s="93">
        <f>IF(D380=DP!$L$15,F380*(1+DP!$P$15),IF(D380=DP!$L$16,F380*(1+DP!$P$16),IF(D380=DP!$L$17,F380*(1+DP!$P$17),IF(D380=DP!$L$18,F380*(1+DP!$P$18),0*1))))</f>
        <v>0</v>
      </c>
      <c r="AK380" s="102">
        <f>IF(D380=DP!$L$22,(DP!$P$22),IF(D380=DP!$L$23,(DP!$P$23),IF(D380=DP!$L$24,(DP!$P$24),IF(D380=DP!$L$25,(DP!$P$25),((0*1))))))</f>
        <v>0</v>
      </c>
      <c r="AL380" s="93">
        <f t="shared" si="394"/>
        <v>0</v>
      </c>
      <c r="AM380" s="100"/>
      <c r="AN380" s="149">
        <f t="shared" si="378"/>
        <v>0</v>
      </c>
      <c r="AO380" s="149">
        <f>DP!$N$35*H380</f>
        <v>0</v>
      </c>
      <c r="AP380" s="149">
        <f>DP!$O$35*H380</f>
        <v>0</v>
      </c>
      <c r="AQ380" s="149">
        <f>DP!$P$35*H380</f>
        <v>0</v>
      </c>
      <c r="AV380" s="412" t="str">
        <f>DP!AV23</f>
        <v>PIÑA TROZO 567</v>
      </c>
      <c r="AW380" s="412">
        <f>DP!AW23</f>
        <v>567</v>
      </c>
      <c r="AX380" s="412">
        <f>DP!AX23</f>
        <v>340</v>
      </c>
      <c r="AY380" s="412">
        <f t="shared" si="395"/>
        <v>162000</v>
      </c>
      <c r="AZ380" s="470">
        <f>DP!BJ23</f>
        <v>0.3</v>
      </c>
      <c r="BA380" s="98">
        <f t="shared" si="396"/>
        <v>55080</v>
      </c>
      <c r="BB380" s="97"/>
      <c r="BC380" s="102">
        <f t="shared" si="379"/>
        <v>0.96041166831383962</v>
      </c>
      <c r="BD380" s="98">
        <f t="shared" si="380"/>
        <v>0.83461166831383959</v>
      </c>
      <c r="BE380" s="93">
        <f t="shared" si="381"/>
        <v>155586.69026684202</v>
      </c>
      <c r="BF380" s="99">
        <f t="shared" si="382"/>
        <v>135207.09026684202</v>
      </c>
      <c r="BG380" s="100"/>
      <c r="BH380" s="102">
        <f>IFERROR((BA380*100%)/DP!$AR$29,(0*1))</f>
        <v>122400</v>
      </c>
      <c r="BI380" s="102">
        <f>IF(BH380&gt;0,(DP!$AR$31),0*1)</f>
        <v>0.45</v>
      </c>
      <c r="BJ380" s="435">
        <f t="shared" si="397"/>
        <v>55080</v>
      </c>
      <c r="BK380" s="475">
        <f>BA380*DP!$BI$44</f>
        <v>137.70000000000002</v>
      </c>
      <c r="BL380" s="475">
        <f>IF(BA380&gt;0,DP!$BJ$44,0*1)</f>
        <v>0.95</v>
      </c>
      <c r="BM380" s="475">
        <f t="shared" si="398"/>
        <v>130.815</v>
      </c>
      <c r="BN380" s="102">
        <f>BA380*DP!$BI$45</f>
        <v>9143.2800000000007</v>
      </c>
      <c r="BO380" s="102">
        <f>IF(BA380&gt;0,DP!$BJ$45,0*1)</f>
        <v>0.76919999999999999</v>
      </c>
      <c r="BP380" s="475">
        <f t="shared" si="399"/>
        <v>7033.0109760000005</v>
      </c>
      <c r="BQ380" s="100"/>
      <c r="BR380" s="100"/>
      <c r="BS380" s="100"/>
      <c r="BT380" s="93">
        <f>IF(AW380=DP!$AN$15,AY380*(1+DP!$AR$15),IF(AW380=DP!$AN$16,AY380*(1+DP!$AR$16),IF(AW380=DP!$AN$17,AY380*(1+DP!$AR$17),IF(AW380=DP!$AN$18,AY380*(1+DP!$AR$18),0*1))))</f>
        <v>162809.99999999997</v>
      </c>
      <c r="BU380" s="102">
        <f>IF(AW380=DP!$AN$22,(DP!$AO$22),IF(AW380=DP!$AN$23,(DP!$AO$23),IF(AW380=DP!$AN$24,(DP!$AO$24),IF(AW380=DP!$AN$25,(DP!$AO$25),((0*1))))))</f>
        <v>0.23</v>
      </c>
      <c r="BV380" s="93">
        <f t="shared" si="400"/>
        <v>37446.299999999996</v>
      </c>
      <c r="BW380" s="93">
        <f>IF(AW380=DP!$AN$15,AY380*(1+DP!$AR$15),IF(AW380=DP!$AN$16,AY380*(1+DP!$AR$16),IF(AW380=DP!$AN$17,AY380*(1+DP!$AR$17),IF(AW380=DP!$AN$18,AY380*(1+DP!$AR$18),0*1))))</f>
        <v>162809.99999999997</v>
      </c>
      <c r="BX380" s="102">
        <f>IF(AW380=DP!$AN$22,(DP!$AP$22),IF(AW380=DP!$AN$23,(DP!$AP$23),IF(AW380=DP!$AN$24,(DP!$AP$24),IF(AW380=DP!$AN$25,(DP!$AP$25),((0*1))))))</f>
        <v>5.5E-2</v>
      </c>
      <c r="BY380" s="93">
        <f t="shared" si="401"/>
        <v>8954.5499999999993</v>
      </c>
      <c r="BZ380" s="93">
        <f>IF(AW380=DP!$AN$15,(AY380/DP!$AM$15)*(1+DP!$AR$15),IF(AW380=DP!$AN$16,(AY380/DP!$AM$16)*(1+DP!$AR$16),IF(AW380=DP!$AN$17,(AY380/DP!$AM$17)*(1+DP!$AR$17),IF(AW380=DP!$AN$18,(AY380/DP!$AM$18)*(1+DP!$AR$18),0*1))))</f>
        <v>6783.7499999999991</v>
      </c>
      <c r="CA380" s="102">
        <f>IF(AW380=DP!$AN$22,(DP!$AQ$22),IF(AW380=DP!$AN$23,(DP!$AQ$23),IF(AW380=DP!$AN$24,(DP!$AQ$24),IF(AW380=DP!$AN$25,(DP!$AQ$25),((0*1))))))</f>
        <v>0.51199999999999923</v>
      </c>
      <c r="CB380" s="93">
        <f t="shared" si="402"/>
        <v>3473.2799999999943</v>
      </c>
      <c r="CC380" s="93">
        <f>IF(AW380=DP!$AN$15,AY380*(1+DP!$AR$15),IF(AW380=DP!$AN$16,AY380*(1+DP!$AR$16),IF(AW380=DP!$AN$17,AY380*(1+DP!$AR$17),IF(AW380=DP!$AN$18,AY380*(1+DP!$AR$18),0*1))))</f>
        <v>162809.99999999997</v>
      </c>
      <c r="CD380" s="102">
        <f>IF(AW380=DP!$AN$22,(DP!$AR$22),IF(AW380=DP!$AN$23,(DP!$AR$23),IF(AW380=DP!$AN$24,(DP!$AR$24),IF(AW380=DP!$AN$25,(DP!$AR$25),((0*1))))))</f>
        <v>3.3045977011494254E-2</v>
      </c>
      <c r="CE380" s="93">
        <f t="shared" si="403"/>
        <v>5380.2155172413786</v>
      </c>
      <c r="CF380" s="100"/>
      <c r="CG380" s="149">
        <f t="shared" si="383"/>
        <v>17708.918773600646</v>
      </c>
      <c r="CH380" s="149">
        <f>DP!$N$35*BA380</f>
        <v>791.37931034482767</v>
      </c>
      <c r="CI380" s="149">
        <f>DP!$O$35*BA380</f>
        <v>3007.2413793103451</v>
      </c>
      <c r="CJ380" s="149">
        <f>DP!$P$35*BA380</f>
        <v>20379.599999999999</v>
      </c>
    </row>
    <row r="381" spans="2:88" x14ac:dyDescent="0.35">
      <c r="B381" s="480">
        <f>DP!S24</f>
        <v>0</v>
      </c>
      <c r="C381" s="480" t="str">
        <f>DP!T24</f>
        <v>PALMITO TROZO  A-10</v>
      </c>
      <c r="D381" s="480">
        <f>DP!U24</f>
        <v>2920</v>
      </c>
      <c r="E381" s="480">
        <f>DP!V24</f>
        <v>1825</v>
      </c>
      <c r="F381" s="412">
        <f t="shared" si="384"/>
        <v>0</v>
      </c>
      <c r="G381" s="470">
        <f>DP!AH24</f>
        <v>0</v>
      </c>
      <c r="H381" s="98">
        <f t="shared" si="385"/>
        <v>0</v>
      </c>
      <c r="I381" s="97"/>
      <c r="J381" s="102">
        <f t="shared" si="374"/>
        <v>0</v>
      </c>
      <c r="K381" s="98">
        <f t="shared" si="375"/>
        <v>0</v>
      </c>
      <c r="L381" s="93">
        <f t="shared" si="376"/>
        <v>0</v>
      </c>
      <c r="M381" s="99">
        <f t="shared" si="377"/>
        <v>0</v>
      </c>
      <c r="N381" s="100"/>
      <c r="O381" s="102">
        <f>($E381/DP!$P$29)*F381</f>
        <v>0</v>
      </c>
      <c r="P381" s="102">
        <f>IF(O381&gt;0,(DP!$P$31),0*1)</f>
        <v>0</v>
      </c>
      <c r="Q381" s="102">
        <f t="shared" si="386"/>
        <v>0</v>
      </c>
      <c r="R381" s="102">
        <f t="shared" si="387"/>
        <v>0</v>
      </c>
      <c r="S381" s="418">
        <f t="shared" si="388"/>
        <v>0</v>
      </c>
      <c r="T381" s="475">
        <f>H381*DP!$AG$44</f>
        <v>0</v>
      </c>
      <c r="U381" s="475">
        <f>IF(H381&gt;0,DP!$AH$44,0*1)</f>
        <v>0</v>
      </c>
      <c r="V381" s="475">
        <f t="shared" si="389"/>
        <v>0</v>
      </c>
      <c r="W381" s="475">
        <f>H381*DP!$AG$45</f>
        <v>0</v>
      </c>
      <c r="X381" s="475">
        <f>IF(H381&gt;0,DP!$AH$45,0*1)</f>
        <v>0</v>
      </c>
      <c r="Y381" s="475">
        <f t="shared" si="390"/>
        <v>0</v>
      </c>
      <c r="Z381" s="100"/>
      <c r="AA381" s="93">
        <f>IF(D381=DP!$L$15,F381*(1+DP!$P$15),IF(D381=DP!$L$16,F381*(1+DP!$P$16),IF(D381=DP!$L$17,F381*(1+DP!$P$17),IF(D381=DP!$L$18,F381*(1+DP!$P$18),0*1))))</f>
        <v>0</v>
      </c>
      <c r="AB381" s="102">
        <f>IF(D381=DP!$L$22,(DP!$M$22),IF(D381=DP!$L$23,(DP!$M$23),IF(D381=DP!$L$24,(DP!$M$24),IF(D381=DP!$L$25,(DP!$M$25),((0*1))))))</f>
        <v>0</v>
      </c>
      <c r="AC381" s="93">
        <f t="shared" si="391"/>
        <v>0</v>
      </c>
      <c r="AD381" s="93">
        <f>IF(D381=DP!$L$15,F381*(1+DP!$P$15),IF(D381=DP!$L$16,F381*(1+DP!$P$16),IF(D381=DP!$L$17,F381*(1+DP!$P$17),IF(D381=DP!$L$18,F381*(1+DP!$P$18),0*1))))</f>
        <v>0</v>
      </c>
      <c r="AE381" s="102">
        <f>IF(D381=DP!$L$22,(DP!$N$22),IF(D381=DP!$L$23,(DP!$N$23),IF(D381=DP!$L$24,(DP!$N$24),IF(D381=DP!$L$25,(DP!$N$25),((0*1))))))</f>
        <v>0</v>
      </c>
      <c r="AF381" s="93">
        <f t="shared" si="392"/>
        <v>0</v>
      </c>
      <c r="AG381" s="93">
        <f>IF(D381=DP!$L$15,(F381/DP!$K$15)*(1+DP!$P$15),IF(D381=DP!$L$16,(F381/DP!$K$16)*(1+DP!$P$16),IF(D381=DP!$L$17,(F381/DP!$K$17)*(1+DP!$P$17),IF(D381=DP!$L$18,(F381/DP!$K$18)*(1+DP!$P$18),0*1))))</f>
        <v>0</v>
      </c>
      <c r="AH381" s="102">
        <f>IF(D381=DP!$L$22,(DP!$O$22),IF(D381=DP!$L$23,(DP!$O$23),IF(D381=DP!$L$24,(DP!$O$24),IF(D381=DP!$L$25,(DP!$O$25),((0*1))))))</f>
        <v>0</v>
      </c>
      <c r="AI381" s="93">
        <f t="shared" si="393"/>
        <v>0</v>
      </c>
      <c r="AJ381" s="93">
        <f>IF(D381=DP!$L$15,F381*(1+DP!$P$15),IF(D381=DP!$L$16,F381*(1+DP!$P$16),IF(D381=DP!$L$17,F381*(1+DP!$P$17),IF(D381=DP!$L$18,F381*(1+DP!$P$18),0*1))))</f>
        <v>0</v>
      </c>
      <c r="AK381" s="102">
        <f>IF(D381=DP!$L$22,(DP!$P$22),IF(D381=DP!$L$23,(DP!$P$23),IF(D381=DP!$L$24,(DP!$P$24),IF(D381=DP!$L$25,(DP!$P$25),((0*1))))))</f>
        <v>0</v>
      </c>
      <c r="AL381" s="93">
        <f t="shared" si="394"/>
        <v>0</v>
      </c>
      <c r="AM381" s="100"/>
      <c r="AN381" s="149">
        <f t="shared" si="378"/>
        <v>0</v>
      </c>
      <c r="AO381" s="149">
        <f>DP!$N$35*H381</f>
        <v>0</v>
      </c>
      <c r="AP381" s="149">
        <f>DP!$O$35*H381</f>
        <v>0</v>
      </c>
      <c r="AQ381" s="149">
        <f>DP!$P$35*H381</f>
        <v>0</v>
      </c>
      <c r="AV381" s="412" t="str">
        <f>DP!AV24</f>
        <v>PIÑA RODAJA 822</v>
      </c>
      <c r="AW381" s="412">
        <f>DP!AW24</f>
        <v>822</v>
      </c>
      <c r="AX381" s="412">
        <f>DP!AX24</f>
        <v>500</v>
      </c>
      <c r="AY381" s="412">
        <f t="shared" si="395"/>
        <v>36720</v>
      </c>
      <c r="AZ381" s="470">
        <f>DP!BJ24</f>
        <v>0.1</v>
      </c>
      <c r="BA381" s="98">
        <f t="shared" si="396"/>
        <v>18360</v>
      </c>
      <c r="BB381" s="97"/>
      <c r="BC381" s="102">
        <f t="shared" si="379"/>
        <v>1.2984286501572693</v>
      </c>
      <c r="BD381" s="98">
        <f t="shared" si="380"/>
        <v>1.1134286501572692</v>
      </c>
      <c r="BE381" s="93">
        <f t="shared" si="381"/>
        <v>47678.300033774925</v>
      </c>
      <c r="BF381" s="99">
        <f t="shared" si="382"/>
        <v>40885.100033774928</v>
      </c>
      <c r="BG381" s="100"/>
      <c r="BH381" s="102">
        <f>IFERROR((BA381*100%)/DP!$AR$29,(0*1))</f>
        <v>40800</v>
      </c>
      <c r="BI381" s="102">
        <f>IF(BH381&gt;0,(DP!$AR$31),0*1)</f>
        <v>0.45</v>
      </c>
      <c r="BJ381" s="435">
        <f t="shared" si="397"/>
        <v>18360</v>
      </c>
      <c r="BK381" s="475">
        <f>BA381*DP!$BI$44</f>
        <v>45.9</v>
      </c>
      <c r="BL381" s="475">
        <f>IF(BA381&gt;0,DP!$BJ$44,0*1)</f>
        <v>0.95</v>
      </c>
      <c r="BM381" s="475">
        <f t="shared" si="398"/>
        <v>43.604999999999997</v>
      </c>
      <c r="BN381" s="102">
        <f>BA381*DP!$BI$45</f>
        <v>3047.76</v>
      </c>
      <c r="BO381" s="102">
        <f>IF(BA381&gt;0,DP!$BJ$45,0*1)</f>
        <v>0.76919999999999999</v>
      </c>
      <c r="BP381" s="475">
        <f t="shared" si="399"/>
        <v>2344.336992</v>
      </c>
      <c r="BQ381" s="100"/>
      <c r="BR381" s="100"/>
      <c r="BS381" s="100"/>
      <c r="BT381" s="93">
        <f>IF(AW381=DP!$AN$15,AY381*(1+DP!$AR$15),IF(AW381=DP!$AN$16,AY381*(1+DP!$AR$16),IF(AW381=DP!$AN$17,AY381*(1+DP!$AR$17),IF(AW381=DP!$AN$18,AY381*(1+DP!$AR$18),0*1))))</f>
        <v>36903.599999999999</v>
      </c>
      <c r="BU381" s="102">
        <f>IF(AW381=DP!$AN$22,(DP!$AO$22),IF(AW381=DP!$AN$23,(DP!$AO$23),IF(AW381=DP!$AN$24,(DP!$AO$24),IF(AW381=DP!$AN$25,(DP!$AO$25),((0*1))))))</f>
        <v>0.24</v>
      </c>
      <c r="BV381" s="93">
        <f t="shared" si="400"/>
        <v>8856.8639999999996</v>
      </c>
      <c r="BW381" s="93">
        <f>IF(AW381=DP!$AN$15,AY381*(1+DP!$AR$15),IF(AW381=DP!$AN$16,AY381*(1+DP!$AR$16),IF(AW381=DP!$AN$17,AY381*(1+DP!$AR$17),IF(AW381=DP!$AN$18,AY381*(1+DP!$AR$18),0*1))))</f>
        <v>36903.599999999999</v>
      </c>
      <c r="BX381" s="102">
        <f>IF(AW381=DP!$AN$22,(DP!$AP$22),IF(AW381=DP!$AN$23,(DP!$AP$23),IF(AW381=DP!$AN$24,(DP!$AP$24),IF(AW381=DP!$AN$25,(DP!$AP$25),((0*1))))))</f>
        <v>7.0000000000000007E-2</v>
      </c>
      <c r="BY381" s="93">
        <f t="shared" si="401"/>
        <v>2583.252</v>
      </c>
      <c r="BZ381" s="93">
        <f>IF(AW381=DP!$AN$15,(AY381/DP!$AM$15)*(1+DP!$AR$15),IF(AW381=DP!$AN$16,(AY381/DP!$AM$16)*(1+DP!$AR$16),IF(AW381=DP!$AN$17,(AY381/DP!$AM$17)*(1+DP!$AR$17),IF(AW381=DP!$AN$18,(AY381/DP!$AM$18)*(1+DP!$AR$18),0*1))))</f>
        <v>3075.2999999999997</v>
      </c>
      <c r="CA381" s="102">
        <f>IF(AW381=DP!$AN$22,(DP!$AQ$22),IF(AW381=DP!$AN$23,(DP!$AQ$23),IF(AW381=DP!$AN$24,(DP!$AQ$24),IF(AW381=DP!$AN$25,(DP!$AQ$25),((0*1))))))</f>
        <v>0.51200000000000045</v>
      </c>
      <c r="CB381" s="93">
        <f t="shared" si="402"/>
        <v>1574.5536000000013</v>
      </c>
      <c r="CC381" s="93">
        <f>IF(AW381=DP!$AN$15,AY381*(1+DP!$AR$15),IF(AW381=DP!$AN$16,AY381*(1+DP!$AR$16),IF(AW381=DP!$AN$17,AY381*(1+DP!$AR$17),IF(AW381=DP!$AN$18,AY381*(1+DP!$AR$18),0*1))))</f>
        <v>36903.599999999999</v>
      </c>
      <c r="CD381" s="102">
        <f>IF(AW381=DP!$AN$22,(DP!$AR$22),IF(AW381=DP!$AN$23,(DP!$AR$23),IF(AW381=DP!$AN$24,(DP!$AR$24),IF(AW381=DP!$AN$25,(DP!$AR$25),((0*1))))))</f>
        <v>3.3045977011494254E-2</v>
      </c>
      <c r="CE381" s="93">
        <f t="shared" si="403"/>
        <v>1219.5155172413793</v>
      </c>
      <c r="CF381" s="100"/>
      <c r="CG381" s="149">
        <f t="shared" si="383"/>
        <v>5902.9729245335484</v>
      </c>
      <c r="CH381" s="149">
        <f>DP!$N$35*BA381</f>
        <v>263.79310344827587</v>
      </c>
      <c r="CI381" s="149">
        <f>DP!$O$35*BA381</f>
        <v>1002.4137931034484</v>
      </c>
      <c r="CJ381" s="149">
        <f>DP!$P$35*BA381</f>
        <v>6793.2</v>
      </c>
    </row>
    <row r="382" spans="2:88" x14ac:dyDescent="0.35">
      <c r="B382" s="480">
        <f>DP!S25</f>
        <v>0</v>
      </c>
      <c r="C382" s="480" t="str">
        <f>DP!T25</f>
        <v>PALMITO RODAJA  A-10</v>
      </c>
      <c r="D382" s="480">
        <f>DP!U25</f>
        <v>2920</v>
      </c>
      <c r="E382" s="480">
        <f>DP!V25</f>
        <v>1825</v>
      </c>
      <c r="F382" s="412">
        <f t="shared" si="384"/>
        <v>0</v>
      </c>
      <c r="G382" s="470">
        <f>DP!AH25</f>
        <v>0</v>
      </c>
      <c r="H382" s="98">
        <f t="shared" si="385"/>
        <v>0</v>
      </c>
      <c r="I382" s="97"/>
      <c r="J382" s="102">
        <f t="shared" si="374"/>
        <v>0</v>
      </c>
      <c r="K382" s="98">
        <f t="shared" si="375"/>
        <v>0</v>
      </c>
      <c r="L382" s="93">
        <f t="shared" si="376"/>
        <v>0</v>
      </c>
      <c r="M382" s="99">
        <f t="shared" si="377"/>
        <v>0</v>
      </c>
      <c r="N382" s="100"/>
      <c r="O382" s="102">
        <f>($E382/DP!$P$29)*F382</f>
        <v>0</v>
      </c>
      <c r="P382" s="102">
        <f>IF(O382&gt;0,(DP!$P$31),0*1)</f>
        <v>0</v>
      </c>
      <c r="Q382" s="102">
        <f t="shared" si="386"/>
        <v>0</v>
      </c>
      <c r="R382" s="102">
        <f t="shared" si="387"/>
        <v>0</v>
      </c>
      <c r="S382" s="418">
        <f t="shared" si="388"/>
        <v>0</v>
      </c>
      <c r="T382" s="475">
        <f>H382*DP!$AG$44</f>
        <v>0</v>
      </c>
      <c r="U382" s="475">
        <f>IF(H382&gt;0,DP!$AH$44,0*1)</f>
        <v>0</v>
      </c>
      <c r="V382" s="475">
        <f t="shared" si="389"/>
        <v>0</v>
      </c>
      <c r="W382" s="475">
        <f>H382*DP!$AG$45</f>
        <v>0</v>
      </c>
      <c r="X382" s="475">
        <f>IF(H382&gt;0,DP!$AH$45,0*1)</f>
        <v>0</v>
      </c>
      <c r="Y382" s="475">
        <f t="shared" si="390"/>
        <v>0</v>
      </c>
      <c r="Z382" s="100"/>
      <c r="AA382" s="93">
        <f>IF(D382=DP!$L$15,F382*(1+DP!$P$15),IF(D382=DP!$L$16,F382*(1+DP!$P$16),IF(D382=DP!$L$17,F382*(1+DP!$P$17),IF(D382=DP!$L$18,F382*(1+DP!$P$18),0*1))))</f>
        <v>0</v>
      </c>
      <c r="AB382" s="102">
        <f>IF(D382=DP!$L$22,(DP!$M$22),IF(D382=DP!$L$23,(DP!$M$23),IF(D382=DP!$L$24,(DP!$M$24),IF(D382=DP!$L$25,(DP!$M$25),((0*1))))))</f>
        <v>0</v>
      </c>
      <c r="AC382" s="93">
        <f t="shared" si="391"/>
        <v>0</v>
      </c>
      <c r="AD382" s="93">
        <f>IF(D382=DP!$L$15,F382*(1+DP!$P$15),IF(D382=DP!$L$16,F382*(1+DP!$P$16),IF(D382=DP!$L$17,F382*(1+DP!$P$17),IF(D382=DP!$L$18,F382*(1+DP!$P$18),0*1))))</f>
        <v>0</v>
      </c>
      <c r="AE382" s="102">
        <f>IF(D382=DP!$L$22,(DP!$N$22),IF(D382=DP!$L$23,(DP!$N$23),IF(D382=DP!$L$24,(DP!$N$24),IF(D382=DP!$L$25,(DP!$N$25),((0*1))))))</f>
        <v>0</v>
      </c>
      <c r="AF382" s="93">
        <f t="shared" si="392"/>
        <v>0</v>
      </c>
      <c r="AG382" s="93">
        <f>IF(D382=DP!$L$15,(F382/DP!$K$15)*(1+DP!$P$15),IF(D382=DP!$L$16,(F382/DP!$K$16)*(1+DP!$P$16),IF(D382=DP!$L$17,(F382/DP!$K$17)*(1+DP!$P$17),IF(D382=DP!$L$18,(F382/DP!$K$18)*(1+DP!$P$18),0*1))))</f>
        <v>0</v>
      </c>
      <c r="AH382" s="102">
        <f>IF(D382=DP!$L$22,(DP!$O$22),IF(D382=DP!$L$23,(DP!$O$23),IF(D382=DP!$L$24,(DP!$O$24),IF(D382=DP!$L$25,(DP!$O$25),((0*1))))))</f>
        <v>0</v>
      </c>
      <c r="AI382" s="93">
        <f t="shared" si="393"/>
        <v>0</v>
      </c>
      <c r="AJ382" s="93">
        <f>IF(D382=DP!$L$15,F382*(1+DP!$P$15),IF(D382=DP!$L$16,F382*(1+DP!$P$16),IF(D382=DP!$L$17,F382*(1+DP!$P$17),IF(D382=DP!$L$18,F382*(1+DP!$P$18),0*1))))</f>
        <v>0</v>
      </c>
      <c r="AK382" s="102">
        <f>IF(D382=DP!$L$22,(DP!$P$22),IF(D382=DP!$L$23,(DP!$P$23),IF(D382=DP!$L$24,(DP!$P$24),IF(D382=DP!$L$25,(DP!$P$25),((0*1))))))</f>
        <v>0</v>
      </c>
      <c r="AL382" s="93">
        <f t="shared" si="394"/>
        <v>0</v>
      </c>
      <c r="AM382" s="100"/>
      <c r="AN382" s="149">
        <f t="shared" si="378"/>
        <v>0</v>
      </c>
      <c r="AO382" s="149">
        <f>DP!$N$35*H382</f>
        <v>0</v>
      </c>
      <c r="AP382" s="149">
        <f>DP!$O$35*H382</f>
        <v>0</v>
      </c>
      <c r="AQ382" s="149">
        <f>DP!$P$35*H382</f>
        <v>0</v>
      </c>
      <c r="AV382" s="412" t="str">
        <f>DP!AV25</f>
        <v>PIÑA TROZO 822</v>
      </c>
      <c r="AW382" s="412">
        <f>DP!AW25</f>
        <v>822</v>
      </c>
      <c r="AX382" s="412">
        <f>DP!AX25</f>
        <v>500</v>
      </c>
      <c r="AY382" s="412">
        <f t="shared" si="395"/>
        <v>0</v>
      </c>
      <c r="AZ382" s="470">
        <f>DP!BJ25</f>
        <v>0</v>
      </c>
      <c r="BA382" s="98">
        <f t="shared" si="396"/>
        <v>0</v>
      </c>
      <c r="BB382" s="97"/>
      <c r="BC382" s="102">
        <f t="shared" si="379"/>
        <v>0</v>
      </c>
      <c r="BD382" s="98">
        <f t="shared" si="380"/>
        <v>0</v>
      </c>
      <c r="BE382" s="93">
        <f t="shared" si="381"/>
        <v>0</v>
      </c>
      <c r="BF382" s="99">
        <f t="shared" si="382"/>
        <v>0</v>
      </c>
      <c r="BG382" s="100"/>
      <c r="BH382" s="102">
        <f>IFERROR((BA382*100%)/DP!$AR$29,(0*1))</f>
        <v>0</v>
      </c>
      <c r="BI382" s="102">
        <f>IF(BH382&gt;0,(DP!$AR$31),0*1)</f>
        <v>0</v>
      </c>
      <c r="BJ382" s="435">
        <f t="shared" si="397"/>
        <v>0</v>
      </c>
      <c r="BK382" s="475">
        <f>BA382*DP!$BI$44</f>
        <v>0</v>
      </c>
      <c r="BL382" s="475">
        <f>IF(BA382&gt;0,DP!$BJ$44,0*1)</f>
        <v>0</v>
      </c>
      <c r="BM382" s="475">
        <f t="shared" si="398"/>
        <v>0</v>
      </c>
      <c r="BN382" s="102">
        <f>BA382*DP!$BI$45</f>
        <v>0</v>
      </c>
      <c r="BO382" s="102">
        <f>IF(BA382&gt;0,DP!$BJ$45,0*1)</f>
        <v>0</v>
      </c>
      <c r="BP382" s="475">
        <f t="shared" si="399"/>
        <v>0</v>
      </c>
      <c r="BQ382" s="100"/>
      <c r="BR382" s="100"/>
      <c r="BS382" s="100"/>
      <c r="BT382" s="93">
        <f>IF(AW382=DP!$AN$15,AY382*(1+DP!$AR$15),IF(AW382=DP!$AN$16,AY382*(1+DP!$AR$16),IF(AW382=DP!$AN$17,AY382*(1+DP!$AR$17),IF(AW382=DP!$AN$18,AY382*(1+DP!$AR$18),0*1))))</f>
        <v>0</v>
      </c>
      <c r="BU382" s="102">
        <f>IF(AW382=DP!$AN$22,(DP!$AO$22),IF(AW382=DP!$AN$23,(DP!$AO$23),IF(AW382=DP!$AN$24,(DP!$AO$24),IF(AW382=DP!$AN$25,(DP!$AO$25),((0*1))))))</f>
        <v>0.24</v>
      </c>
      <c r="BV382" s="93">
        <f t="shared" si="400"/>
        <v>0</v>
      </c>
      <c r="BW382" s="93">
        <f>IF(AW382=DP!$AN$15,AY382*(1+DP!$AR$15),IF(AW382=DP!$AN$16,AY382*(1+DP!$AR$16),IF(AW382=DP!$AN$17,AY382*(1+DP!$AR$17),IF(AW382=DP!$AN$18,AY382*(1+DP!$AR$18),0*1))))</f>
        <v>0</v>
      </c>
      <c r="BX382" s="102">
        <f>IF(AW382=DP!$AN$22,(DP!$AP$22),IF(AW382=DP!$AN$23,(DP!$AP$23),IF(AW382=DP!$AN$24,(DP!$AP$24),IF(AW382=DP!$AN$25,(DP!$AP$25),((0*1))))))</f>
        <v>7.0000000000000007E-2</v>
      </c>
      <c r="BY382" s="93">
        <f t="shared" si="401"/>
        <v>0</v>
      </c>
      <c r="BZ382" s="93">
        <f>IF(AW382=DP!$AN$15,(AY382/DP!$AM$15)*(1+DP!$AR$15),IF(AW382=DP!$AN$16,(AY382/DP!$AM$16)*(1+DP!$AR$16),IF(AW382=DP!$AN$17,(AY382/DP!$AM$17)*(1+DP!$AR$17),IF(AW382=DP!$AN$18,(AY382/DP!$AM$18)*(1+DP!$AR$18),0*1))))</f>
        <v>0</v>
      </c>
      <c r="CA382" s="102">
        <f>IF(AW382=DP!$AN$22,(DP!$AQ$22),IF(AW382=DP!$AN$23,(DP!$AQ$23),IF(AW382=DP!$AN$24,(DP!$AQ$24),IF(AW382=DP!$AN$25,(DP!$AQ$25),((0*1))))))</f>
        <v>0.51200000000000045</v>
      </c>
      <c r="CB382" s="93">
        <f t="shared" si="402"/>
        <v>0</v>
      </c>
      <c r="CC382" s="93">
        <f>IF(AW382=DP!$AN$15,AY382*(1+DP!$AR$15),IF(AW382=DP!$AN$16,AY382*(1+DP!$AR$16),IF(AW382=DP!$AN$17,AY382*(1+DP!$AR$17),IF(AW382=DP!$AN$18,AY382*(1+DP!$AR$18),0*1))))</f>
        <v>0</v>
      </c>
      <c r="CD382" s="102">
        <f>IF(AW382=DP!$AN$22,(DP!$AR$22),IF(AW382=DP!$AN$23,(DP!$AR$23),IF(AW382=DP!$AN$24,(DP!$AR$24),IF(AW382=DP!$AN$25,(DP!$AR$25),((0*1))))))</f>
        <v>3.3045977011494254E-2</v>
      </c>
      <c r="CE382" s="93">
        <f t="shared" si="403"/>
        <v>0</v>
      </c>
      <c r="CF382" s="100"/>
      <c r="CG382" s="149">
        <f t="shared" si="383"/>
        <v>0</v>
      </c>
      <c r="CH382" s="149">
        <f>DP!$N$35*BA382</f>
        <v>0</v>
      </c>
      <c r="CI382" s="149">
        <f>DP!$O$35*BA382</f>
        <v>0</v>
      </c>
      <c r="CJ382" s="149">
        <f>DP!$P$35*BA382</f>
        <v>0</v>
      </c>
    </row>
    <row r="383" spans="2:88" x14ac:dyDescent="0.35">
      <c r="B383" s="480">
        <f>DP!S26</f>
        <v>0</v>
      </c>
      <c r="C383" s="480">
        <f>DP!T26</f>
        <v>0</v>
      </c>
      <c r="D383" s="480">
        <f>DP!U26</f>
        <v>0</v>
      </c>
      <c r="E383" s="480">
        <f>DP!V26</f>
        <v>0</v>
      </c>
      <c r="F383" s="412">
        <f t="shared" si="384"/>
        <v>0</v>
      </c>
      <c r="G383" s="470">
        <f>DP!AH26</f>
        <v>0</v>
      </c>
      <c r="H383" s="98">
        <f t="shared" si="385"/>
        <v>0</v>
      </c>
      <c r="I383" s="97"/>
      <c r="J383" s="102">
        <f t="shared" si="374"/>
        <v>0</v>
      </c>
      <c r="K383" s="98">
        <f t="shared" si="375"/>
        <v>0</v>
      </c>
      <c r="L383" s="93">
        <f t="shared" si="376"/>
        <v>0</v>
      </c>
      <c r="M383" s="99">
        <f t="shared" si="377"/>
        <v>0</v>
      </c>
      <c r="N383" s="100"/>
      <c r="O383" s="102">
        <f>($E383/DP!$P$29)*F383</f>
        <v>0</v>
      </c>
      <c r="P383" s="102">
        <f>IF(O383&gt;0,(DP!$P$31),0*1)</f>
        <v>0</v>
      </c>
      <c r="Q383" s="102">
        <f t="shared" si="386"/>
        <v>0</v>
      </c>
      <c r="R383" s="102">
        <f t="shared" si="387"/>
        <v>0</v>
      </c>
      <c r="S383" s="418">
        <f t="shared" si="388"/>
        <v>0</v>
      </c>
      <c r="T383" s="475">
        <f>H383*DP!$AG$44</f>
        <v>0</v>
      </c>
      <c r="U383" s="475">
        <f>IF(H383&gt;0,DP!$AH$44,0*1)</f>
        <v>0</v>
      </c>
      <c r="V383" s="475">
        <f t="shared" si="389"/>
        <v>0</v>
      </c>
      <c r="W383" s="475">
        <f>H383*DP!$AG$45</f>
        <v>0</v>
      </c>
      <c r="X383" s="475">
        <f>IF(H383&gt;0,DP!$AH$45,0*1)</f>
        <v>0</v>
      </c>
      <c r="Y383" s="475">
        <f t="shared" si="390"/>
        <v>0</v>
      </c>
      <c r="Z383" s="100"/>
      <c r="AA383" s="93">
        <f>IF(D383=DP!$L$15,F383*(1+DP!$P$15),IF(D383=DP!$L$16,F383*(1+DP!$P$16),IF(D383=DP!$L$17,F383*(1+DP!$P$17),IF(D383=DP!$L$18,F383*(1+DP!$P$18),0*1))))</f>
        <v>0</v>
      </c>
      <c r="AB383" s="102">
        <f>IF(D383=DP!$L$22,(DP!$M$22),IF(D383=DP!$L$23,(DP!$M$23),IF(D383=DP!$L$24,(DP!$M$24),IF(D383=DP!$L$25,(DP!$M$25),((0*1))))))</f>
        <v>0</v>
      </c>
      <c r="AC383" s="93">
        <f t="shared" si="391"/>
        <v>0</v>
      </c>
      <c r="AD383" s="93">
        <f>IF(D383=DP!$L$15,F383*(1+DP!$P$15),IF(D383=DP!$L$16,F383*(1+DP!$P$16),IF(D383=DP!$L$17,F383*(1+DP!$P$17),IF(D383=DP!$L$18,F383*(1+DP!$P$18),0*1))))</f>
        <v>0</v>
      </c>
      <c r="AE383" s="102">
        <f>IF(D383=DP!$L$22,(DP!$N$22),IF(D383=DP!$L$23,(DP!$N$23),IF(D383=DP!$L$24,(DP!$N$24),IF(D383=DP!$L$25,(DP!$N$25),((0*1))))))</f>
        <v>0</v>
      </c>
      <c r="AF383" s="93">
        <f t="shared" si="392"/>
        <v>0</v>
      </c>
      <c r="AG383" s="93">
        <f>IF(D383=DP!$L$15,(F383/DP!$K$15)*(1+DP!$P$15),IF(D383=DP!$L$16,(F383/DP!$K$16)*(1+DP!$P$16),IF(D383=DP!$L$17,(F383/DP!$K$17)*(1+DP!$P$17),IF(D383=DP!$L$18,(F383/DP!$K$18)*(1+DP!$P$18),0*1))))</f>
        <v>0</v>
      </c>
      <c r="AH383" s="102">
        <f>IF(D383=DP!$L$22,(DP!$O$22),IF(D383=DP!$L$23,(DP!$O$23),IF(D383=DP!$L$24,(DP!$O$24),IF(D383=DP!$L$25,(DP!$O$25),((0*1))))))</f>
        <v>0</v>
      </c>
      <c r="AI383" s="93">
        <f t="shared" si="393"/>
        <v>0</v>
      </c>
      <c r="AJ383" s="93">
        <f>IF(D383=DP!$L$15,F383*(1+DP!$P$15),IF(D383=DP!$L$16,F383*(1+DP!$P$16),IF(D383=DP!$L$17,F383*(1+DP!$P$17),IF(D383=DP!$L$18,F383*(1+DP!$P$18),0*1))))</f>
        <v>0</v>
      </c>
      <c r="AK383" s="102">
        <f>IF(D383=DP!$L$22,(DP!$P$22),IF(D383=DP!$L$23,(DP!$P$23),IF(D383=DP!$L$24,(DP!$P$24),IF(D383=DP!$L$25,(DP!$P$25),((0*1))))))</f>
        <v>0</v>
      </c>
      <c r="AL383" s="93">
        <f t="shared" si="394"/>
        <v>0</v>
      </c>
      <c r="AM383" s="100"/>
      <c r="AN383" s="149">
        <f t="shared" si="378"/>
        <v>0</v>
      </c>
      <c r="AO383" s="149">
        <f>DP!$N$35*H383</f>
        <v>0</v>
      </c>
      <c r="AP383" s="149">
        <f>DP!$O$35*H383</f>
        <v>0</v>
      </c>
      <c r="AQ383" s="149">
        <f>DP!$P$35*H383</f>
        <v>0</v>
      </c>
      <c r="AV383" s="412">
        <f>DP!AV26</f>
        <v>0</v>
      </c>
      <c r="AW383" s="412">
        <f>DP!AW26</f>
        <v>0</v>
      </c>
      <c r="AX383" s="412">
        <f>DP!AX26</f>
        <v>0</v>
      </c>
      <c r="AY383" s="412">
        <f t="shared" si="395"/>
        <v>0</v>
      </c>
      <c r="AZ383" s="470">
        <f>DP!BJ26</f>
        <v>0</v>
      </c>
      <c r="BA383" s="98">
        <f t="shared" si="396"/>
        <v>0</v>
      </c>
      <c r="BB383" s="97"/>
      <c r="BC383" s="102">
        <f t="shared" si="379"/>
        <v>0</v>
      </c>
      <c r="BD383" s="98">
        <f t="shared" si="380"/>
        <v>0</v>
      </c>
      <c r="BE383" s="93">
        <f t="shared" si="381"/>
        <v>0</v>
      </c>
      <c r="BF383" s="99">
        <f t="shared" si="382"/>
        <v>0</v>
      </c>
      <c r="BG383" s="100"/>
      <c r="BH383" s="102">
        <f>IFERROR((BA383*100%)/DP!$AR$29,(0*1))</f>
        <v>0</v>
      </c>
      <c r="BI383" s="102">
        <f>IF(BH383&gt;0,(DP!$AR$31),0*1)</f>
        <v>0</v>
      </c>
      <c r="BJ383" s="435">
        <f t="shared" si="397"/>
        <v>0</v>
      </c>
      <c r="BK383" s="475">
        <f>BA383*DP!$BI$44</f>
        <v>0</v>
      </c>
      <c r="BL383" s="475">
        <f>IF(BA383&gt;0,DP!$BJ$44,0*1)</f>
        <v>0</v>
      </c>
      <c r="BM383" s="475">
        <f t="shared" si="398"/>
        <v>0</v>
      </c>
      <c r="BN383" s="102">
        <f>BA383*DP!$BI$45</f>
        <v>0</v>
      </c>
      <c r="BO383" s="102">
        <f>IF(BA383&gt;0,DP!$BJ$45,0*1)</f>
        <v>0</v>
      </c>
      <c r="BP383" s="475">
        <f t="shared" si="399"/>
        <v>0</v>
      </c>
      <c r="BQ383" s="100"/>
      <c r="BR383" s="100"/>
      <c r="BS383" s="100"/>
      <c r="BT383" s="93">
        <f>IF(AW383=DP!$AN$15,AY383*(1+DP!$AR$15),IF(AW383=DP!$AN$16,AY383*(1+DP!$AR$16),IF(AW383=DP!$AN$17,AY383*(1+DP!$AR$17),IF(AW383=DP!$AN$18,AY383*(1+DP!$AR$18),0*1))))</f>
        <v>0</v>
      </c>
      <c r="BU383" s="102">
        <f>IF(AW383=DP!$AN$22,(DP!$AO$22),IF(AW383=DP!$AN$23,(DP!$AO$23),IF(AW383=DP!$AN$24,(DP!$AO$24),IF(AW383=DP!$AN$25,(DP!$AO$25),((0*1))))))</f>
        <v>0</v>
      </c>
      <c r="BV383" s="93">
        <f t="shared" si="400"/>
        <v>0</v>
      </c>
      <c r="BW383" s="93">
        <f>IF(AW383=DP!$AN$15,AY383*(1+DP!$AR$15),IF(AW383=DP!$AN$16,AY383*(1+DP!$AR$16),IF(AW383=DP!$AN$17,AY383*(1+DP!$AR$17),IF(AW383=DP!$AN$18,AY383*(1+DP!$AR$18),0*1))))</f>
        <v>0</v>
      </c>
      <c r="BX383" s="102">
        <f>IF(AW383=DP!$AN$22,(DP!$AP$22),IF(AW383=DP!$AN$23,(DP!$AP$23),IF(AW383=DP!$AN$24,(DP!$AP$24),IF(AW383=DP!$AN$25,(DP!$AP$25),((0*1))))))</f>
        <v>0</v>
      </c>
      <c r="BY383" s="93">
        <f t="shared" si="401"/>
        <v>0</v>
      </c>
      <c r="BZ383" s="93">
        <f>IF(AW383=DP!$AN$15,(AY383/DP!$AM$15)*(1+DP!$AR$15),IF(AW383=DP!$AN$16,(AY383/DP!$AM$16)*(1+DP!$AR$16),IF(AW383=DP!$AN$17,(AY383/DP!$AM$17)*(1+DP!$AR$17),IF(AW383=DP!$AN$18,(AY383/DP!$AM$18)*(1+DP!$AR$18),0*1))))</f>
        <v>0</v>
      </c>
      <c r="CA383" s="102">
        <f>IF(AW383=DP!$AN$22,(DP!$AQ$22),IF(AW383=DP!$AN$23,(DP!$AQ$23),IF(AW383=DP!$AN$24,(DP!$AQ$24),IF(AW383=DP!$AN$25,(DP!$AQ$25),((0*1))))))</f>
        <v>0</v>
      </c>
      <c r="CB383" s="93">
        <f t="shared" si="402"/>
        <v>0</v>
      </c>
      <c r="CC383" s="93">
        <f>IF(AW383=DP!$AN$15,AY383*(1+DP!$AR$15),IF(AW383=DP!$AN$16,AY383*(1+DP!$AR$16),IF(AW383=DP!$AN$17,AY383*(1+DP!$AR$17),IF(AW383=DP!$AN$18,AY383*(1+DP!$AR$18),0*1))))</f>
        <v>0</v>
      </c>
      <c r="CD383" s="102">
        <f>IF(AW383=DP!$AN$22,(DP!$AR$22),IF(AW383=DP!$AN$23,(DP!$AR$23),IF(AW383=DP!$AN$24,(DP!$AR$24),IF(AW383=DP!$AN$25,(DP!$AR$25),((0*1))))))</f>
        <v>0</v>
      </c>
      <c r="CE383" s="93">
        <f t="shared" si="403"/>
        <v>0</v>
      </c>
      <c r="CF383" s="100"/>
      <c r="CG383" s="149">
        <f t="shared" si="383"/>
        <v>0</v>
      </c>
      <c r="CH383" s="149">
        <f>DP!$N$35*BA383</f>
        <v>0</v>
      </c>
      <c r="CI383" s="149">
        <f>DP!$O$35*BA383</f>
        <v>0</v>
      </c>
      <c r="CJ383" s="149">
        <f>DP!$P$35*BA383</f>
        <v>0</v>
      </c>
    </row>
    <row r="384" spans="2:88" x14ac:dyDescent="0.35">
      <c r="B384" s="480">
        <f>DP!S27</f>
        <v>0</v>
      </c>
      <c r="C384" s="480">
        <f>DP!T27</f>
        <v>0</v>
      </c>
      <c r="D384" s="480">
        <f>DP!U27</f>
        <v>0</v>
      </c>
      <c r="E384" s="480">
        <f>DP!V27</f>
        <v>0</v>
      </c>
      <c r="F384" s="412">
        <f t="shared" si="384"/>
        <v>0</v>
      </c>
      <c r="G384" s="470">
        <f>DP!AH27</f>
        <v>0</v>
      </c>
      <c r="H384" s="98">
        <f t="shared" si="385"/>
        <v>0</v>
      </c>
      <c r="I384" s="97"/>
      <c r="J384" s="102">
        <f t="shared" si="374"/>
        <v>0</v>
      </c>
      <c r="K384" s="98">
        <f t="shared" si="375"/>
        <v>0</v>
      </c>
      <c r="L384" s="93">
        <f t="shared" si="376"/>
        <v>0</v>
      </c>
      <c r="M384" s="99">
        <f t="shared" si="377"/>
        <v>0</v>
      </c>
      <c r="N384" s="100"/>
      <c r="O384" s="102">
        <f>($E384/DP!$P$29)*F384</f>
        <v>0</v>
      </c>
      <c r="P384" s="102">
        <f>IF(O384&gt;0,(DP!$P$31),0*1)</f>
        <v>0</v>
      </c>
      <c r="Q384" s="102">
        <f t="shared" si="386"/>
        <v>0</v>
      </c>
      <c r="R384" s="102">
        <f t="shared" si="387"/>
        <v>0</v>
      </c>
      <c r="S384" s="418">
        <f t="shared" si="388"/>
        <v>0</v>
      </c>
      <c r="T384" s="475">
        <f>H384*DP!$AG$44</f>
        <v>0</v>
      </c>
      <c r="U384" s="475">
        <f>IF(H384&gt;0,DP!$AH$44,0*1)</f>
        <v>0</v>
      </c>
      <c r="V384" s="475">
        <f t="shared" si="389"/>
        <v>0</v>
      </c>
      <c r="W384" s="475">
        <f>H384*DP!$AG$45</f>
        <v>0</v>
      </c>
      <c r="X384" s="475">
        <f>IF(H384&gt;0,DP!$AH$45,0*1)</f>
        <v>0</v>
      </c>
      <c r="Y384" s="475">
        <f t="shared" si="390"/>
        <v>0</v>
      </c>
      <c r="Z384" s="100"/>
      <c r="AA384" s="93">
        <f>IF(D384=DP!$L$15,F384*(1+DP!$P$15),IF(D384=DP!$L$16,F384*(1+DP!$P$16),IF(D384=DP!$L$17,F384*(1+DP!$P$17),IF(D384=DP!$L$18,F384*(1+DP!$P$18),0*1))))</f>
        <v>0</v>
      </c>
      <c r="AB384" s="102">
        <f>IF(D384=DP!$L$22,(DP!$M$22),IF(D384=DP!$L$23,(DP!$M$23),IF(D384=DP!$L$24,(DP!$M$24),IF(D384=DP!$L$25,(DP!$M$25),((0*1))))))</f>
        <v>0</v>
      </c>
      <c r="AC384" s="93">
        <f t="shared" si="391"/>
        <v>0</v>
      </c>
      <c r="AD384" s="93">
        <f>IF(D384=DP!$L$15,F384*(1+DP!$P$15),IF(D384=DP!$L$16,F384*(1+DP!$P$16),IF(D384=DP!$L$17,F384*(1+DP!$P$17),IF(D384=DP!$L$18,F384*(1+DP!$P$18),0*1))))</f>
        <v>0</v>
      </c>
      <c r="AE384" s="102">
        <f>IF(D384=DP!$L$22,(DP!$N$22),IF(D384=DP!$L$23,(DP!$N$23),IF(D384=DP!$L$24,(DP!$N$24),IF(D384=DP!$L$25,(DP!$N$25),((0*1))))))</f>
        <v>0</v>
      </c>
      <c r="AF384" s="93">
        <f t="shared" si="392"/>
        <v>0</v>
      </c>
      <c r="AG384" s="93">
        <f>IF(D384=DP!$L$15,(F384/DP!$K$15)*(1+DP!$P$15),IF(D384=DP!$L$16,(F384/DP!$K$16)*(1+DP!$P$16),IF(D384=DP!$L$17,(F384/DP!$K$17)*(1+DP!$P$17),IF(D384=DP!$L$18,(F384/DP!$K$18)*(1+DP!$P$18),0*1))))</f>
        <v>0</v>
      </c>
      <c r="AH384" s="102">
        <f>IF(D384=DP!$L$22,(DP!$O$22),IF(D384=DP!$L$23,(DP!$O$23),IF(D384=DP!$L$24,(DP!$O$24),IF(D384=DP!$L$25,(DP!$O$25),((0*1))))))</f>
        <v>0</v>
      </c>
      <c r="AI384" s="93">
        <f t="shared" si="393"/>
        <v>0</v>
      </c>
      <c r="AJ384" s="93">
        <f>IF(D384=DP!$L$15,F384*(1+DP!$P$15),IF(D384=DP!$L$16,F384*(1+DP!$P$16),IF(D384=DP!$L$17,F384*(1+DP!$P$17),IF(D384=DP!$L$18,F384*(1+DP!$P$18),0*1))))</f>
        <v>0</v>
      </c>
      <c r="AK384" s="102">
        <f>IF(D384=DP!$L$22,(DP!$P$22),IF(D384=DP!$L$23,(DP!$P$23),IF(D384=DP!$L$24,(DP!$P$24),IF(D384=DP!$L$25,(DP!$P$25),((0*1))))))</f>
        <v>0</v>
      </c>
      <c r="AL384" s="93">
        <f t="shared" si="394"/>
        <v>0</v>
      </c>
      <c r="AM384" s="100"/>
      <c r="AN384" s="149">
        <f t="shared" si="378"/>
        <v>0</v>
      </c>
      <c r="AO384" s="149">
        <f>DP!$N$35*H384</f>
        <v>0</v>
      </c>
      <c r="AP384" s="149">
        <f>DP!$O$35*H384</f>
        <v>0</v>
      </c>
      <c r="AQ384" s="149">
        <f>DP!$P$35*H384</f>
        <v>0</v>
      </c>
      <c r="AV384" s="412">
        <f>DP!AV27</f>
        <v>0</v>
      </c>
      <c r="AW384" s="412">
        <f>DP!AW27</f>
        <v>0</v>
      </c>
      <c r="AX384" s="412">
        <f>DP!AX27</f>
        <v>0</v>
      </c>
      <c r="AY384" s="412">
        <f t="shared" si="395"/>
        <v>0</v>
      </c>
      <c r="AZ384" s="470">
        <f>DP!BJ27</f>
        <v>0</v>
      </c>
      <c r="BA384" s="98">
        <f t="shared" si="396"/>
        <v>0</v>
      </c>
      <c r="BB384" s="97"/>
      <c r="BC384" s="102">
        <f t="shared" si="379"/>
        <v>0</v>
      </c>
      <c r="BD384" s="98">
        <f t="shared" si="380"/>
        <v>0</v>
      </c>
      <c r="BE384" s="93">
        <f t="shared" si="381"/>
        <v>0</v>
      </c>
      <c r="BF384" s="99">
        <f t="shared" si="382"/>
        <v>0</v>
      </c>
      <c r="BG384" s="100"/>
      <c r="BH384" s="102">
        <f>IFERROR((BA384*100%)/DP!$AR$29,(0*1))</f>
        <v>0</v>
      </c>
      <c r="BI384" s="102">
        <f>IF(BH384&gt;0,(DP!$AR$31),0*1)</f>
        <v>0</v>
      </c>
      <c r="BJ384" s="435">
        <f t="shared" si="397"/>
        <v>0</v>
      </c>
      <c r="BK384" s="475">
        <f>BA384*DP!$BI$44</f>
        <v>0</v>
      </c>
      <c r="BL384" s="475">
        <f>IF(BA384&gt;0,DP!$BJ$44,0*1)</f>
        <v>0</v>
      </c>
      <c r="BM384" s="475">
        <f t="shared" si="398"/>
        <v>0</v>
      </c>
      <c r="BN384" s="102">
        <f>BA384*DP!$BI$45</f>
        <v>0</v>
      </c>
      <c r="BO384" s="102">
        <f>IF(BA384&gt;0,DP!$BJ$45,0*1)</f>
        <v>0</v>
      </c>
      <c r="BP384" s="475">
        <f t="shared" si="399"/>
        <v>0</v>
      </c>
      <c r="BQ384" s="100"/>
      <c r="BR384" s="100"/>
      <c r="BS384" s="100"/>
      <c r="BT384" s="93">
        <f>IF(AW384=DP!$AN$15,AY384*(1+DP!$AR$15),IF(AW384=DP!$AN$16,AY384*(1+DP!$AR$16),IF(AW384=DP!$AN$17,AY384*(1+DP!$AR$17),IF(AW384=DP!$AN$18,AY384*(1+DP!$AR$18),0*1))))</f>
        <v>0</v>
      </c>
      <c r="BU384" s="102">
        <f>IF(AW384=DP!$AN$22,(DP!$AO$22),IF(AW384=DP!$AN$23,(DP!$AO$23),IF(AW384=DP!$AN$24,(DP!$AO$24),IF(AW384=DP!$AN$25,(DP!$AO$25),((0*1))))))</f>
        <v>0</v>
      </c>
      <c r="BV384" s="93">
        <f t="shared" si="400"/>
        <v>0</v>
      </c>
      <c r="BW384" s="93">
        <f>IF(AW384=DP!$AN$15,AY384*(1+DP!$AR$15),IF(AW384=DP!$AN$16,AY384*(1+DP!$AR$16),IF(AW384=DP!$AN$17,AY384*(1+DP!$AR$17),IF(AW384=DP!$AN$18,AY384*(1+DP!$AR$18),0*1))))</f>
        <v>0</v>
      </c>
      <c r="BX384" s="102">
        <f>IF(AW384=DP!$AN$22,(DP!$AP$22),IF(AW384=DP!$AN$23,(DP!$AP$23),IF(AW384=DP!$AN$24,(DP!$AP$24),IF(AW384=DP!$AN$25,(DP!$AP$25),((0*1))))))</f>
        <v>0</v>
      </c>
      <c r="BY384" s="93">
        <f t="shared" si="401"/>
        <v>0</v>
      </c>
      <c r="BZ384" s="93">
        <f>IF(AW384=DP!$AN$15,(AY384/DP!$AM$15)*(1+DP!$AR$15),IF(AW384=DP!$AN$16,(AY384/DP!$AM$16)*(1+DP!$AR$16),IF(AW384=DP!$AN$17,(AY384/DP!$AM$17)*(1+DP!$AR$17),IF(AW384=DP!$AN$18,(AY384/DP!$AM$18)*(1+DP!$AR$18),0*1))))</f>
        <v>0</v>
      </c>
      <c r="CA384" s="102">
        <f>IF(AW384=DP!$AN$22,(DP!$AQ$22),IF(AW384=DP!$AN$23,(DP!$AQ$23),IF(AW384=DP!$AN$24,(DP!$AQ$24),IF(AW384=DP!$AN$25,(DP!$AQ$25),((0*1))))))</f>
        <v>0</v>
      </c>
      <c r="CB384" s="93">
        <f t="shared" si="402"/>
        <v>0</v>
      </c>
      <c r="CC384" s="93">
        <f>IF(AW384=DP!$AN$15,AY384*(1+DP!$AR$15),IF(AW384=DP!$AN$16,AY384*(1+DP!$AR$16),IF(AW384=DP!$AN$17,AY384*(1+DP!$AR$17),IF(AW384=DP!$AN$18,AY384*(1+DP!$AR$18),0*1))))</f>
        <v>0</v>
      </c>
      <c r="CD384" s="102">
        <f>IF(AW384=DP!$AN$22,(DP!$AR$22),IF(AW384=DP!$AN$23,(DP!$AR$23),IF(AW384=DP!$AN$24,(DP!$AR$24),IF(AW384=DP!$AN$25,(DP!$AR$25),((0*1))))))</f>
        <v>0</v>
      </c>
      <c r="CE384" s="93">
        <f t="shared" si="403"/>
        <v>0</v>
      </c>
      <c r="CF384" s="100"/>
      <c r="CG384" s="149">
        <f t="shared" si="383"/>
        <v>0</v>
      </c>
      <c r="CH384" s="149">
        <f>DP!$N$35*BA384</f>
        <v>0</v>
      </c>
      <c r="CI384" s="149">
        <f>DP!$O$35*BA384</f>
        <v>0</v>
      </c>
      <c r="CJ384" s="149">
        <f>DP!$P$35*BA384</f>
        <v>0</v>
      </c>
    </row>
    <row r="385" spans="2:88" x14ac:dyDescent="0.35">
      <c r="B385" s="480">
        <f>DP!S28</f>
        <v>0</v>
      </c>
      <c r="C385" s="480">
        <f>DP!T28</f>
        <v>0</v>
      </c>
      <c r="D385" s="480">
        <f>DP!U28</f>
        <v>0</v>
      </c>
      <c r="E385" s="480">
        <f>DP!V28</f>
        <v>0</v>
      </c>
      <c r="F385" s="412">
        <f t="shared" si="384"/>
        <v>0</v>
      </c>
      <c r="G385" s="470">
        <f>DP!AH28</f>
        <v>0</v>
      </c>
      <c r="H385" s="98">
        <f t="shared" si="385"/>
        <v>0</v>
      </c>
      <c r="I385" s="97"/>
      <c r="J385" s="102">
        <f t="shared" si="374"/>
        <v>0</v>
      </c>
      <c r="K385" s="98">
        <f t="shared" si="375"/>
        <v>0</v>
      </c>
      <c r="L385" s="93">
        <f t="shared" si="376"/>
        <v>0</v>
      </c>
      <c r="M385" s="99">
        <f t="shared" si="377"/>
        <v>0</v>
      </c>
      <c r="N385" s="100"/>
      <c r="O385" s="102">
        <f>($E385/DP!$P$29)*F385</f>
        <v>0</v>
      </c>
      <c r="P385" s="102">
        <f>IF(O385&gt;0,(DP!$P$31),0*1)</f>
        <v>0</v>
      </c>
      <c r="Q385" s="102">
        <f t="shared" si="386"/>
        <v>0</v>
      </c>
      <c r="R385" s="102">
        <f t="shared" si="387"/>
        <v>0</v>
      </c>
      <c r="S385" s="418">
        <f t="shared" si="388"/>
        <v>0</v>
      </c>
      <c r="T385" s="475">
        <f>H385*DP!$AG$44</f>
        <v>0</v>
      </c>
      <c r="U385" s="475">
        <f>IF(H385&gt;0,DP!$AH$44,0*1)</f>
        <v>0</v>
      </c>
      <c r="V385" s="475">
        <f t="shared" si="389"/>
        <v>0</v>
      </c>
      <c r="W385" s="475">
        <f>H385*DP!$AG$45</f>
        <v>0</v>
      </c>
      <c r="X385" s="475">
        <f>IF(H385&gt;0,DP!$AH$45,0*1)</f>
        <v>0</v>
      </c>
      <c r="Y385" s="475">
        <f t="shared" si="390"/>
        <v>0</v>
      </c>
      <c r="Z385" s="100"/>
      <c r="AA385" s="93">
        <f>IF(D385=DP!$L$15,F385*(1+DP!$P$15),IF(D385=DP!$L$16,F385*(1+DP!$P$16),IF(D385=DP!$L$17,F385*(1+DP!$P$17),IF(D385=DP!$L$18,F385*(1+DP!$P$18),0*1))))</f>
        <v>0</v>
      </c>
      <c r="AB385" s="102">
        <f>IF(D385=DP!$L$22,(DP!$M$22),IF(D385=DP!$L$23,(DP!$M$23),IF(D385=DP!$L$24,(DP!$M$24),IF(D385=DP!$L$25,(DP!$M$25),((0*1))))))</f>
        <v>0</v>
      </c>
      <c r="AC385" s="93">
        <f t="shared" si="391"/>
        <v>0</v>
      </c>
      <c r="AD385" s="93">
        <f>IF(D385=DP!$L$15,F385*(1+DP!$P$15),IF(D385=DP!$L$16,F385*(1+DP!$P$16),IF(D385=DP!$L$17,F385*(1+DP!$P$17),IF(D385=DP!$L$18,F385*(1+DP!$P$18),0*1))))</f>
        <v>0</v>
      </c>
      <c r="AE385" s="102">
        <f>IF(D385=DP!$L$22,(DP!$N$22),IF(D385=DP!$L$23,(DP!$N$23),IF(D385=DP!$L$24,(DP!$N$24),IF(D385=DP!$L$25,(DP!$N$25),((0*1))))))</f>
        <v>0</v>
      </c>
      <c r="AF385" s="93">
        <f t="shared" si="392"/>
        <v>0</v>
      </c>
      <c r="AG385" s="93">
        <f>IF(D385=DP!$L$15,(F385/DP!$K$15)*(1+DP!$P$15),IF(D385=DP!$L$16,(F385/DP!$K$16)*(1+DP!$P$16),IF(D385=DP!$L$17,(F385/DP!$K$17)*(1+DP!$P$17),IF(D385=DP!$L$18,(F385/DP!$K$18)*(1+DP!$P$18),0*1))))</f>
        <v>0</v>
      </c>
      <c r="AH385" s="102">
        <f>IF(D385=DP!$L$22,(DP!$O$22),IF(D385=DP!$L$23,(DP!$O$23),IF(D385=DP!$L$24,(DP!$O$24),IF(D385=DP!$L$25,(DP!$O$25),((0*1))))))</f>
        <v>0</v>
      </c>
      <c r="AI385" s="93">
        <f t="shared" si="393"/>
        <v>0</v>
      </c>
      <c r="AJ385" s="93">
        <f>IF(D385=DP!$L$15,F385*(1+DP!$P$15),IF(D385=DP!$L$16,F385*(1+DP!$P$16),IF(D385=DP!$L$17,F385*(1+DP!$P$17),IF(D385=DP!$L$18,F385*(1+DP!$P$18),0*1))))</f>
        <v>0</v>
      </c>
      <c r="AK385" s="102">
        <f>IF(D385=DP!$L$22,(DP!$P$22),IF(D385=DP!$L$23,(DP!$P$23),IF(D385=DP!$L$24,(DP!$P$24),IF(D385=DP!$L$25,(DP!$P$25),((0*1))))))</f>
        <v>0</v>
      </c>
      <c r="AL385" s="93">
        <f t="shared" si="394"/>
        <v>0</v>
      </c>
      <c r="AM385" s="100"/>
      <c r="AN385" s="149">
        <f t="shared" si="378"/>
        <v>0</v>
      </c>
      <c r="AO385" s="149">
        <f>DP!$N$35*H385</f>
        <v>0</v>
      </c>
      <c r="AP385" s="149">
        <f>DP!$O$35*H385</f>
        <v>0</v>
      </c>
      <c r="AQ385" s="149">
        <f>DP!$P$35*H385</f>
        <v>0</v>
      </c>
      <c r="AV385" s="412">
        <f>DP!AV28</f>
        <v>0</v>
      </c>
      <c r="AW385" s="412">
        <f>DP!AW28</f>
        <v>0</v>
      </c>
      <c r="AX385" s="412">
        <f>DP!AX28</f>
        <v>0</v>
      </c>
      <c r="AY385" s="412">
        <f t="shared" si="395"/>
        <v>0</v>
      </c>
      <c r="AZ385" s="470">
        <f>DP!BJ28</f>
        <v>0</v>
      </c>
      <c r="BA385" s="98">
        <f t="shared" si="396"/>
        <v>0</v>
      </c>
      <c r="BB385" s="97"/>
      <c r="BC385" s="102">
        <f t="shared" si="379"/>
        <v>0</v>
      </c>
      <c r="BD385" s="98">
        <f t="shared" si="380"/>
        <v>0</v>
      </c>
      <c r="BE385" s="93">
        <f t="shared" si="381"/>
        <v>0</v>
      </c>
      <c r="BF385" s="99">
        <f t="shared" si="382"/>
        <v>0</v>
      </c>
      <c r="BG385" s="100"/>
      <c r="BH385" s="102">
        <f>IFERROR((BA385*100%)/DP!$AR$29,(0*1))</f>
        <v>0</v>
      </c>
      <c r="BI385" s="102">
        <f>IF(BH385&gt;0,(DP!$AR$31),0*1)</f>
        <v>0</v>
      </c>
      <c r="BJ385" s="435">
        <f t="shared" si="397"/>
        <v>0</v>
      </c>
      <c r="BK385" s="475">
        <f>BA385*DP!$BI$44</f>
        <v>0</v>
      </c>
      <c r="BL385" s="475">
        <f>IF(BA385&gt;0,DP!$BJ$44,0*1)</f>
        <v>0</v>
      </c>
      <c r="BM385" s="475">
        <f t="shared" si="398"/>
        <v>0</v>
      </c>
      <c r="BN385" s="102">
        <f>BA385*DP!$BI$45</f>
        <v>0</v>
      </c>
      <c r="BO385" s="102">
        <f>IF(BA385&gt;0,DP!$BJ$45,0*1)</f>
        <v>0</v>
      </c>
      <c r="BP385" s="475">
        <f t="shared" si="399"/>
        <v>0</v>
      </c>
      <c r="BQ385" s="100"/>
      <c r="BR385" s="100"/>
      <c r="BS385" s="100"/>
      <c r="BT385" s="93">
        <f>IF(AW385=DP!$AN$15,AY385*(1+DP!$AR$15),IF(AW385=DP!$AN$16,AY385*(1+DP!$AR$16),IF(AW385=DP!$AN$17,AY385*(1+DP!$AR$17),IF(AW385=DP!$AN$18,AY385*(1+DP!$AR$18),0*1))))</f>
        <v>0</v>
      </c>
      <c r="BU385" s="102">
        <f>IF(AW385=DP!$AN$22,(DP!$AO$22),IF(AW385=DP!$AN$23,(DP!$AO$23),IF(AW385=DP!$AN$24,(DP!$AO$24),IF(AW385=DP!$AN$25,(DP!$AO$25),((0*1))))))</f>
        <v>0</v>
      </c>
      <c r="BV385" s="93">
        <f t="shared" si="400"/>
        <v>0</v>
      </c>
      <c r="BW385" s="93">
        <f>IF(AW385=DP!$AN$15,AY385*(1+DP!$AR$15),IF(AW385=DP!$AN$16,AY385*(1+DP!$AR$16),IF(AW385=DP!$AN$17,AY385*(1+DP!$AR$17),IF(AW385=DP!$AN$18,AY385*(1+DP!$AR$18),0*1))))</f>
        <v>0</v>
      </c>
      <c r="BX385" s="102">
        <f>IF(AW385=DP!$AN$22,(DP!$AP$22),IF(AW385=DP!$AN$23,(DP!$AP$23),IF(AW385=DP!$AN$24,(DP!$AP$24),IF(AW385=DP!$AN$25,(DP!$AP$25),((0*1))))))</f>
        <v>0</v>
      </c>
      <c r="BY385" s="93">
        <f t="shared" si="401"/>
        <v>0</v>
      </c>
      <c r="BZ385" s="93">
        <f>IF(AW385=DP!$AN$15,(AY385/DP!$AM$15)*(1+DP!$AR$15),IF(AW385=DP!$AN$16,(AY385/DP!$AM$16)*(1+DP!$AR$16),IF(AW385=DP!$AN$17,(AY385/DP!$AM$17)*(1+DP!$AR$17),IF(AW385=DP!$AN$18,(AY385/DP!$AM$18)*(1+DP!$AR$18),0*1))))</f>
        <v>0</v>
      </c>
      <c r="CA385" s="102">
        <f>IF(AW385=DP!$AN$22,(DP!$AQ$22),IF(AW385=DP!$AN$23,(DP!$AQ$23),IF(AW385=DP!$AN$24,(DP!$AQ$24),IF(AW385=DP!$AN$25,(DP!$AQ$25),((0*1))))))</f>
        <v>0</v>
      </c>
      <c r="CB385" s="93">
        <f t="shared" si="402"/>
        <v>0</v>
      </c>
      <c r="CC385" s="93">
        <f>IF(AW385=DP!$AN$15,AY385*(1+DP!$AR$15),IF(AW385=DP!$AN$16,AY385*(1+DP!$AR$16),IF(AW385=DP!$AN$17,AY385*(1+DP!$AR$17),IF(AW385=DP!$AN$18,AY385*(1+DP!$AR$18),0*1))))</f>
        <v>0</v>
      </c>
      <c r="CD385" s="102">
        <f>IF(AW385=DP!$AN$22,(DP!$AR$22),IF(AW385=DP!$AN$23,(DP!$AR$23),IF(AW385=DP!$AN$24,(DP!$AR$24),IF(AW385=DP!$AN$25,(DP!$AR$25),((0*1))))))</f>
        <v>0</v>
      </c>
      <c r="CE385" s="93">
        <f t="shared" si="403"/>
        <v>0</v>
      </c>
      <c r="CF385" s="100"/>
      <c r="CG385" s="149">
        <f t="shared" si="383"/>
        <v>0</v>
      </c>
      <c r="CH385" s="149">
        <f>DP!$N$35*BA385</f>
        <v>0</v>
      </c>
      <c r="CI385" s="149">
        <f>DP!$O$35*BA385</f>
        <v>0</v>
      </c>
      <c r="CJ385" s="149">
        <f>DP!$P$35*BA385</f>
        <v>0</v>
      </c>
    </row>
    <row r="386" spans="2:88" x14ac:dyDescent="0.35">
      <c r="B386" s="480">
        <f>DP!S29</f>
        <v>0</v>
      </c>
      <c r="C386" s="480">
        <f>DP!T29</f>
        <v>0</v>
      </c>
      <c r="D386" s="480">
        <f>DP!U29</f>
        <v>0</v>
      </c>
      <c r="E386" s="480">
        <f>DP!V29</f>
        <v>0</v>
      </c>
      <c r="F386" s="412">
        <f t="shared" si="384"/>
        <v>0</v>
      </c>
      <c r="G386" s="470">
        <f>DP!AH29</f>
        <v>0</v>
      </c>
      <c r="H386" s="98">
        <f t="shared" si="385"/>
        <v>0</v>
      </c>
      <c r="I386" s="97"/>
      <c r="J386" s="102">
        <f t="shared" si="374"/>
        <v>0</v>
      </c>
      <c r="K386" s="98">
        <f t="shared" si="375"/>
        <v>0</v>
      </c>
      <c r="L386" s="93">
        <f t="shared" si="376"/>
        <v>0</v>
      </c>
      <c r="M386" s="99">
        <f t="shared" si="377"/>
        <v>0</v>
      </c>
      <c r="N386" s="100"/>
      <c r="O386" s="102">
        <f>($E386/DP!$P$29)*F386</f>
        <v>0</v>
      </c>
      <c r="P386" s="102">
        <f>IF(O386&gt;0,(DP!$P$31),0*1)</f>
        <v>0</v>
      </c>
      <c r="Q386" s="102">
        <f t="shared" si="386"/>
        <v>0</v>
      </c>
      <c r="R386" s="102">
        <f t="shared" si="387"/>
        <v>0</v>
      </c>
      <c r="S386" s="418">
        <f t="shared" si="388"/>
        <v>0</v>
      </c>
      <c r="T386" s="475">
        <f>H386*DP!$AG$44</f>
        <v>0</v>
      </c>
      <c r="U386" s="475">
        <f>IF(H386&gt;0,DP!$AH$44,0*1)</f>
        <v>0</v>
      </c>
      <c r="V386" s="475">
        <f t="shared" si="389"/>
        <v>0</v>
      </c>
      <c r="W386" s="475">
        <f>H386*DP!$AG$45</f>
        <v>0</v>
      </c>
      <c r="X386" s="475">
        <f>IF(H386&gt;0,DP!$AH$45,0*1)</f>
        <v>0</v>
      </c>
      <c r="Y386" s="475">
        <f t="shared" si="390"/>
        <v>0</v>
      </c>
      <c r="Z386" s="100"/>
      <c r="AA386" s="93">
        <f>IF(D386=DP!$L$15,F386*(1+DP!$P$15),IF(D386=DP!$L$16,F386*(1+DP!$P$16),IF(D386=DP!$L$17,F386*(1+DP!$P$17),IF(D386=DP!$L$18,F386*(1+DP!$P$18),0*1))))</f>
        <v>0</v>
      </c>
      <c r="AB386" s="102">
        <f>IF(D386=DP!$L$22,(DP!$M$22),IF(D386=DP!$L$23,(DP!$M$23),IF(D386=DP!$L$24,(DP!$M$24),IF(D386=DP!$L$25,(DP!$M$25),((0*1))))))</f>
        <v>0</v>
      </c>
      <c r="AC386" s="93">
        <f t="shared" si="391"/>
        <v>0</v>
      </c>
      <c r="AD386" s="93">
        <f>IF(D386=DP!$L$15,F386*(1+DP!$P$15),IF(D386=DP!$L$16,F386*(1+DP!$P$16),IF(D386=DP!$L$17,F386*(1+DP!$P$17),IF(D386=DP!$L$18,F386*(1+DP!$P$18),0*1))))</f>
        <v>0</v>
      </c>
      <c r="AE386" s="102">
        <f>IF(D386=DP!$L$22,(DP!$N$22),IF(D386=DP!$L$23,(DP!$N$23),IF(D386=DP!$L$24,(DP!$N$24),IF(D386=DP!$L$25,(DP!$N$25),((0*1))))))</f>
        <v>0</v>
      </c>
      <c r="AF386" s="93">
        <f t="shared" si="392"/>
        <v>0</v>
      </c>
      <c r="AG386" s="93">
        <f>IF(D386=DP!$L$15,(F386/DP!$K$15)*(1+DP!$P$15),IF(D386=DP!$L$16,(F386/DP!$K$16)*(1+DP!$P$16),IF(D386=DP!$L$17,(F386/DP!$K$17)*(1+DP!$P$17),IF(D386=DP!$L$18,(F386/DP!$K$18)*(1+DP!$P$18),0*1))))</f>
        <v>0</v>
      </c>
      <c r="AH386" s="102">
        <f>IF(D386=DP!$L$22,(DP!$O$22),IF(D386=DP!$L$23,(DP!$O$23),IF(D386=DP!$L$24,(DP!$O$24),IF(D386=DP!$L$25,(DP!$O$25),((0*1))))))</f>
        <v>0</v>
      </c>
      <c r="AI386" s="93">
        <f t="shared" si="393"/>
        <v>0</v>
      </c>
      <c r="AJ386" s="93">
        <f>IF(D386=DP!$L$15,F386*(1+DP!$P$15),IF(D386=DP!$L$16,F386*(1+DP!$P$16),IF(D386=DP!$L$17,F386*(1+DP!$P$17),IF(D386=DP!$L$18,F386*(1+DP!$P$18),0*1))))</f>
        <v>0</v>
      </c>
      <c r="AK386" s="102">
        <f>IF(D386=DP!$L$22,(DP!$P$22),IF(D386=DP!$L$23,(DP!$P$23),IF(D386=DP!$L$24,(DP!$P$24),IF(D386=DP!$L$25,(DP!$P$25),((0*1))))))</f>
        <v>0</v>
      </c>
      <c r="AL386" s="93">
        <f t="shared" si="394"/>
        <v>0</v>
      </c>
      <c r="AM386" s="100"/>
      <c r="AN386" s="149">
        <f t="shared" si="378"/>
        <v>0</v>
      </c>
      <c r="AO386" s="149">
        <f>DP!$N$35*H386</f>
        <v>0</v>
      </c>
      <c r="AP386" s="149">
        <f>DP!$O$35*H386</f>
        <v>0</v>
      </c>
      <c r="AQ386" s="149">
        <f>DP!$P$35*H386</f>
        <v>0</v>
      </c>
      <c r="AV386" s="412">
        <f>DP!AV29</f>
        <v>0</v>
      </c>
      <c r="AW386" s="412">
        <f>DP!AW29</f>
        <v>0</v>
      </c>
      <c r="AX386" s="412">
        <f>DP!AX29</f>
        <v>0</v>
      </c>
      <c r="AY386" s="412">
        <f t="shared" si="395"/>
        <v>0</v>
      </c>
      <c r="AZ386" s="470">
        <f>DP!BJ29</f>
        <v>0</v>
      </c>
      <c r="BA386" s="98">
        <f t="shared" si="396"/>
        <v>0</v>
      </c>
      <c r="BB386" s="97"/>
      <c r="BC386" s="102">
        <f t="shared" si="379"/>
        <v>0</v>
      </c>
      <c r="BD386" s="98">
        <f t="shared" si="380"/>
        <v>0</v>
      </c>
      <c r="BE386" s="93">
        <f t="shared" si="381"/>
        <v>0</v>
      </c>
      <c r="BF386" s="99">
        <f t="shared" si="382"/>
        <v>0</v>
      </c>
      <c r="BG386" s="100"/>
      <c r="BH386" s="102">
        <f>IFERROR((BA386*100%)/DP!$AR$29,(0*1))</f>
        <v>0</v>
      </c>
      <c r="BI386" s="102">
        <f>IF(BH386&gt;0,(DP!$AR$31),0*1)</f>
        <v>0</v>
      </c>
      <c r="BJ386" s="435">
        <f t="shared" si="397"/>
        <v>0</v>
      </c>
      <c r="BK386" s="475">
        <f>BA386*DP!$BI$44</f>
        <v>0</v>
      </c>
      <c r="BL386" s="475">
        <f>IF(BA386&gt;0,DP!$BJ$44,0*1)</f>
        <v>0</v>
      </c>
      <c r="BM386" s="475">
        <f t="shared" si="398"/>
        <v>0</v>
      </c>
      <c r="BN386" s="102">
        <f>BA386*DP!$BI$45</f>
        <v>0</v>
      </c>
      <c r="BO386" s="102">
        <f>IF(BA386&gt;0,DP!$BJ$45,0*1)</f>
        <v>0</v>
      </c>
      <c r="BP386" s="475">
        <f t="shared" si="399"/>
        <v>0</v>
      </c>
      <c r="BQ386" s="100"/>
      <c r="BR386" s="100"/>
      <c r="BS386" s="100"/>
      <c r="BT386" s="93">
        <f>IF(AW386=DP!$AN$15,AY386*(1+DP!$AR$15),IF(AW386=DP!$AN$16,AY386*(1+DP!$AR$16),IF(AW386=DP!$AN$17,AY386*(1+DP!$AR$17),IF(AW386=DP!$AN$18,AY386*(1+DP!$AR$18),0*1))))</f>
        <v>0</v>
      </c>
      <c r="BU386" s="102">
        <f>IF(AW386=DP!$AN$22,(DP!$AO$22),IF(AW386=DP!$AN$23,(DP!$AO$23),IF(AW386=DP!$AN$24,(DP!$AO$24),IF(AW386=DP!$AN$25,(DP!$AO$25),((0*1))))))</f>
        <v>0</v>
      </c>
      <c r="BV386" s="93">
        <f t="shared" si="400"/>
        <v>0</v>
      </c>
      <c r="BW386" s="93">
        <f>IF(AW386=DP!$AN$15,AY386*(1+DP!$AR$15),IF(AW386=DP!$AN$16,AY386*(1+DP!$AR$16),IF(AW386=DP!$AN$17,AY386*(1+DP!$AR$17),IF(AW386=DP!$AN$18,AY386*(1+DP!$AR$18),0*1))))</f>
        <v>0</v>
      </c>
      <c r="BX386" s="102">
        <f>IF(AW386=DP!$AN$22,(DP!$AP$22),IF(AW386=DP!$AN$23,(DP!$AP$23),IF(AW386=DP!$AN$24,(DP!$AP$24),IF(AW386=DP!$AN$25,(DP!$AP$25),((0*1))))))</f>
        <v>0</v>
      </c>
      <c r="BY386" s="93">
        <f t="shared" si="401"/>
        <v>0</v>
      </c>
      <c r="BZ386" s="93">
        <f>IF(AW386=DP!$AN$15,(AY386/DP!$AM$15)*(1+DP!$AR$15),IF(AW386=DP!$AN$16,(AY386/DP!$AM$16)*(1+DP!$AR$16),IF(AW386=DP!$AN$17,(AY386/DP!$AM$17)*(1+DP!$AR$17),IF(AW386=DP!$AN$18,(AY386/DP!$AM$18)*(1+DP!$AR$18),0*1))))</f>
        <v>0</v>
      </c>
      <c r="CA386" s="102">
        <f>IF(AW386=DP!$AN$22,(DP!$AQ$22),IF(AW386=DP!$AN$23,(DP!$AQ$23),IF(AW386=DP!$AN$24,(DP!$AQ$24),IF(AW386=DP!$AN$25,(DP!$AQ$25),((0*1))))))</f>
        <v>0</v>
      </c>
      <c r="CB386" s="93">
        <f t="shared" si="402"/>
        <v>0</v>
      </c>
      <c r="CC386" s="93">
        <f>IF(AW386=DP!$AN$15,AY386*(1+DP!$AR$15),IF(AW386=DP!$AN$16,AY386*(1+DP!$AR$16),IF(AW386=DP!$AN$17,AY386*(1+DP!$AR$17),IF(AW386=DP!$AN$18,AY386*(1+DP!$AR$18),0*1))))</f>
        <v>0</v>
      </c>
      <c r="CD386" s="102">
        <f>IF(AW386=DP!$AN$22,(DP!$AR$22),IF(AW386=DP!$AN$23,(DP!$AR$23),IF(AW386=DP!$AN$24,(DP!$AR$24),IF(AW386=DP!$AN$25,(DP!$AR$25),((0*1))))))</f>
        <v>0</v>
      </c>
      <c r="CE386" s="93">
        <f t="shared" si="403"/>
        <v>0</v>
      </c>
      <c r="CF386" s="100"/>
      <c r="CG386" s="149">
        <f t="shared" si="383"/>
        <v>0</v>
      </c>
      <c r="CH386" s="149">
        <f>DP!$N$35*BA386</f>
        <v>0</v>
      </c>
      <c r="CI386" s="149">
        <f>DP!$O$35*BA386</f>
        <v>0</v>
      </c>
      <c r="CJ386" s="149">
        <f>DP!$P$35*BA386</f>
        <v>0</v>
      </c>
    </row>
    <row r="387" spans="2:88" x14ac:dyDescent="0.35">
      <c r="B387" s="480">
        <f>DP!S30</f>
        <v>0</v>
      </c>
      <c r="C387" s="480">
        <f>DP!T30</f>
        <v>0</v>
      </c>
      <c r="D387" s="480">
        <f>DP!U30</f>
        <v>0</v>
      </c>
      <c r="E387" s="480">
        <f>DP!V30</f>
        <v>0</v>
      </c>
      <c r="F387" s="412">
        <f t="shared" si="384"/>
        <v>0</v>
      </c>
      <c r="G387" s="470">
        <f>DP!AH30</f>
        <v>0</v>
      </c>
      <c r="H387" s="98">
        <f t="shared" si="385"/>
        <v>0</v>
      </c>
      <c r="I387" s="97"/>
      <c r="J387" s="102">
        <f t="shared" si="374"/>
        <v>0</v>
      </c>
      <c r="K387" s="98">
        <f t="shared" si="375"/>
        <v>0</v>
      </c>
      <c r="L387" s="93">
        <f t="shared" si="376"/>
        <v>0</v>
      </c>
      <c r="M387" s="99">
        <f t="shared" si="377"/>
        <v>0</v>
      </c>
      <c r="N387" s="100"/>
      <c r="O387" s="102">
        <f>($E387/DP!$P$29)*F387</f>
        <v>0</v>
      </c>
      <c r="P387" s="102">
        <f>IF(O387&gt;0,(DP!$P$31),0*1)</f>
        <v>0</v>
      </c>
      <c r="Q387" s="102">
        <f t="shared" si="386"/>
        <v>0</v>
      </c>
      <c r="R387" s="102">
        <f t="shared" si="387"/>
        <v>0</v>
      </c>
      <c r="S387" s="418">
        <f t="shared" si="388"/>
        <v>0</v>
      </c>
      <c r="T387" s="475">
        <f>H387*DP!$AG$44</f>
        <v>0</v>
      </c>
      <c r="U387" s="475">
        <f>IF(H387&gt;0,DP!$AH$44,0*1)</f>
        <v>0</v>
      </c>
      <c r="V387" s="475">
        <f t="shared" si="389"/>
        <v>0</v>
      </c>
      <c r="W387" s="475">
        <f>H387*DP!$AG$45</f>
        <v>0</v>
      </c>
      <c r="X387" s="475">
        <f>IF(H387&gt;0,DP!$AH$45,0*1)</f>
        <v>0</v>
      </c>
      <c r="Y387" s="475">
        <f t="shared" si="390"/>
        <v>0</v>
      </c>
      <c r="Z387" s="100"/>
      <c r="AA387" s="93">
        <f>IF(D387=DP!$L$15,F387*(1+DP!$P$15),IF(D387=DP!$L$16,F387*(1+DP!$P$16),IF(D387=DP!$L$17,F387*(1+DP!$P$17),IF(D387=DP!$L$18,F387*(1+DP!$P$18),0*1))))</f>
        <v>0</v>
      </c>
      <c r="AB387" s="102">
        <f>IF(D387=DP!$L$22,(DP!$M$22),IF(D387=DP!$L$23,(DP!$M$23),IF(D387=DP!$L$24,(DP!$M$24),IF(D387=DP!$L$25,(DP!$M$25),((0*1))))))</f>
        <v>0</v>
      </c>
      <c r="AC387" s="93">
        <f t="shared" si="391"/>
        <v>0</v>
      </c>
      <c r="AD387" s="93">
        <f>IF(D387=DP!$L$15,F387*(1+DP!$P$15),IF(D387=DP!$L$16,F387*(1+DP!$P$16),IF(D387=DP!$L$17,F387*(1+DP!$P$17),IF(D387=DP!$L$18,F387*(1+DP!$P$18),0*1))))</f>
        <v>0</v>
      </c>
      <c r="AE387" s="102">
        <f>IF(D387=DP!$L$22,(DP!$N$22),IF(D387=DP!$L$23,(DP!$N$23),IF(D387=DP!$L$24,(DP!$N$24),IF(D387=DP!$L$25,(DP!$N$25),((0*1))))))</f>
        <v>0</v>
      </c>
      <c r="AF387" s="93">
        <f t="shared" si="392"/>
        <v>0</v>
      </c>
      <c r="AG387" s="93">
        <f>IF(D387=DP!$L$15,(F387/DP!$K$15)*(1+DP!$P$15),IF(D387=DP!$L$16,(F387/DP!$K$16)*(1+DP!$P$16),IF(D387=DP!$L$17,(F387/DP!$K$17)*(1+DP!$P$17),IF(D387=DP!$L$18,(F387/DP!$K$18)*(1+DP!$P$18),0*1))))</f>
        <v>0</v>
      </c>
      <c r="AH387" s="102">
        <f>IF(D387=DP!$L$22,(DP!$O$22),IF(D387=DP!$L$23,(DP!$O$23),IF(D387=DP!$L$24,(DP!$O$24),IF(D387=DP!$L$25,(DP!$O$25),((0*1))))))</f>
        <v>0</v>
      </c>
      <c r="AI387" s="93">
        <f t="shared" si="393"/>
        <v>0</v>
      </c>
      <c r="AJ387" s="93">
        <f>IF(D387=DP!$L$15,F387*(1+DP!$P$15),IF(D387=DP!$L$16,F387*(1+DP!$P$16),IF(D387=DP!$L$17,F387*(1+DP!$P$17),IF(D387=DP!$L$18,F387*(1+DP!$P$18),0*1))))</f>
        <v>0</v>
      </c>
      <c r="AK387" s="102">
        <f>IF(D387=DP!$L$22,(DP!$P$22),IF(D387=DP!$L$23,(DP!$P$23),IF(D387=DP!$L$24,(DP!$P$24),IF(D387=DP!$L$25,(DP!$P$25),((0*1))))))</f>
        <v>0</v>
      </c>
      <c r="AL387" s="93">
        <f t="shared" si="394"/>
        <v>0</v>
      </c>
      <c r="AM387" s="100"/>
      <c r="AN387" s="149">
        <f t="shared" si="378"/>
        <v>0</v>
      </c>
      <c r="AO387" s="149">
        <f>DP!$N$35*H387</f>
        <v>0</v>
      </c>
      <c r="AP387" s="149">
        <f>DP!$O$35*H387</f>
        <v>0</v>
      </c>
      <c r="AQ387" s="149">
        <f>DP!$P$35*H387</f>
        <v>0</v>
      </c>
      <c r="AV387" s="412">
        <f>DP!AV30</f>
        <v>0</v>
      </c>
      <c r="AW387" s="412">
        <f>DP!AW30</f>
        <v>0</v>
      </c>
      <c r="AX387" s="412">
        <f>DP!AX30</f>
        <v>0</v>
      </c>
      <c r="AY387" s="412">
        <f t="shared" si="395"/>
        <v>0</v>
      </c>
      <c r="AZ387" s="470">
        <f>DP!BJ30</f>
        <v>0</v>
      </c>
      <c r="BA387" s="98">
        <f t="shared" si="396"/>
        <v>0</v>
      </c>
      <c r="BB387" s="97"/>
      <c r="BC387" s="102">
        <f t="shared" si="379"/>
        <v>0</v>
      </c>
      <c r="BD387" s="98">
        <f t="shared" si="380"/>
        <v>0</v>
      </c>
      <c r="BE387" s="93">
        <f t="shared" si="381"/>
        <v>0</v>
      </c>
      <c r="BF387" s="99">
        <f t="shared" si="382"/>
        <v>0</v>
      </c>
      <c r="BG387" s="100"/>
      <c r="BH387" s="102">
        <f>IFERROR((BA387*100%)/DP!$AR$29,(0*1))</f>
        <v>0</v>
      </c>
      <c r="BI387" s="102">
        <f>IF(BH387&gt;0,(DP!$AR$31),0*1)</f>
        <v>0</v>
      </c>
      <c r="BJ387" s="435">
        <f t="shared" si="397"/>
        <v>0</v>
      </c>
      <c r="BK387" s="475">
        <f>BA387*DP!$BI$44</f>
        <v>0</v>
      </c>
      <c r="BL387" s="475">
        <f>IF(BA387&gt;0,DP!$BJ$44,0*1)</f>
        <v>0</v>
      </c>
      <c r="BM387" s="475">
        <f t="shared" si="398"/>
        <v>0</v>
      </c>
      <c r="BN387" s="102">
        <f>BA387*DP!$BI$45</f>
        <v>0</v>
      </c>
      <c r="BO387" s="102">
        <f>IF(BA387&gt;0,DP!$BJ$45,0*1)</f>
        <v>0</v>
      </c>
      <c r="BP387" s="475">
        <f t="shared" si="399"/>
        <v>0</v>
      </c>
      <c r="BQ387" s="100"/>
      <c r="BR387" s="100"/>
      <c r="BS387" s="100"/>
      <c r="BT387" s="93">
        <f>IF(AW387=DP!$AN$15,AY387*(1+DP!$AR$15),IF(AW387=DP!$AN$16,AY387*(1+DP!$AR$16),IF(AW387=DP!$AN$17,AY387*(1+DP!$AR$17),IF(AW387=DP!$AN$18,AY387*(1+DP!$AR$18),0*1))))</f>
        <v>0</v>
      </c>
      <c r="BU387" s="102">
        <f>IF(AW387=DP!$AN$22,(DP!$AO$22),IF(AW387=DP!$AN$23,(DP!$AO$23),IF(AW387=DP!$AN$24,(DP!$AO$24),IF(AW387=DP!$AN$25,(DP!$AO$25),((0*1))))))</f>
        <v>0</v>
      </c>
      <c r="BV387" s="93">
        <f t="shared" si="400"/>
        <v>0</v>
      </c>
      <c r="BW387" s="93">
        <f>IF(AW387=DP!$AN$15,AY387*(1+DP!$AR$15),IF(AW387=DP!$AN$16,AY387*(1+DP!$AR$16),IF(AW387=DP!$AN$17,AY387*(1+DP!$AR$17),IF(AW387=DP!$AN$18,AY387*(1+DP!$AR$18),0*1))))</f>
        <v>0</v>
      </c>
      <c r="BX387" s="102">
        <f>IF(AW387=DP!$AN$22,(DP!$AP$22),IF(AW387=DP!$AN$23,(DP!$AP$23),IF(AW387=DP!$AN$24,(DP!$AP$24),IF(AW387=DP!$AN$25,(DP!$AP$25),((0*1))))))</f>
        <v>0</v>
      </c>
      <c r="BY387" s="93">
        <f t="shared" si="401"/>
        <v>0</v>
      </c>
      <c r="BZ387" s="93">
        <f>IF(AW387=DP!$AN$15,(AY387/DP!$AM$15)*(1+DP!$AR$15),IF(AW387=DP!$AN$16,(AY387/DP!$AM$16)*(1+DP!$AR$16),IF(AW387=DP!$AN$17,(AY387/DP!$AM$17)*(1+DP!$AR$17),IF(AW387=DP!$AN$18,(AY387/DP!$AM$18)*(1+DP!$AR$18),0*1))))</f>
        <v>0</v>
      </c>
      <c r="CA387" s="102">
        <f>IF(AW387=DP!$AN$22,(DP!$AQ$22),IF(AW387=DP!$AN$23,(DP!$AQ$23),IF(AW387=DP!$AN$24,(DP!$AQ$24),IF(AW387=DP!$AN$25,(DP!$AQ$25),((0*1))))))</f>
        <v>0</v>
      </c>
      <c r="CB387" s="93">
        <f t="shared" si="402"/>
        <v>0</v>
      </c>
      <c r="CC387" s="93">
        <f>IF(AW387=DP!$AN$15,AY387*(1+DP!$AR$15),IF(AW387=DP!$AN$16,AY387*(1+DP!$AR$16),IF(AW387=DP!$AN$17,AY387*(1+DP!$AR$17),IF(AW387=DP!$AN$18,AY387*(1+DP!$AR$18),0*1))))</f>
        <v>0</v>
      </c>
      <c r="CD387" s="102">
        <f>IF(AW387=DP!$AN$22,(DP!$AR$22),IF(AW387=DP!$AN$23,(DP!$AR$23),IF(AW387=DP!$AN$24,(DP!$AR$24),IF(AW387=DP!$AN$25,(DP!$AR$25),((0*1))))))</f>
        <v>0</v>
      </c>
      <c r="CE387" s="93">
        <f t="shared" si="403"/>
        <v>0</v>
      </c>
      <c r="CF387" s="100"/>
      <c r="CG387" s="149">
        <f t="shared" si="383"/>
        <v>0</v>
      </c>
      <c r="CH387" s="149">
        <f>DP!$N$35*BA387</f>
        <v>0</v>
      </c>
      <c r="CI387" s="149">
        <f>DP!$O$35*BA387</f>
        <v>0</v>
      </c>
      <c r="CJ387" s="149">
        <f>DP!$P$35*BA387</f>
        <v>0</v>
      </c>
    </row>
    <row r="388" spans="2:88" x14ac:dyDescent="0.35">
      <c r="B388" s="480">
        <f>DP!S31</f>
        <v>0</v>
      </c>
      <c r="C388" s="480">
        <f>DP!T31</f>
        <v>0</v>
      </c>
      <c r="D388" s="480">
        <f>DP!U31</f>
        <v>0</v>
      </c>
      <c r="E388" s="480">
        <f>DP!V31</f>
        <v>0</v>
      </c>
      <c r="F388" s="412">
        <f t="shared" si="384"/>
        <v>0</v>
      </c>
      <c r="G388" s="470">
        <f>DP!AH31</f>
        <v>0</v>
      </c>
      <c r="H388" s="98">
        <f t="shared" si="385"/>
        <v>0</v>
      </c>
      <c r="I388" s="97"/>
      <c r="J388" s="102">
        <f t="shared" si="374"/>
        <v>0</v>
      </c>
      <c r="K388" s="98">
        <f t="shared" si="375"/>
        <v>0</v>
      </c>
      <c r="L388" s="93">
        <f t="shared" si="376"/>
        <v>0</v>
      </c>
      <c r="M388" s="99">
        <f t="shared" si="377"/>
        <v>0</v>
      </c>
      <c r="N388" s="100"/>
      <c r="O388" s="102">
        <f>($E388/DP!$P$29)*F388</f>
        <v>0</v>
      </c>
      <c r="P388" s="102">
        <f>IF(O388&gt;0,(DP!$P$31),0*1)</f>
        <v>0</v>
      </c>
      <c r="Q388" s="102">
        <f t="shared" si="386"/>
        <v>0</v>
      </c>
      <c r="R388" s="102">
        <f t="shared" si="387"/>
        <v>0</v>
      </c>
      <c r="S388" s="418">
        <f t="shared" si="388"/>
        <v>0</v>
      </c>
      <c r="T388" s="475">
        <f>H388*DP!$AG$44</f>
        <v>0</v>
      </c>
      <c r="U388" s="475">
        <f>IF(H388&gt;0,DP!$AH$44,0*1)</f>
        <v>0</v>
      </c>
      <c r="V388" s="475">
        <f t="shared" si="389"/>
        <v>0</v>
      </c>
      <c r="W388" s="475">
        <f>H388*DP!$AG$45</f>
        <v>0</v>
      </c>
      <c r="X388" s="475">
        <f>IF(H388&gt;0,DP!$AH$45,0*1)</f>
        <v>0</v>
      </c>
      <c r="Y388" s="475">
        <f t="shared" si="390"/>
        <v>0</v>
      </c>
      <c r="Z388" s="100"/>
      <c r="AA388" s="93">
        <f>IF(D388=DP!$L$15,F388*(1+DP!$P$15),IF(D388=DP!$L$16,F388*(1+DP!$P$16),IF(D388=DP!$L$17,F388*(1+DP!$P$17),IF(D388=DP!$L$18,F388*(1+DP!$P$18),0*1))))</f>
        <v>0</v>
      </c>
      <c r="AB388" s="102">
        <f>IF(D388=DP!$L$22,(DP!$M$22),IF(D388=DP!$L$23,(DP!$M$23),IF(D388=DP!$L$24,(DP!$M$24),IF(D388=DP!$L$25,(DP!$M$25),((0*1))))))</f>
        <v>0</v>
      </c>
      <c r="AC388" s="93">
        <f t="shared" si="391"/>
        <v>0</v>
      </c>
      <c r="AD388" s="93">
        <f>IF(D388=DP!$L$15,F388*(1+DP!$P$15),IF(D388=DP!$L$16,F388*(1+DP!$P$16),IF(D388=DP!$L$17,F388*(1+DP!$P$17),IF(D388=DP!$L$18,F388*(1+DP!$P$18),0*1))))</f>
        <v>0</v>
      </c>
      <c r="AE388" s="102">
        <f>IF(D388=DP!$L$22,(DP!$N$22),IF(D388=DP!$L$23,(DP!$N$23),IF(D388=DP!$L$24,(DP!$N$24),IF(D388=DP!$L$25,(DP!$N$25),((0*1))))))</f>
        <v>0</v>
      </c>
      <c r="AF388" s="93">
        <f t="shared" si="392"/>
        <v>0</v>
      </c>
      <c r="AG388" s="93">
        <f>IF(D388=DP!$L$15,(F388/DP!$K$15)*(1+DP!$P$15),IF(D388=DP!$L$16,(F388/DP!$K$16)*(1+DP!$P$16),IF(D388=DP!$L$17,(F388/DP!$K$17)*(1+DP!$P$17),IF(D388=DP!$L$18,(F388/DP!$K$18)*(1+DP!$P$18),0*1))))</f>
        <v>0</v>
      </c>
      <c r="AH388" s="102">
        <f>IF(D388=DP!$L$22,(DP!$O$22),IF(D388=DP!$L$23,(DP!$O$23),IF(D388=DP!$L$24,(DP!$O$24),IF(D388=DP!$L$25,(DP!$O$25),((0*1))))))</f>
        <v>0</v>
      </c>
      <c r="AI388" s="93">
        <f t="shared" si="393"/>
        <v>0</v>
      </c>
      <c r="AJ388" s="93">
        <f>IF(D388=DP!$L$15,F388*(1+DP!$P$15),IF(D388=DP!$L$16,F388*(1+DP!$P$16),IF(D388=DP!$L$17,F388*(1+DP!$P$17),IF(D388=DP!$L$18,F388*(1+DP!$P$18),0*1))))</f>
        <v>0</v>
      </c>
      <c r="AK388" s="102">
        <f>IF(D388=DP!$L$22,(DP!$P$22),IF(D388=DP!$L$23,(DP!$P$23),IF(D388=DP!$L$24,(DP!$P$24),IF(D388=DP!$L$25,(DP!$P$25),((0*1))))))</f>
        <v>0</v>
      </c>
      <c r="AL388" s="93">
        <f t="shared" si="394"/>
        <v>0</v>
      </c>
      <c r="AM388" s="100"/>
      <c r="AN388" s="149">
        <f t="shared" si="378"/>
        <v>0</v>
      </c>
      <c r="AO388" s="149">
        <f>DP!$N$35*H388</f>
        <v>0</v>
      </c>
      <c r="AP388" s="149">
        <f>DP!$O$35*H388</f>
        <v>0</v>
      </c>
      <c r="AQ388" s="149">
        <f>DP!$P$35*H388</f>
        <v>0</v>
      </c>
      <c r="AV388" s="412">
        <f>DP!AV31</f>
        <v>0</v>
      </c>
      <c r="AW388" s="412">
        <f>DP!AW31</f>
        <v>0</v>
      </c>
      <c r="AX388" s="412">
        <f>DP!AX31</f>
        <v>0</v>
      </c>
      <c r="AY388" s="412">
        <f t="shared" si="395"/>
        <v>0</v>
      </c>
      <c r="AZ388" s="470">
        <f>DP!BJ31</f>
        <v>0</v>
      </c>
      <c r="BA388" s="98">
        <f t="shared" si="396"/>
        <v>0</v>
      </c>
      <c r="BB388" s="97"/>
      <c r="BC388" s="102">
        <f t="shared" si="379"/>
        <v>0</v>
      </c>
      <c r="BD388" s="98">
        <f t="shared" si="380"/>
        <v>0</v>
      </c>
      <c r="BE388" s="93">
        <f t="shared" si="381"/>
        <v>0</v>
      </c>
      <c r="BF388" s="99">
        <f t="shared" si="382"/>
        <v>0</v>
      </c>
      <c r="BG388" s="100"/>
      <c r="BH388" s="102">
        <f>IFERROR((BA388*100%)/DP!$AR$29,(0*1))</f>
        <v>0</v>
      </c>
      <c r="BI388" s="102">
        <f>IF(BH388&gt;0,(DP!$AR$31),0*1)</f>
        <v>0</v>
      </c>
      <c r="BJ388" s="435">
        <f t="shared" si="397"/>
        <v>0</v>
      </c>
      <c r="BK388" s="475">
        <f>BA388*DP!$BI$44</f>
        <v>0</v>
      </c>
      <c r="BL388" s="475">
        <f>IF(BA388&gt;0,DP!$BJ$44,0*1)</f>
        <v>0</v>
      </c>
      <c r="BM388" s="475">
        <f t="shared" si="398"/>
        <v>0</v>
      </c>
      <c r="BN388" s="102">
        <f>BA388*DP!$BI$45</f>
        <v>0</v>
      </c>
      <c r="BO388" s="102">
        <f>IF(BA388&gt;0,DP!$BJ$45,0*1)</f>
        <v>0</v>
      </c>
      <c r="BP388" s="475">
        <f t="shared" si="399"/>
        <v>0</v>
      </c>
      <c r="BQ388" s="100"/>
      <c r="BR388" s="100"/>
      <c r="BS388" s="100"/>
      <c r="BT388" s="93">
        <f>IF(AW388=DP!$AN$15,AY388*(1+DP!$AR$15),IF(AW388=DP!$AN$16,AY388*(1+DP!$AR$16),IF(AW388=DP!$AN$17,AY388*(1+DP!$AR$17),IF(AW388=DP!$AN$18,AY388*(1+DP!$AR$18),0*1))))</f>
        <v>0</v>
      </c>
      <c r="BU388" s="102">
        <f>IF(AW388=DP!$AN$22,(DP!$AO$22),IF(AW388=DP!$AN$23,(DP!$AO$23),IF(AW388=DP!$AN$24,(DP!$AO$24),IF(AW388=DP!$AN$25,(DP!$AO$25),((0*1))))))</f>
        <v>0</v>
      </c>
      <c r="BV388" s="93">
        <f t="shared" si="400"/>
        <v>0</v>
      </c>
      <c r="BW388" s="93">
        <f>IF(AW388=DP!$AN$15,AY388*(1+DP!$AR$15),IF(AW388=DP!$AN$16,AY388*(1+DP!$AR$16),IF(AW388=DP!$AN$17,AY388*(1+DP!$AR$17),IF(AW388=DP!$AN$18,AY388*(1+DP!$AR$18),0*1))))</f>
        <v>0</v>
      </c>
      <c r="BX388" s="102">
        <f>IF(AW388=DP!$AN$22,(DP!$AP$22),IF(AW388=DP!$AN$23,(DP!$AP$23),IF(AW388=DP!$AN$24,(DP!$AP$24),IF(AW388=DP!$AN$25,(DP!$AP$25),((0*1))))))</f>
        <v>0</v>
      </c>
      <c r="BY388" s="93">
        <f t="shared" si="401"/>
        <v>0</v>
      </c>
      <c r="BZ388" s="93">
        <f>IF(AW388=DP!$AN$15,(AY388/DP!$AM$15)*(1+DP!$AR$15),IF(AW388=DP!$AN$16,(AY388/DP!$AM$16)*(1+DP!$AR$16),IF(AW388=DP!$AN$17,(AY388/DP!$AM$17)*(1+DP!$AR$17),IF(AW388=DP!$AN$18,(AY388/DP!$AM$18)*(1+DP!$AR$18),0*1))))</f>
        <v>0</v>
      </c>
      <c r="CA388" s="102">
        <f>IF(AW388=DP!$AN$22,(DP!$AQ$22),IF(AW388=DP!$AN$23,(DP!$AQ$23),IF(AW388=DP!$AN$24,(DP!$AQ$24),IF(AW388=DP!$AN$25,(DP!$AQ$25),((0*1))))))</f>
        <v>0</v>
      </c>
      <c r="CB388" s="93">
        <f t="shared" si="402"/>
        <v>0</v>
      </c>
      <c r="CC388" s="93">
        <f>IF(AW388=DP!$AN$15,AY388*(1+DP!$AR$15),IF(AW388=DP!$AN$16,AY388*(1+DP!$AR$16),IF(AW388=DP!$AN$17,AY388*(1+DP!$AR$17),IF(AW388=DP!$AN$18,AY388*(1+DP!$AR$18),0*1))))</f>
        <v>0</v>
      </c>
      <c r="CD388" s="102">
        <f>IF(AW388=DP!$AN$22,(DP!$AR$22),IF(AW388=DP!$AN$23,(DP!$AR$23),IF(AW388=DP!$AN$24,(DP!$AR$24),IF(AW388=DP!$AN$25,(DP!$AR$25),((0*1))))))</f>
        <v>0</v>
      </c>
      <c r="CE388" s="93">
        <f t="shared" si="403"/>
        <v>0</v>
      </c>
      <c r="CF388" s="100"/>
      <c r="CG388" s="149">
        <f t="shared" si="383"/>
        <v>0</v>
      </c>
      <c r="CH388" s="149">
        <f>DP!$N$35*BA388</f>
        <v>0</v>
      </c>
      <c r="CI388" s="149">
        <f>DP!$O$35*BA388</f>
        <v>0</v>
      </c>
      <c r="CJ388" s="149">
        <f>DP!$P$35*BA388</f>
        <v>0</v>
      </c>
    </row>
    <row r="389" spans="2:88" x14ac:dyDescent="0.35">
      <c r="B389" s="480">
        <f>DP!S32</f>
        <v>0</v>
      </c>
      <c r="C389" s="480">
        <f>DP!T32</f>
        <v>0</v>
      </c>
      <c r="D389" s="480">
        <f>DP!U32</f>
        <v>0</v>
      </c>
      <c r="E389" s="480">
        <f>DP!V32</f>
        <v>0</v>
      </c>
      <c r="F389" s="412">
        <f t="shared" si="384"/>
        <v>0</v>
      </c>
      <c r="G389" s="470">
        <f>DP!AH32</f>
        <v>0</v>
      </c>
      <c r="H389" s="98">
        <f t="shared" si="385"/>
        <v>0</v>
      </c>
      <c r="I389" s="97"/>
      <c r="J389" s="102">
        <f t="shared" si="374"/>
        <v>0</v>
      </c>
      <c r="K389" s="98">
        <f t="shared" si="375"/>
        <v>0</v>
      </c>
      <c r="L389" s="93">
        <f t="shared" si="376"/>
        <v>0</v>
      </c>
      <c r="M389" s="99">
        <f t="shared" si="377"/>
        <v>0</v>
      </c>
      <c r="N389" s="100"/>
      <c r="O389" s="102">
        <f>($E389/DP!$P$29)*F389</f>
        <v>0</v>
      </c>
      <c r="P389" s="102">
        <f>IF(O389&gt;0,(DP!$P$31),0*1)</f>
        <v>0</v>
      </c>
      <c r="Q389" s="102">
        <f t="shared" si="386"/>
        <v>0</v>
      </c>
      <c r="R389" s="102">
        <f t="shared" si="387"/>
        <v>0</v>
      </c>
      <c r="S389" s="418">
        <f t="shared" si="388"/>
        <v>0</v>
      </c>
      <c r="T389" s="475">
        <f>H389*DP!$AG$44</f>
        <v>0</v>
      </c>
      <c r="U389" s="475">
        <f>IF(H389&gt;0,DP!$AH$44,0*1)</f>
        <v>0</v>
      </c>
      <c r="V389" s="475">
        <f t="shared" si="389"/>
        <v>0</v>
      </c>
      <c r="W389" s="475">
        <f>H389*DP!$AG$45</f>
        <v>0</v>
      </c>
      <c r="X389" s="475">
        <f>IF(H389&gt;0,DP!$AH$45,0*1)</f>
        <v>0</v>
      </c>
      <c r="Y389" s="475">
        <f t="shared" si="390"/>
        <v>0</v>
      </c>
      <c r="Z389" s="100"/>
      <c r="AA389" s="93">
        <f>IF(D389=DP!$L$15,F389*(1+DP!$P$15),IF(D389=DP!$L$16,F389*(1+DP!$P$16),IF(D389=DP!$L$17,F389*(1+DP!$P$17),IF(D389=DP!$L$18,F389*(1+DP!$P$18),0*1))))</f>
        <v>0</v>
      </c>
      <c r="AB389" s="102">
        <f>IF(D389=DP!$L$22,(DP!$M$22),IF(D389=DP!$L$23,(DP!$M$23),IF(D389=DP!$L$24,(DP!$M$24),IF(D389=DP!$L$25,(DP!$M$25),((0*1))))))</f>
        <v>0</v>
      </c>
      <c r="AC389" s="93">
        <f t="shared" si="391"/>
        <v>0</v>
      </c>
      <c r="AD389" s="93">
        <f>IF(D389=DP!$L$15,F389*(1+DP!$P$15),IF(D389=DP!$L$16,F389*(1+DP!$P$16),IF(D389=DP!$L$17,F389*(1+DP!$P$17),IF(D389=DP!$L$18,F389*(1+DP!$P$18),0*1))))</f>
        <v>0</v>
      </c>
      <c r="AE389" s="102">
        <f>IF(D389=DP!$L$22,(DP!$N$22),IF(D389=DP!$L$23,(DP!$N$23),IF(D389=DP!$L$24,(DP!$N$24),IF(D389=DP!$L$25,(DP!$N$25),((0*1))))))</f>
        <v>0</v>
      </c>
      <c r="AF389" s="93">
        <f t="shared" si="392"/>
        <v>0</v>
      </c>
      <c r="AG389" s="93">
        <f>IF(D389=DP!$L$15,(F389/DP!$K$15)*(1+DP!$P$15),IF(D389=DP!$L$16,(F389/DP!$K$16)*(1+DP!$P$16),IF(D389=DP!$L$17,(F389/DP!$K$17)*(1+DP!$P$17),IF(D389=DP!$L$18,(F389/DP!$K$18)*(1+DP!$P$18),0*1))))</f>
        <v>0</v>
      </c>
      <c r="AH389" s="102">
        <f>IF(D389=DP!$L$22,(DP!$O$22),IF(D389=DP!$L$23,(DP!$O$23),IF(D389=DP!$L$24,(DP!$O$24),IF(D389=DP!$L$25,(DP!$O$25),((0*1))))))</f>
        <v>0</v>
      </c>
      <c r="AI389" s="93">
        <f t="shared" si="393"/>
        <v>0</v>
      </c>
      <c r="AJ389" s="93">
        <f>IF(D389=DP!$L$15,F389*(1+DP!$P$15),IF(D389=DP!$L$16,F389*(1+DP!$P$16),IF(D389=DP!$L$17,F389*(1+DP!$P$17),IF(D389=DP!$L$18,F389*(1+DP!$P$18),0*1))))</f>
        <v>0</v>
      </c>
      <c r="AK389" s="102">
        <f>IF(D389=DP!$L$22,(DP!$P$22),IF(D389=DP!$L$23,(DP!$P$23),IF(D389=DP!$L$24,(DP!$P$24),IF(D389=DP!$L$25,(DP!$P$25),((0*1))))))</f>
        <v>0</v>
      </c>
      <c r="AL389" s="93">
        <f t="shared" si="394"/>
        <v>0</v>
      </c>
      <c r="AM389" s="100"/>
      <c r="AN389" s="149">
        <f t="shared" si="378"/>
        <v>0</v>
      </c>
      <c r="AO389" s="149">
        <f>DP!$N$35*H389</f>
        <v>0</v>
      </c>
      <c r="AP389" s="149">
        <f>DP!$O$35*H389</f>
        <v>0</v>
      </c>
      <c r="AQ389" s="149">
        <f>DP!$P$35*H389</f>
        <v>0</v>
      </c>
      <c r="AV389" s="412">
        <f>DP!AV32</f>
        <v>0</v>
      </c>
      <c r="AW389" s="412">
        <f>DP!AW32</f>
        <v>0</v>
      </c>
      <c r="AX389" s="412">
        <f>DP!AX32</f>
        <v>0</v>
      </c>
      <c r="AY389" s="412">
        <f t="shared" si="395"/>
        <v>0</v>
      </c>
      <c r="AZ389" s="470">
        <f>DP!BJ32</f>
        <v>0</v>
      </c>
      <c r="BA389" s="98">
        <f t="shared" si="396"/>
        <v>0</v>
      </c>
      <c r="BB389" s="97"/>
      <c r="BC389" s="102">
        <f t="shared" si="379"/>
        <v>0</v>
      </c>
      <c r="BD389" s="98">
        <f t="shared" si="380"/>
        <v>0</v>
      </c>
      <c r="BE389" s="93">
        <f t="shared" si="381"/>
        <v>0</v>
      </c>
      <c r="BF389" s="99">
        <f t="shared" si="382"/>
        <v>0</v>
      </c>
      <c r="BG389" s="100"/>
      <c r="BH389" s="102">
        <f>IFERROR((BA389*100%)/DP!$AR$29,(0*1))</f>
        <v>0</v>
      </c>
      <c r="BI389" s="102">
        <f>IF(BH389&gt;0,(DP!$AR$31),0*1)</f>
        <v>0</v>
      </c>
      <c r="BJ389" s="435">
        <f t="shared" si="397"/>
        <v>0</v>
      </c>
      <c r="BK389" s="475">
        <f>BA389*DP!$BI$44</f>
        <v>0</v>
      </c>
      <c r="BL389" s="475">
        <f>IF(BA389&gt;0,DP!$BJ$44,0*1)</f>
        <v>0</v>
      </c>
      <c r="BM389" s="475">
        <f t="shared" si="398"/>
        <v>0</v>
      </c>
      <c r="BN389" s="102">
        <f>BA389*DP!$BI$45</f>
        <v>0</v>
      </c>
      <c r="BO389" s="102">
        <f>IF(BA389&gt;0,DP!$BJ$45,0*1)</f>
        <v>0</v>
      </c>
      <c r="BP389" s="475">
        <f t="shared" si="399"/>
        <v>0</v>
      </c>
      <c r="BQ389" s="100"/>
      <c r="BR389" s="100"/>
      <c r="BS389" s="100"/>
      <c r="BT389" s="93">
        <f>IF(AW389=DP!$AN$15,AY389*(1+DP!$AR$15),IF(AW389=DP!$AN$16,AY389*(1+DP!$AR$16),IF(AW389=DP!$AN$17,AY389*(1+DP!$AR$17),IF(AW389=DP!$AN$18,AY389*(1+DP!$AR$18),0*1))))</f>
        <v>0</v>
      </c>
      <c r="BU389" s="102">
        <f>IF(AW389=DP!$AN$22,(DP!$AO$22),IF(AW389=DP!$AN$23,(DP!$AO$23),IF(AW389=DP!$AN$24,(DP!$AO$24),IF(AW389=DP!$AN$25,(DP!$AO$25),((0*1))))))</f>
        <v>0</v>
      </c>
      <c r="BV389" s="93">
        <f t="shared" si="400"/>
        <v>0</v>
      </c>
      <c r="BW389" s="93">
        <f>IF(AW389=DP!$AN$15,AY389*(1+DP!$AR$15),IF(AW389=DP!$AN$16,AY389*(1+DP!$AR$16),IF(AW389=DP!$AN$17,AY389*(1+DP!$AR$17),IF(AW389=DP!$AN$18,AY389*(1+DP!$AR$18),0*1))))</f>
        <v>0</v>
      </c>
      <c r="BX389" s="102">
        <f>IF(AW389=DP!$AN$22,(DP!$AP$22),IF(AW389=DP!$AN$23,(DP!$AP$23),IF(AW389=DP!$AN$24,(DP!$AP$24),IF(AW389=DP!$AN$25,(DP!$AP$25),((0*1))))))</f>
        <v>0</v>
      </c>
      <c r="BY389" s="93">
        <f t="shared" si="401"/>
        <v>0</v>
      </c>
      <c r="BZ389" s="93">
        <f>IF(AW389=DP!$AN$15,(AY389/DP!$AM$15)*(1+DP!$AR$15),IF(AW389=DP!$AN$16,(AY389/DP!$AM$16)*(1+DP!$AR$16),IF(AW389=DP!$AN$17,(AY389/DP!$AM$17)*(1+DP!$AR$17),IF(AW389=DP!$AN$18,(AY389/DP!$AM$18)*(1+DP!$AR$18),0*1))))</f>
        <v>0</v>
      </c>
      <c r="CA389" s="102">
        <f>IF(AW389=DP!$AN$22,(DP!$AQ$22),IF(AW389=DP!$AN$23,(DP!$AQ$23),IF(AW389=DP!$AN$24,(DP!$AQ$24),IF(AW389=DP!$AN$25,(DP!$AQ$25),((0*1))))))</f>
        <v>0</v>
      </c>
      <c r="CB389" s="93">
        <f t="shared" si="402"/>
        <v>0</v>
      </c>
      <c r="CC389" s="93">
        <f>IF(AW389=DP!$AN$15,AY389*(1+DP!$AR$15),IF(AW389=DP!$AN$16,AY389*(1+DP!$AR$16),IF(AW389=DP!$AN$17,AY389*(1+DP!$AR$17),IF(AW389=DP!$AN$18,AY389*(1+DP!$AR$18),0*1))))</f>
        <v>0</v>
      </c>
      <c r="CD389" s="102">
        <f>IF(AW389=DP!$AN$22,(DP!$AR$22),IF(AW389=DP!$AN$23,(DP!$AR$23),IF(AW389=DP!$AN$24,(DP!$AR$24),IF(AW389=DP!$AN$25,(DP!$AR$25),((0*1))))))</f>
        <v>0</v>
      </c>
      <c r="CE389" s="93">
        <f t="shared" si="403"/>
        <v>0</v>
      </c>
      <c r="CF389" s="100"/>
      <c r="CG389" s="149">
        <f t="shared" si="383"/>
        <v>0</v>
      </c>
      <c r="CH389" s="149">
        <f>DP!$N$35*BA389</f>
        <v>0</v>
      </c>
      <c r="CI389" s="149">
        <f>DP!$O$35*BA389</f>
        <v>0</v>
      </c>
      <c r="CJ389" s="149">
        <f>DP!$P$35*BA389</f>
        <v>0</v>
      </c>
    </row>
    <row r="390" spans="2:88" x14ac:dyDescent="0.35">
      <c r="B390" s="480">
        <f>DP!S33</f>
        <v>0</v>
      </c>
      <c r="C390" s="480">
        <f>DP!T33</f>
        <v>0</v>
      </c>
      <c r="D390" s="480">
        <f>DP!U33</f>
        <v>0</v>
      </c>
      <c r="E390" s="480">
        <f>DP!V33</f>
        <v>0</v>
      </c>
      <c r="F390" s="412">
        <f t="shared" si="384"/>
        <v>0</v>
      </c>
      <c r="G390" s="470">
        <f>DP!AH33</f>
        <v>0</v>
      </c>
      <c r="H390" s="98">
        <f t="shared" si="385"/>
        <v>0</v>
      </c>
      <c r="I390" s="97"/>
      <c r="J390" s="102">
        <f t="shared" si="374"/>
        <v>0</v>
      </c>
      <c r="K390" s="98">
        <f t="shared" si="375"/>
        <v>0</v>
      </c>
      <c r="L390" s="93">
        <f t="shared" si="376"/>
        <v>0</v>
      </c>
      <c r="M390" s="99">
        <f t="shared" si="377"/>
        <v>0</v>
      </c>
      <c r="N390" s="100"/>
      <c r="O390" s="102">
        <f>($E390/DP!$P$29)*F390</f>
        <v>0</v>
      </c>
      <c r="P390" s="102">
        <f>IF(O390&gt;0,(DP!$P$31),0*1)</f>
        <v>0</v>
      </c>
      <c r="Q390" s="102">
        <f t="shared" si="386"/>
        <v>0</v>
      </c>
      <c r="R390" s="102">
        <f t="shared" si="387"/>
        <v>0</v>
      </c>
      <c r="S390" s="418">
        <f t="shared" si="388"/>
        <v>0</v>
      </c>
      <c r="T390" s="475">
        <f>H390*DP!$AG$44</f>
        <v>0</v>
      </c>
      <c r="U390" s="475">
        <f>IF(H390&gt;0,DP!$AH$44,0*1)</f>
        <v>0</v>
      </c>
      <c r="V390" s="475">
        <f t="shared" si="389"/>
        <v>0</v>
      </c>
      <c r="W390" s="475">
        <f>H390*DP!$AG$45</f>
        <v>0</v>
      </c>
      <c r="X390" s="475">
        <f>IF(H390&gt;0,DP!$AH$45,0*1)</f>
        <v>0</v>
      </c>
      <c r="Y390" s="475">
        <f t="shared" si="390"/>
        <v>0</v>
      </c>
      <c r="Z390" s="100"/>
      <c r="AA390" s="93">
        <f>IF(D390=DP!$L$15,F390*(1+DP!$P$15),IF(D390=DP!$L$16,F390*(1+DP!$P$16),IF(D390=DP!$L$17,F390*(1+DP!$P$17),IF(D390=DP!$L$18,F390*(1+DP!$P$18),0*1))))</f>
        <v>0</v>
      </c>
      <c r="AB390" s="102">
        <f>IF(D390=DP!$L$22,(DP!$M$22),IF(D390=DP!$L$23,(DP!$M$23),IF(D390=DP!$L$24,(DP!$M$24),IF(D390=DP!$L$25,(DP!$M$25),((0*1))))))</f>
        <v>0</v>
      </c>
      <c r="AC390" s="93">
        <f t="shared" si="391"/>
        <v>0</v>
      </c>
      <c r="AD390" s="93">
        <f>IF(D390=DP!$L$15,F390*(1+DP!$P$15),IF(D390=DP!$L$16,F390*(1+DP!$P$16),IF(D390=DP!$L$17,F390*(1+DP!$P$17),IF(D390=DP!$L$18,F390*(1+DP!$P$18),0*1))))</f>
        <v>0</v>
      </c>
      <c r="AE390" s="102">
        <f>IF(D390=DP!$L$22,(DP!$N$22),IF(D390=DP!$L$23,(DP!$N$23),IF(D390=DP!$L$24,(DP!$N$24),IF(D390=DP!$L$25,(DP!$N$25),((0*1))))))</f>
        <v>0</v>
      </c>
      <c r="AF390" s="93">
        <f t="shared" si="392"/>
        <v>0</v>
      </c>
      <c r="AG390" s="93">
        <f>IF(D390=DP!$L$15,(F390/DP!$K$15)*(1+DP!$P$15),IF(D390=DP!$L$16,(F390/DP!$K$16)*(1+DP!$P$16),IF(D390=DP!$L$17,(F390/DP!$K$17)*(1+DP!$P$17),IF(D390=DP!$L$18,(F390/DP!$K$18)*(1+DP!$P$18),0*1))))</f>
        <v>0</v>
      </c>
      <c r="AH390" s="102">
        <f>IF(D390=DP!$L$22,(DP!$O$22),IF(D390=DP!$L$23,(DP!$O$23),IF(D390=DP!$L$24,(DP!$O$24),IF(D390=DP!$L$25,(DP!$O$25),((0*1))))))</f>
        <v>0</v>
      </c>
      <c r="AI390" s="93">
        <f t="shared" si="393"/>
        <v>0</v>
      </c>
      <c r="AJ390" s="93">
        <f>IF(D390=DP!$L$15,F390*(1+DP!$P$15),IF(D390=DP!$L$16,F390*(1+DP!$P$16),IF(D390=DP!$L$17,F390*(1+DP!$P$17),IF(D390=DP!$L$18,F390*(1+DP!$P$18),0*1))))</f>
        <v>0</v>
      </c>
      <c r="AK390" s="102">
        <f>IF(D390=DP!$L$22,(DP!$P$22),IF(D390=DP!$L$23,(DP!$P$23),IF(D390=DP!$L$24,(DP!$P$24),IF(D390=DP!$L$25,(DP!$P$25),((0*1))))))</f>
        <v>0</v>
      </c>
      <c r="AL390" s="93">
        <f t="shared" si="394"/>
        <v>0</v>
      </c>
      <c r="AM390" s="100"/>
      <c r="AN390" s="149">
        <f t="shared" si="378"/>
        <v>0</v>
      </c>
      <c r="AO390" s="149">
        <f>DP!$N$35*H390</f>
        <v>0</v>
      </c>
      <c r="AP390" s="149">
        <f>DP!$O$35*H390</f>
        <v>0</v>
      </c>
      <c r="AQ390" s="149">
        <f>DP!$P$35*H390</f>
        <v>0</v>
      </c>
      <c r="AV390" s="412">
        <f>DP!AV33</f>
        <v>0</v>
      </c>
      <c r="AW390" s="412">
        <f>DP!AW33</f>
        <v>0</v>
      </c>
      <c r="AX390" s="412">
        <f>DP!AX33</f>
        <v>0</v>
      </c>
      <c r="AY390" s="412">
        <f t="shared" si="395"/>
        <v>0</v>
      </c>
      <c r="AZ390" s="470">
        <f>DP!BJ33</f>
        <v>0</v>
      </c>
      <c r="BA390" s="98">
        <f t="shared" si="396"/>
        <v>0</v>
      </c>
      <c r="BB390" s="97"/>
      <c r="BC390" s="102">
        <f t="shared" si="379"/>
        <v>0</v>
      </c>
      <c r="BD390" s="98">
        <f t="shared" si="380"/>
        <v>0</v>
      </c>
      <c r="BE390" s="93">
        <f t="shared" si="381"/>
        <v>0</v>
      </c>
      <c r="BF390" s="99">
        <f t="shared" si="382"/>
        <v>0</v>
      </c>
      <c r="BG390" s="100"/>
      <c r="BH390" s="102">
        <f>IFERROR((BA390*100%)/DP!$AR$29,(0*1))</f>
        <v>0</v>
      </c>
      <c r="BI390" s="102">
        <f>IF(BH390&gt;0,(DP!$AR$31),0*1)</f>
        <v>0</v>
      </c>
      <c r="BJ390" s="435">
        <f t="shared" si="397"/>
        <v>0</v>
      </c>
      <c r="BK390" s="475">
        <f>BA390*DP!$BI$44</f>
        <v>0</v>
      </c>
      <c r="BL390" s="475">
        <f>IF(BA390&gt;0,DP!$BJ$44,0*1)</f>
        <v>0</v>
      </c>
      <c r="BM390" s="475">
        <f t="shared" si="398"/>
        <v>0</v>
      </c>
      <c r="BN390" s="102">
        <f>BA390*DP!$BI$45</f>
        <v>0</v>
      </c>
      <c r="BO390" s="102">
        <f>IF(BA390&gt;0,DP!$BJ$45,0*1)</f>
        <v>0</v>
      </c>
      <c r="BP390" s="475">
        <f t="shared" si="399"/>
        <v>0</v>
      </c>
      <c r="BQ390" s="100"/>
      <c r="BR390" s="100"/>
      <c r="BS390" s="100"/>
      <c r="BT390" s="93">
        <f>IF(AW390=DP!$AN$15,AY390*(1+DP!$AR$15),IF(AW390=DP!$AN$16,AY390*(1+DP!$AR$16),IF(AW390=DP!$AN$17,AY390*(1+DP!$AR$17),IF(AW390=DP!$AN$18,AY390*(1+DP!$AR$18),0*1))))</f>
        <v>0</v>
      </c>
      <c r="BU390" s="102">
        <f>IF(AW390=DP!$AN$22,(DP!$AO$22),IF(AW390=DP!$AN$23,(DP!$AO$23),IF(AW390=DP!$AN$24,(DP!$AO$24),IF(AW390=DP!$AN$25,(DP!$AO$25),((0*1))))))</f>
        <v>0</v>
      </c>
      <c r="BV390" s="93">
        <f t="shared" si="400"/>
        <v>0</v>
      </c>
      <c r="BW390" s="93">
        <f>IF(AW390=DP!$AN$15,AY390*(1+DP!$AR$15),IF(AW390=DP!$AN$16,AY390*(1+DP!$AR$16),IF(AW390=DP!$AN$17,AY390*(1+DP!$AR$17),IF(AW390=DP!$AN$18,AY390*(1+DP!$AR$18),0*1))))</f>
        <v>0</v>
      </c>
      <c r="BX390" s="102">
        <f>IF(AW390=DP!$AN$22,(DP!$AP$22),IF(AW390=DP!$AN$23,(DP!$AP$23),IF(AW390=DP!$AN$24,(DP!$AP$24),IF(AW390=DP!$AN$25,(DP!$AP$25),((0*1))))))</f>
        <v>0</v>
      </c>
      <c r="BY390" s="93">
        <f t="shared" si="401"/>
        <v>0</v>
      </c>
      <c r="BZ390" s="93">
        <f>IF(AW390=DP!$AN$15,(AY390/DP!$AM$15)*(1+DP!$AR$15),IF(AW390=DP!$AN$16,(AY390/DP!$AM$16)*(1+DP!$AR$16),IF(AW390=DP!$AN$17,(AY390/DP!$AM$17)*(1+DP!$AR$17),IF(AW390=DP!$AN$18,(AY390/DP!$AM$18)*(1+DP!$AR$18),0*1))))</f>
        <v>0</v>
      </c>
      <c r="CA390" s="102">
        <f>IF(AW390=DP!$AN$22,(DP!$AQ$22),IF(AW390=DP!$AN$23,(DP!$AQ$23),IF(AW390=DP!$AN$24,(DP!$AQ$24),IF(AW390=DP!$AN$25,(DP!$AQ$25),((0*1))))))</f>
        <v>0</v>
      </c>
      <c r="CB390" s="93">
        <f t="shared" si="402"/>
        <v>0</v>
      </c>
      <c r="CC390" s="93">
        <f>IF(AW390=DP!$AN$15,AY390*(1+DP!$AR$15),IF(AW390=DP!$AN$16,AY390*(1+DP!$AR$16),IF(AW390=DP!$AN$17,AY390*(1+DP!$AR$17),IF(AW390=DP!$AN$18,AY390*(1+DP!$AR$18),0*1))))</f>
        <v>0</v>
      </c>
      <c r="CD390" s="102">
        <f>IF(AW390=DP!$AN$22,(DP!$AR$22),IF(AW390=DP!$AN$23,(DP!$AR$23),IF(AW390=DP!$AN$24,(DP!$AR$24),IF(AW390=DP!$AN$25,(DP!$AR$25),((0*1))))))</f>
        <v>0</v>
      </c>
      <c r="CE390" s="93">
        <f t="shared" si="403"/>
        <v>0</v>
      </c>
      <c r="CF390" s="100"/>
      <c r="CG390" s="149">
        <f t="shared" si="383"/>
        <v>0</v>
      </c>
      <c r="CH390" s="149">
        <f>DP!$N$35*BA390</f>
        <v>0</v>
      </c>
      <c r="CI390" s="149">
        <f>DP!$O$35*BA390</f>
        <v>0</v>
      </c>
      <c r="CJ390" s="149">
        <f>DP!$P$35*BA390</f>
        <v>0</v>
      </c>
    </row>
    <row r="391" spans="2:88" x14ac:dyDescent="0.35">
      <c r="B391" s="480">
        <f>DP!S34</f>
        <v>0</v>
      </c>
      <c r="C391" s="480">
        <f>DP!T34</f>
        <v>0</v>
      </c>
      <c r="D391" s="480">
        <f>DP!U34</f>
        <v>0</v>
      </c>
      <c r="E391" s="480">
        <f>DP!V34</f>
        <v>0</v>
      </c>
      <c r="F391" s="412">
        <f t="shared" si="384"/>
        <v>0</v>
      </c>
      <c r="G391" s="470">
        <f>DP!AH34</f>
        <v>0</v>
      </c>
      <c r="H391" s="98">
        <f t="shared" si="385"/>
        <v>0</v>
      </c>
      <c r="I391" s="97"/>
      <c r="J391" s="102">
        <f t="shared" si="374"/>
        <v>0</v>
      </c>
      <c r="K391" s="98">
        <f t="shared" si="375"/>
        <v>0</v>
      </c>
      <c r="L391" s="93">
        <f t="shared" si="376"/>
        <v>0</v>
      </c>
      <c r="M391" s="99">
        <f t="shared" si="377"/>
        <v>0</v>
      </c>
      <c r="N391" s="100"/>
      <c r="O391" s="102">
        <f>($E391/DP!$P$29)*F391</f>
        <v>0</v>
      </c>
      <c r="P391" s="102">
        <f>IF(O391&gt;0,(DP!$P$31),0*1)</f>
        <v>0</v>
      </c>
      <c r="Q391" s="102">
        <f t="shared" si="386"/>
        <v>0</v>
      </c>
      <c r="R391" s="102">
        <f t="shared" si="387"/>
        <v>0</v>
      </c>
      <c r="S391" s="418">
        <f t="shared" si="388"/>
        <v>0</v>
      </c>
      <c r="T391" s="475">
        <f>H391*DP!$AG$44</f>
        <v>0</v>
      </c>
      <c r="U391" s="475">
        <f>IF(H391&gt;0,DP!$AH$44,0*1)</f>
        <v>0</v>
      </c>
      <c r="V391" s="475">
        <f t="shared" si="389"/>
        <v>0</v>
      </c>
      <c r="W391" s="475">
        <f>H391*DP!$AG$45</f>
        <v>0</v>
      </c>
      <c r="X391" s="475">
        <f>IF(H391&gt;0,DP!$AH$45,0*1)</f>
        <v>0</v>
      </c>
      <c r="Y391" s="475">
        <f t="shared" si="390"/>
        <v>0</v>
      </c>
      <c r="Z391" s="100"/>
      <c r="AA391" s="93">
        <f>IF(D391=DP!$L$15,F391*(1+DP!$P$15),IF(D391=DP!$L$16,F391*(1+DP!$P$16),IF(D391=DP!$L$17,F391*(1+DP!$P$17),IF(D391=DP!$L$18,F391*(1+DP!$P$18),0*1))))</f>
        <v>0</v>
      </c>
      <c r="AB391" s="102">
        <f>IF(D391=DP!$L$22,(DP!$M$22),IF(D391=DP!$L$23,(DP!$M$23),IF(D391=DP!$L$24,(DP!$M$24),IF(D391=DP!$L$25,(DP!$M$25),((0*1))))))</f>
        <v>0</v>
      </c>
      <c r="AC391" s="93">
        <f t="shared" si="391"/>
        <v>0</v>
      </c>
      <c r="AD391" s="93">
        <f>IF(D391=DP!$L$15,F391*(1+DP!$P$15),IF(D391=DP!$L$16,F391*(1+DP!$P$16),IF(D391=DP!$L$17,F391*(1+DP!$P$17),IF(D391=DP!$L$18,F391*(1+DP!$P$18),0*1))))</f>
        <v>0</v>
      </c>
      <c r="AE391" s="102">
        <f>IF(D391=DP!$L$22,(DP!$N$22),IF(D391=DP!$L$23,(DP!$N$23),IF(D391=DP!$L$24,(DP!$N$24),IF(D391=DP!$L$25,(DP!$N$25),((0*1))))))</f>
        <v>0</v>
      </c>
      <c r="AF391" s="93">
        <f t="shared" si="392"/>
        <v>0</v>
      </c>
      <c r="AG391" s="93">
        <f>IF(D391=DP!$L$15,(F391/DP!$K$15)*(1+DP!$P$15),IF(D391=DP!$L$16,(F391/DP!$K$16)*(1+DP!$P$16),IF(D391=DP!$L$17,(F391/DP!$K$17)*(1+DP!$P$17),IF(D391=DP!$L$18,(F391/DP!$K$18)*(1+DP!$P$18),0*1))))</f>
        <v>0</v>
      </c>
      <c r="AH391" s="102">
        <f>IF(D391=DP!$L$22,(DP!$O$22),IF(D391=DP!$L$23,(DP!$O$23),IF(D391=DP!$L$24,(DP!$O$24),IF(D391=DP!$L$25,(DP!$O$25),((0*1))))))</f>
        <v>0</v>
      </c>
      <c r="AI391" s="93">
        <f t="shared" si="393"/>
        <v>0</v>
      </c>
      <c r="AJ391" s="93">
        <f>IF(D391=DP!$L$15,F391*(1+DP!$P$15),IF(D391=DP!$L$16,F391*(1+DP!$P$16),IF(D391=DP!$L$17,F391*(1+DP!$P$17),IF(D391=DP!$L$18,F391*(1+DP!$P$18),0*1))))</f>
        <v>0</v>
      </c>
      <c r="AK391" s="102">
        <f>IF(D391=DP!$L$22,(DP!$P$22),IF(D391=DP!$L$23,(DP!$P$23),IF(D391=DP!$L$24,(DP!$P$24),IF(D391=DP!$L$25,(DP!$P$25),((0*1))))))</f>
        <v>0</v>
      </c>
      <c r="AL391" s="93">
        <f t="shared" si="394"/>
        <v>0</v>
      </c>
      <c r="AM391" s="100"/>
      <c r="AN391" s="149">
        <f t="shared" si="378"/>
        <v>0</v>
      </c>
      <c r="AO391" s="149">
        <f>DP!$N$35*H391</f>
        <v>0</v>
      </c>
      <c r="AP391" s="149">
        <f>DP!$O$35*H391</f>
        <v>0</v>
      </c>
      <c r="AQ391" s="149">
        <f>DP!$P$35*H391</f>
        <v>0</v>
      </c>
      <c r="AV391" s="412">
        <f>DP!AV34</f>
        <v>0</v>
      </c>
      <c r="AW391" s="412">
        <f>DP!AW34</f>
        <v>0</v>
      </c>
      <c r="AX391" s="412">
        <f>DP!AX34</f>
        <v>0</v>
      </c>
      <c r="AY391" s="412">
        <f t="shared" si="395"/>
        <v>0</v>
      </c>
      <c r="AZ391" s="470">
        <f>DP!BJ34</f>
        <v>0</v>
      </c>
      <c r="BA391" s="98">
        <f t="shared" si="396"/>
        <v>0</v>
      </c>
      <c r="BB391" s="97"/>
      <c r="BC391" s="102">
        <f t="shared" si="379"/>
        <v>0</v>
      </c>
      <c r="BD391" s="98">
        <f t="shared" si="380"/>
        <v>0</v>
      </c>
      <c r="BE391" s="93">
        <f t="shared" si="381"/>
        <v>0</v>
      </c>
      <c r="BF391" s="99">
        <f t="shared" si="382"/>
        <v>0</v>
      </c>
      <c r="BG391" s="100"/>
      <c r="BH391" s="102">
        <f>IFERROR((BA391*100%)/DP!$AR$29,(0*1))</f>
        <v>0</v>
      </c>
      <c r="BI391" s="102">
        <f>IF(BH391&gt;0,(DP!$AR$31),0*1)</f>
        <v>0</v>
      </c>
      <c r="BJ391" s="435">
        <f>BH391*BI391</f>
        <v>0</v>
      </c>
      <c r="BK391" s="475">
        <f>BA391*DP!$BI$44</f>
        <v>0</v>
      </c>
      <c r="BL391" s="475">
        <f>IF(BA391&gt;0,DP!$BJ$44,0*1)</f>
        <v>0</v>
      </c>
      <c r="BM391" s="475">
        <f t="shared" si="398"/>
        <v>0</v>
      </c>
      <c r="BN391" s="102">
        <f>BA391*DP!$BI$45</f>
        <v>0</v>
      </c>
      <c r="BO391" s="102">
        <f>IF(BA391&gt;0,DP!$BJ$45,0*1)</f>
        <v>0</v>
      </c>
      <c r="BP391" s="475">
        <f t="shared" si="399"/>
        <v>0</v>
      </c>
      <c r="BQ391" s="100"/>
      <c r="BR391" s="100"/>
      <c r="BS391" s="100"/>
      <c r="BT391" s="93">
        <f>IF(AW391=DP!$AN$15,AY391*(1+DP!$AR$15),IF(AW391=DP!$AN$16,AY391*(1+DP!$AR$16),IF(AW391=DP!$AN$17,AY391*(1+DP!$AR$17),IF(AW391=DP!$AN$18,AY391*(1+DP!$AR$18),0*1))))</f>
        <v>0</v>
      </c>
      <c r="BU391" s="102">
        <f>IF(AW391=DP!$AN$22,(DP!$AO$22),IF(AW391=DP!$AN$23,(DP!$AO$23),IF(AW391=DP!$AN$24,(DP!$AO$24),IF(AW391=DP!$AN$25,(DP!$AO$25),((0*1))))))</f>
        <v>0</v>
      </c>
      <c r="BV391" s="93">
        <f t="shared" si="400"/>
        <v>0</v>
      </c>
      <c r="BW391" s="93">
        <f>IF(AW391=DP!$AN$15,AY391*(1+DP!$AR$15),IF(AW391=DP!$AN$16,AY391*(1+DP!$AR$16),IF(AW391=DP!$AN$17,AY391*(1+DP!$AR$17),IF(AW391=DP!$AN$18,AY391*(1+DP!$AR$18),0*1))))</f>
        <v>0</v>
      </c>
      <c r="BX391" s="102">
        <f>IF(AW391=DP!$AN$22,(DP!$AP$22),IF(AW391=DP!$AN$23,(DP!$AP$23),IF(AW391=DP!$AN$24,(DP!$AP$24),IF(AW391=DP!$AN$25,(DP!$AP$25),((0*1))))))</f>
        <v>0</v>
      </c>
      <c r="BY391" s="93">
        <f t="shared" si="401"/>
        <v>0</v>
      </c>
      <c r="BZ391" s="93">
        <f>IF(AW391=DP!$AN$15,(AY391/DP!$AM$15)*(1+DP!$AR$15),IF(AW391=DP!$AN$16,(AY391/DP!$AM$16)*(1+DP!$AR$16),IF(AW391=DP!$AN$17,(AY391/DP!$AM$17)*(1+DP!$AR$17),IF(AW391=DP!$AN$18,(AY391/DP!$AM$18)*(1+DP!$AR$18),0*1))))</f>
        <v>0</v>
      </c>
      <c r="CA391" s="102">
        <f>IF(AW391=DP!$AN$22,(DP!$AQ$22),IF(AW391=DP!$AN$23,(DP!$AQ$23),IF(AW391=DP!$AN$24,(DP!$AQ$24),IF(AW391=DP!$AN$25,(DP!$AQ$25),((0*1))))))</f>
        <v>0</v>
      </c>
      <c r="CB391" s="93">
        <f t="shared" si="402"/>
        <v>0</v>
      </c>
      <c r="CC391" s="93">
        <f>IF(AW391=DP!$AN$15,AY391*(1+DP!$AR$15),IF(AW391=DP!$AN$16,AY391*(1+DP!$AR$16),IF(AW391=DP!$AN$17,AY391*(1+DP!$AR$17),IF(AW391=DP!$AN$18,AY391*(1+DP!$AR$18),0*1))))</f>
        <v>0</v>
      </c>
      <c r="CD391" s="102">
        <f>IF(AW391=DP!$AN$22,(DP!$AR$22),IF(AW391=DP!$AN$23,(DP!$AR$23),IF(AW391=DP!$AN$24,(DP!$AR$24),IF(AW391=DP!$AN$25,(DP!$AR$25),((0*1))))))</f>
        <v>0</v>
      </c>
      <c r="CE391" s="93">
        <f t="shared" si="403"/>
        <v>0</v>
      </c>
      <c r="CF391" s="100"/>
      <c r="CG391" s="149">
        <f t="shared" si="383"/>
        <v>0</v>
      </c>
      <c r="CH391" s="149">
        <f>DP!$N$35*BA391</f>
        <v>0</v>
      </c>
      <c r="CI391" s="149">
        <f>DP!$O$35*BA391</f>
        <v>0</v>
      </c>
      <c r="CJ391" s="149">
        <f>DP!$P$35*BA391</f>
        <v>0</v>
      </c>
    </row>
    <row r="392" spans="2:88" x14ac:dyDescent="0.35">
      <c r="B392" s="480">
        <f>DP!S35</f>
        <v>0</v>
      </c>
      <c r="C392" s="480">
        <f>DP!T35</f>
        <v>0</v>
      </c>
      <c r="D392" s="480">
        <f>DP!U35</f>
        <v>0</v>
      </c>
      <c r="E392" s="480">
        <f>DP!V35</f>
        <v>0</v>
      </c>
      <c r="F392" s="412">
        <f t="shared" si="384"/>
        <v>0</v>
      </c>
      <c r="G392" s="470">
        <f>DP!AH35</f>
        <v>0</v>
      </c>
      <c r="H392" s="98">
        <f t="shared" si="385"/>
        <v>0</v>
      </c>
      <c r="I392" s="97"/>
      <c r="J392" s="102">
        <f t="shared" si="374"/>
        <v>0</v>
      </c>
      <c r="K392" s="98">
        <f t="shared" si="375"/>
        <v>0</v>
      </c>
      <c r="L392" s="93">
        <f t="shared" si="376"/>
        <v>0</v>
      </c>
      <c r="M392" s="99">
        <f t="shared" si="377"/>
        <v>0</v>
      </c>
      <c r="N392" s="100"/>
      <c r="O392" s="102">
        <f>($E392/DP!$P$29)*F392</f>
        <v>0</v>
      </c>
      <c r="P392" s="102">
        <f>IF(O392&gt;0,(DP!$P$31),0*1)</f>
        <v>0</v>
      </c>
      <c r="Q392" s="102">
        <f t="shared" si="386"/>
        <v>0</v>
      </c>
      <c r="R392" s="102">
        <f t="shared" si="387"/>
        <v>0</v>
      </c>
      <c r="S392" s="418">
        <f t="shared" si="388"/>
        <v>0</v>
      </c>
      <c r="T392" s="475">
        <f>H392*DP!$AG$44</f>
        <v>0</v>
      </c>
      <c r="U392" s="475">
        <f>IF(H392&gt;0,DP!$AH$44,0*1)</f>
        <v>0</v>
      </c>
      <c r="V392" s="475">
        <f t="shared" si="389"/>
        <v>0</v>
      </c>
      <c r="W392" s="475">
        <f>H392*DP!$AG$45</f>
        <v>0</v>
      </c>
      <c r="X392" s="475">
        <f>IF(H392&gt;0,DP!$AH$45,0*1)</f>
        <v>0</v>
      </c>
      <c r="Y392" s="475">
        <f t="shared" si="390"/>
        <v>0</v>
      </c>
      <c r="Z392" s="100"/>
      <c r="AA392" s="93">
        <f>IF(D392=DP!$L$15,F392*(1+DP!$P$15),IF(D392=DP!$L$16,F392*(1+DP!$P$16),IF(D392=DP!$L$17,F392*(1+DP!$P$17),IF(D392=DP!$L$18,F392*(1+DP!$P$18),0*1))))</f>
        <v>0</v>
      </c>
      <c r="AB392" s="102">
        <f>IF(D392=DP!$L$22,(DP!$M$22),IF(D392=DP!$L$23,(DP!$M$23),IF(D392=DP!$L$24,(DP!$M$24),IF(D392=DP!$L$25,(DP!$M$25),((0*1))))))</f>
        <v>0</v>
      </c>
      <c r="AC392" s="93">
        <f t="shared" si="391"/>
        <v>0</v>
      </c>
      <c r="AD392" s="93">
        <f>IF(D392=DP!$L$15,F392*(1+DP!$P$15),IF(D392=DP!$L$16,F392*(1+DP!$P$16),IF(D392=DP!$L$17,F392*(1+DP!$P$17),IF(D392=DP!$L$18,F392*(1+DP!$P$18),0*1))))</f>
        <v>0</v>
      </c>
      <c r="AE392" s="102">
        <f>IF(D392=DP!$L$22,(DP!$N$22),IF(D392=DP!$L$23,(DP!$N$23),IF(D392=DP!$L$24,(DP!$N$24),IF(D392=DP!$L$25,(DP!$N$25),((0*1))))))</f>
        <v>0</v>
      </c>
      <c r="AF392" s="93">
        <f t="shared" si="392"/>
        <v>0</v>
      </c>
      <c r="AG392" s="93">
        <f>IF(D392=DP!$L$15,(F392/DP!$K$15)*(1+DP!$P$15),IF(D392=DP!$L$16,(F392/DP!$K$16)*(1+DP!$P$16),IF(D392=DP!$L$17,(F392/DP!$K$17)*(1+DP!$P$17),IF(D392=DP!$L$18,(F392/DP!$K$18)*(1+DP!$P$18),0*1))))</f>
        <v>0</v>
      </c>
      <c r="AH392" s="102">
        <f>IF(D392=DP!$L$22,(DP!$O$22),IF(D392=DP!$L$23,(DP!$O$23),IF(D392=DP!$L$24,(DP!$O$24),IF(D392=DP!$L$25,(DP!$O$25),((0*1))))))</f>
        <v>0</v>
      </c>
      <c r="AI392" s="93">
        <f t="shared" si="393"/>
        <v>0</v>
      </c>
      <c r="AJ392" s="93">
        <f>IF(D392=DP!$L$15,F392*(1+DP!$P$15),IF(D392=DP!$L$16,F392*(1+DP!$P$16),IF(D392=DP!$L$17,F392*(1+DP!$P$17),IF(D392=DP!$L$18,F392*(1+DP!$P$18),0*1))))</f>
        <v>0</v>
      </c>
      <c r="AK392" s="102">
        <f>IF(D392=DP!$L$22,(DP!$P$22),IF(D392=DP!$L$23,(DP!$P$23),IF(D392=DP!$L$24,(DP!$P$24),IF(D392=DP!$L$25,(DP!$P$25),((0*1))))))</f>
        <v>0</v>
      </c>
      <c r="AL392" s="93">
        <f t="shared" si="394"/>
        <v>0</v>
      </c>
      <c r="AM392" s="100"/>
      <c r="AN392" s="149">
        <f t="shared" si="378"/>
        <v>0</v>
      </c>
      <c r="AO392" s="149">
        <f>DP!$N$35*H392</f>
        <v>0</v>
      </c>
      <c r="AP392" s="149">
        <f>DP!$O$35*H392</f>
        <v>0</v>
      </c>
      <c r="AQ392" s="149">
        <f>DP!$P$35*H392</f>
        <v>0</v>
      </c>
      <c r="AV392" s="412">
        <f>DP!AV35</f>
        <v>0</v>
      </c>
      <c r="AW392" s="412">
        <f>DP!AW35</f>
        <v>0</v>
      </c>
      <c r="AX392" s="412">
        <f>DP!AX35</f>
        <v>0</v>
      </c>
      <c r="AY392" s="412">
        <f t="shared" si="395"/>
        <v>0</v>
      </c>
      <c r="AZ392" s="470">
        <f>DP!BJ35</f>
        <v>0</v>
      </c>
      <c r="BA392" s="98">
        <f t="shared" si="396"/>
        <v>0</v>
      </c>
      <c r="BB392" s="97"/>
      <c r="BC392" s="102">
        <f t="shared" si="379"/>
        <v>0</v>
      </c>
      <c r="BD392" s="98">
        <f t="shared" si="380"/>
        <v>0</v>
      </c>
      <c r="BE392" s="93">
        <f t="shared" si="381"/>
        <v>0</v>
      </c>
      <c r="BF392" s="99">
        <f t="shared" si="382"/>
        <v>0</v>
      </c>
      <c r="BG392" s="100"/>
      <c r="BH392" s="102">
        <f>IFERROR((BA392*100%)/DP!$AR$29,(0*1))</f>
        <v>0</v>
      </c>
      <c r="BI392" s="102">
        <f>IF(BH392&gt;0,(DP!$AR$31),0*1)</f>
        <v>0</v>
      </c>
      <c r="BJ392" s="435">
        <f t="shared" ref="BJ392:BJ393" si="404">BH392*BI392</f>
        <v>0</v>
      </c>
      <c r="BK392" s="475">
        <f>BA392*DP!$BI$44</f>
        <v>0</v>
      </c>
      <c r="BL392" s="475">
        <f>IF(BA392&gt;0,DP!$BJ$44,0*1)</f>
        <v>0</v>
      </c>
      <c r="BM392" s="475">
        <f t="shared" si="398"/>
        <v>0</v>
      </c>
      <c r="BN392" s="102">
        <f>BA392*DP!$BI$45</f>
        <v>0</v>
      </c>
      <c r="BO392" s="102">
        <f>IF(BA392&gt;0,DP!$BJ$45,0*1)</f>
        <v>0</v>
      </c>
      <c r="BP392" s="475">
        <f t="shared" si="399"/>
        <v>0</v>
      </c>
      <c r="BQ392" s="100"/>
      <c r="BR392" s="100"/>
      <c r="BS392" s="100"/>
      <c r="BT392" s="93">
        <f>IF(AW392=DP!$AN$15,AY392*(1+DP!$AR$15),IF(AW392=DP!$AN$16,AY392*(1+DP!$AR$16),IF(AW392=DP!$AN$17,AY392*(1+DP!$AR$17),IF(AW392=DP!$AN$18,AY392*(1+DP!$AR$18),0*1))))</f>
        <v>0</v>
      </c>
      <c r="BU392" s="102">
        <f>IF(AW392=DP!$AN$22,(DP!$AO$22),IF(AW392=DP!$AN$23,(DP!$AO$23),IF(AW392=DP!$AN$24,(DP!$AO$24),IF(AW392=DP!$AN$25,(DP!$AO$25),((0*1))))))</f>
        <v>0</v>
      </c>
      <c r="BV392" s="93">
        <f t="shared" si="400"/>
        <v>0</v>
      </c>
      <c r="BW392" s="93">
        <f>IF(AW392=DP!$AN$15,AY392*(1+DP!$AR$15),IF(AW392=DP!$AN$16,AY392*(1+DP!$AR$16),IF(AW392=DP!$AN$17,AY392*(1+DP!$AR$17),IF(AW392=DP!$AN$18,AY392*(1+DP!$AR$18),0*1))))</f>
        <v>0</v>
      </c>
      <c r="BX392" s="102">
        <f>IF(AW392=DP!$AN$22,(DP!$AP$22),IF(AW392=DP!$AN$23,(DP!$AP$23),IF(AW392=DP!$AN$24,(DP!$AP$24),IF(AW392=DP!$AN$25,(DP!$AP$25),((0*1))))))</f>
        <v>0</v>
      </c>
      <c r="BY392" s="93">
        <f t="shared" si="401"/>
        <v>0</v>
      </c>
      <c r="BZ392" s="93">
        <f>IF(AW392=DP!$AN$15,(AY392/DP!$AM$15)*(1+DP!$AR$15),IF(AW392=DP!$AN$16,(AY392/DP!$AM$16)*(1+DP!$AR$16),IF(AW392=DP!$AN$17,(AY392/DP!$AM$17)*(1+DP!$AR$17),IF(AW392=DP!$AN$18,(AY392/DP!$AM$18)*(1+DP!$AR$18),0*1))))</f>
        <v>0</v>
      </c>
      <c r="CA392" s="102">
        <f>IF(AW392=DP!$AN$22,(DP!$AQ$22),IF(AW392=DP!$AN$23,(DP!$AQ$23),IF(AW392=DP!$AN$24,(DP!$AQ$24),IF(AW392=DP!$AN$25,(DP!$AQ$25),((0*1))))))</f>
        <v>0</v>
      </c>
      <c r="CB392" s="93">
        <f t="shared" si="402"/>
        <v>0</v>
      </c>
      <c r="CC392" s="93">
        <f>IF(AW392=DP!$AN$15,AY392*(1+DP!$AR$15),IF(AW392=DP!$AN$16,AY392*(1+DP!$AR$16),IF(AW392=DP!$AN$17,AY392*(1+DP!$AR$17),IF(AW392=DP!$AN$18,AY392*(1+DP!$AR$18),0*1))))</f>
        <v>0</v>
      </c>
      <c r="CD392" s="102">
        <f>IF(AW392=DP!$AN$22,(DP!$AR$22),IF(AW392=DP!$AN$23,(DP!$AR$23),IF(AW392=DP!$AN$24,(DP!$AR$24),IF(AW392=DP!$AN$25,(DP!$AR$25),((0*1))))))</f>
        <v>0</v>
      </c>
      <c r="CE392" s="93">
        <f t="shared" si="403"/>
        <v>0</v>
      </c>
      <c r="CF392" s="100"/>
      <c r="CG392" s="149">
        <f t="shared" si="383"/>
        <v>0</v>
      </c>
      <c r="CH392" s="149">
        <f>DP!$N$35*BA392</f>
        <v>0</v>
      </c>
      <c r="CI392" s="149">
        <f>DP!$O$35*BA392</f>
        <v>0</v>
      </c>
      <c r="CJ392" s="149">
        <f>DP!$P$35*BA392</f>
        <v>0</v>
      </c>
    </row>
    <row r="393" spans="2:88" ht="16" thickBot="1" x14ac:dyDescent="0.4">
      <c r="B393" s="480">
        <f>DP!S36</f>
        <v>0</v>
      </c>
      <c r="C393" s="480">
        <f>DP!T36</f>
        <v>0</v>
      </c>
      <c r="D393" s="480">
        <f>DP!U36</f>
        <v>0</v>
      </c>
      <c r="E393" s="480">
        <f>DP!V36</f>
        <v>0</v>
      </c>
      <c r="F393" s="412">
        <f t="shared" si="384"/>
        <v>0</v>
      </c>
      <c r="G393" s="470">
        <f>DP!AH36</f>
        <v>0</v>
      </c>
      <c r="H393" s="98">
        <f t="shared" si="385"/>
        <v>0</v>
      </c>
      <c r="I393" s="97"/>
      <c r="J393" s="102">
        <f t="shared" si="374"/>
        <v>0</v>
      </c>
      <c r="K393" s="98">
        <f t="shared" si="375"/>
        <v>0</v>
      </c>
      <c r="L393" s="93">
        <f t="shared" si="376"/>
        <v>0</v>
      </c>
      <c r="M393" s="99">
        <f t="shared" si="377"/>
        <v>0</v>
      </c>
      <c r="N393" s="100"/>
      <c r="O393" s="102">
        <f>($E393/DP!$P$29)*F393</f>
        <v>0</v>
      </c>
      <c r="P393" s="102">
        <f>IF(O393&gt;0,(DP!$P$31),0*1)</f>
        <v>0</v>
      </c>
      <c r="Q393" s="102">
        <f t="shared" si="386"/>
        <v>0</v>
      </c>
      <c r="R393" s="102">
        <f t="shared" si="387"/>
        <v>0</v>
      </c>
      <c r="S393" s="418">
        <f t="shared" si="388"/>
        <v>0</v>
      </c>
      <c r="T393" s="475">
        <f>H393*DP!$AG$44</f>
        <v>0</v>
      </c>
      <c r="U393" s="475">
        <f>IF(H393&gt;0,DP!$AH$44,0*1)</f>
        <v>0</v>
      </c>
      <c r="V393" s="475">
        <f t="shared" si="389"/>
        <v>0</v>
      </c>
      <c r="W393" s="475">
        <f>H393*DP!$AG$45</f>
        <v>0</v>
      </c>
      <c r="X393" s="475">
        <f>IF(H393&gt;0,DP!$AH$45,0*1)</f>
        <v>0</v>
      </c>
      <c r="Y393" s="475">
        <f t="shared" si="390"/>
        <v>0</v>
      </c>
      <c r="Z393" s="100"/>
      <c r="AA393" s="93">
        <f>IF(D393=DP!$L$15,F393*(1+DP!$P$15),IF(D393=DP!$L$16,F393*(1+DP!$P$16),IF(D393=DP!$L$17,F393*(1+DP!$P$17),IF(D393=DP!$L$18,F393*(1+DP!$P$18),0*1))))</f>
        <v>0</v>
      </c>
      <c r="AB393" s="102">
        <f>IF(D393=DP!$L$22,(DP!$M$22),IF(D393=DP!$L$23,(DP!$M$23),IF(D393=DP!$L$24,(DP!$M$24),IF(D393=DP!$L$25,(DP!$M$25),((0*1))))))</f>
        <v>0</v>
      </c>
      <c r="AC393" s="93">
        <f t="shared" si="391"/>
        <v>0</v>
      </c>
      <c r="AD393" s="93">
        <f>IF(D393=DP!$L$15,F393*(1+DP!$P$15),IF(D393=DP!$L$16,F393*(1+DP!$P$16),IF(D393=DP!$L$17,F393*(1+DP!$P$17),IF(D393=DP!$L$18,F393*(1+DP!$P$18),0*1))))</f>
        <v>0</v>
      </c>
      <c r="AE393" s="102">
        <f>IF(D393=DP!$L$22,(DP!$N$22),IF(D393=DP!$L$23,(DP!$N$23),IF(D393=DP!$L$24,(DP!$N$24),IF(D393=DP!$L$25,(DP!$N$25),((0*1))))))</f>
        <v>0</v>
      </c>
      <c r="AF393" s="93">
        <f t="shared" si="392"/>
        <v>0</v>
      </c>
      <c r="AG393" s="93">
        <f>IF(D393=DP!$L$15,(F393/DP!$K$15)*(1+DP!$P$15),IF(D393=DP!$L$16,(F393/DP!$K$16)*(1+DP!$P$16),IF(D393=DP!$L$17,(F393/DP!$K$17)*(1+DP!$P$17),IF(D393=DP!$L$18,(F393/DP!$K$18)*(1+DP!$P$18),0*1))))</f>
        <v>0</v>
      </c>
      <c r="AH393" s="102">
        <f>IF(D393=DP!$L$22,(DP!$O$22),IF(D393=DP!$L$23,(DP!$O$23),IF(D393=DP!$L$24,(DP!$O$24),IF(D393=DP!$L$25,(DP!$O$25),((0*1))))))</f>
        <v>0</v>
      </c>
      <c r="AI393" s="93">
        <f t="shared" si="393"/>
        <v>0</v>
      </c>
      <c r="AJ393" s="93">
        <f>IF(D393=DP!$L$15,F393*(1+DP!$P$15),IF(D393=DP!$L$16,F393*(1+DP!$P$16),IF(D393=DP!$L$17,F393*(1+DP!$P$17),IF(D393=DP!$L$18,F393*(1+DP!$P$18),0*1))))</f>
        <v>0</v>
      </c>
      <c r="AK393" s="102">
        <f>IF(D393=DP!$L$22,(DP!$P$22),IF(D393=DP!$L$23,(DP!$P$23),IF(D393=DP!$L$24,(DP!$P$24),IF(D393=DP!$L$25,(DP!$P$25),((0*1))))))</f>
        <v>0</v>
      </c>
      <c r="AL393" s="93">
        <f t="shared" si="394"/>
        <v>0</v>
      </c>
      <c r="AM393" s="100"/>
      <c r="AN393" s="149">
        <f t="shared" si="378"/>
        <v>0</v>
      </c>
      <c r="AO393" s="149">
        <f>DP!$N$35*H393</f>
        <v>0</v>
      </c>
      <c r="AP393" s="149">
        <f>DP!$O$35*H393</f>
        <v>0</v>
      </c>
      <c r="AQ393" s="149">
        <f>DP!$P$35*H393</f>
        <v>0</v>
      </c>
      <c r="AV393" s="412">
        <f>DP!AV36</f>
        <v>0</v>
      </c>
      <c r="AW393" s="412">
        <f>DP!AW36</f>
        <v>0</v>
      </c>
      <c r="AX393" s="412">
        <f>DP!AX36</f>
        <v>0</v>
      </c>
      <c r="AY393" s="412">
        <f t="shared" si="395"/>
        <v>0</v>
      </c>
      <c r="AZ393" s="470">
        <f>DP!BJ36</f>
        <v>0</v>
      </c>
      <c r="BA393" s="98">
        <f t="shared" si="396"/>
        <v>0</v>
      </c>
      <c r="BB393" s="97"/>
      <c r="BC393" s="102">
        <f t="shared" si="379"/>
        <v>0</v>
      </c>
      <c r="BD393" s="98">
        <f t="shared" si="380"/>
        <v>0</v>
      </c>
      <c r="BE393" s="93">
        <f t="shared" si="381"/>
        <v>0</v>
      </c>
      <c r="BF393" s="99">
        <f t="shared" si="382"/>
        <v>0</v>
      </c>
      <c r="BG393" s="100"/>
      <c r="BH393" s="102">
        <f>IFERROR((BA393*100%)/DP!$AR$29,(0*1))</f>
        <v>0</v>
      </c>
      <c r="BI393" s="102">
        <f>IF(BH393&gt;0,(DP!$AR$31),0*1)</f>
        <v>0</v>
      </c>
      <c r="BJ393" s="435">
        <f t="shared" si="404"/>
        <v>0</v>
      </c>
      <c r="BK393" s="475">
        <f>BA393*DP!$BI$44</f>
        <v>0</v>
      </c>
      <c r="BL393" s="475">
        <f>IF(BA393&gt;0,DP!$BJ$44,0*1)</f>
        <v>0</v>
      </c>
      <c r="BM393" s="475">
        <f t="shared" si="398"/>
        <v>0</v>
      </c>
      <c r="BN393" s="102">
        <f>BA393*DP!$BI$45</f>
        <v>0</v>
      </c>
      <c r="BO393" s="102">
        <f>IF(BA393&gt;0,DP!$BJ$45,0*1)</f>
        <v>0</v>
      </c>
      <c r="BP393" s="475">
        <f t="shared" si="399"/>
        <v>0</v>
      </c>
      <c r="BQ393" s="100"/>
      <c r="BR393" s="100"/>
      <c r="BS393" s="100"/>
      <c r="BT393" s="93">
        <f>IF(AW393=DP!$AN$15,AY393*(1+DP!$AR$15),IF(AW393=DP!$AN$16,AY393*(1+DP!$AR$16),IF(AW393=DP!$AN$17,AY393*(1+DP!$AR$17),IF(AW393=DP!$AN$18,AY393*(1+DP!$AR$18),0*1))))</f>
        <v>0</v>
      </c>
      <c r="BU393" s="102">
        <f>IF(AW393=DP!$AN$22,(DP!$AO$22),IF(AW393=DP!$AN$23,(DP!$AO$23),IF(AW393=DP!$AN$24,(DP!$AO$24),IF(AW393=DP!$AN$25,(DP!$AO$25),((0*1))))))</f>
        <v>0</v>
      </c>
      <c r="BV393" s="93">
        <f t="shared" si="400"/>
        <v>0</v>
      </c>
      <c r="BW393" s="93">
        <f>IF(AW393=DP!$AN$15,AY393*(1+DP!$AR$15),IF(AW393=DP!$AN$16,AY393*(1+DP!$AR$16),IF(AW393=DP!$AN$17,AY393*(1+DP!$AR$17),IF(AW393=DP!$AN$18,AY393*(1+DP!$AR$18),0*1))))</f>
        <v>0</v>
      </c>
      <c r="BX393" s="102">
        <f>IF(AW393=DP!$AN$22,(DP!$AP$22),IF(AW393=DP!$AN$23,(DP!$AP$23),IF(AW393=DP!$AN$24,(DP!$AP$24),IF(AW393=DP!$AN$25,(DP!$AP$25),((0*1))))))</f>
        <v>0</v>
      </c>
      <c r="BY393" s="93">
        <f t="shared" si="401"/>
        <v>0</v>
      </c>
      <c r="BZ393" s="93">
        <f>IF(AW393=DP!$AN$15,(AY393/DP!$AM$15)*(1+DP!$AR$15),IF(AW393=DP!$AN$16,(AY393/DP!$AM$16)*(1+DP!$AR$16),IF(AW393=DP!$AN$17,(AY393/DP!$AM$17)*(1+DP!$AR$17),IF(AW393=DP!$AN$18,(AY393/DP!$AM$18)*(1+DP!$AR$18),0*1))))</f>
        <v>0</v>
      </c>
      <c r="CA393" s="102">
        <f>IF(AW393=DP!$AN$22,(DP!$AQ$22),IF(AW393=DP!$AN$23,(DP!$AQ$23),IF(AW393=DP!$AN$24,(DP!$AQ$24),IF(AW393=DP!$AN$25,(DP!$AQ$25),((0*1))))))</f>
        <v>0</v>
      </c>
      <c r="CB393" s="93">
        <f t="shared" si="402"/>
        <v>0</v>
      </c>
      <c r="CC393" s="93">
        <f>IF(AW393=DP!$AN$15,AY393*(1+DP!$AR$15),IF(AW393=DP!$AN$16,AY393*(1+DP!$AR$16),IF(AW393=DP!$AN$17,AY393*(1+DP!$AR$17),IF(AW393=DP!$AN$18,AY393*(1+DP!$AR$18),0*1))))</f>
        <v>0</v>
      </c>
      <c r="CD393" s="102">
        <f>IF(AW393=DP!$AN$22,(DP!$AR$22),IF(AW393=DP!$AN$23,(DP!$AR$23),IF(AW393=DP!$AN$24,(DP!$AR$24),IF(AW393=DP!$AN$25,(DP!$AR$25),((0*1))))))</f>
        <v>0</v>
      </c>
      <c r="CE393" s="93">
        <f t="shared" si="403"/>
        <v>0</v>
      </c>
      <c r="CF393" s="100"/>
      <c r="CG393" s="149">
        <f t="shared" si="383"/>
        <v>0</v>
      </c>
      <c r="CH393" s="149">
        <f>DP!$N$35*BA393</f>
        <v>0</v>
      </c>
      <c r="CI393" s="149">
        <f>DP!$O$35*BA393</f>
        <v>0</v>
      </c>
      <c r="CJ393" s="149">
        <f>DP!$P$35*BA393</f>
        <v>0</v>
      </c>
    </row>
    <row r="394" spans="2:88" ht="16" thickBot="1" x14ac:dyDescent="0.4">
      <c r="C394" s="103" t="s">
        <v>222</v>
      </c>
      <c r="D394" s="104"/>
      <c r="E394" s="104"/>
      <c r="F394" s="120">
        <f>SUM(F375:F393)</f>
        <v>0</v>
      </c>
      <c r="G394" s="411">
        <f>SUM(G375:G393)</f>
        <v>0</v>
      </c>
      <c r="H394" s="121">
        <f>SUM(H375:H393)</f>
        <v>0</v>
      </c>
      <c r="I394" s="87"/>
      <c r="J394" s="151"/>
      <c r="K394" s="106"/>
      <c r="L394" s="107">
        <f t="shared" ref="L394" si="405">SUM(L375:L393)</f>
        <v>0</v>
      </c>
      <c r="M394" s="105">
        <f>SUM(M375:M393)</f>
        <v>0</v>
      </c>
      <c r="N394" s="87"/>
      <c r="O394" s="152">
        <f>SUM(O375:O393)</f>
        <v>0</v>
      </c>
      <c r="P394" s="416"/>
      <c r="Q394" s="152">
        <f>SUM(Q375:Q393)</f>
        <v>0</v>
      </c>
      <c r="R394" s="126"/>
      <c r="S394" s="419">
        <f>SUM(S375:S393)</f>
        <v>0</v>
      </c>
      <c r="T394" s="476">
        <f>SUM(T375:T393)</f>
        <v>0</v>
      </c>
      <c r="U394" s="477"/>
      <c r="V394" s="478">
        <f>SUM(V375:V393)</f>
        <v>0</v>
      </c>
      <c r="W394" s="478">
        <f>SUM(W375:W393)</f>
        <v>0</v>
      </c>
      <c r="X394" s="477"/>
      <c r="Y394" s="479">
        <f>SUM(Y375:Y393)</f>
        <v>0</v>
      </c>
      <c r="Z394" s="87"/>
      <c r="AA394" s="152">
        <f>SUM(AA375:AA393)</f>
        <v>0</v>
      </c>
      <c r="AB394" s="77"/>
      <c r="AC394" s="153">
        <f>SUM(AC375:AC393)</f>
        <v>0</v>
      </c>
      <c r="AD394" s="153">
        <f>SUM(AD375:AD393)</f>
        <v>0</v>
      </c>
      <c r="AE394" s="77"/>
      <c r="AF394" s="153">
        <f>SUM(AF375:AF393)</f>
        <v>0</v>
      </c>
      <c r="AG394" s="153">
        <f>SUM(AG375:AG393)</f>
        <v>0</v>
      </c>
      <c r="AH394" s="77"/>
      <c r="AI394" s="153">
        <f>SUM(AI375:AI393)</f>
        <v>0</v>
      </c>
      <c r="AJ394" s="153">
        <f>SUM(AJ375:AJ393)</f>
        <v>0</v>
      </c>
      <c r="AK394" s="77"/>
      <c r="AL394" s="154">
        <f>SUM(AL375:AL393)</f>
        <v>0</v>
      </c>
      <c r="AM394" s="87"/>
      <c r="AN394" s="152">
        <f>SUM(AN375:AN393)</f>
        <v>0</v>
      </c>
      <c r="AO394" s="153">
        <f t="shared" ref="AO394:AQ394" si="406">SUM(AO375:AO393)</f>
        <v>0</v>
      </c>
      <c r="AP394" s="153">
        <f t="shared" si="406"/>
        <v>0</v>
      </c>
      <c r="AQ394" s="153">
        <f t="shared" si="406"/>
        <v>0</v>
      </c>
      <c r="AV394" s="103" t="s">
        <v>222</v>
      </c>
      <c r="AW394" s="104"/>
      <c r="AX394" s="104"/>
      <c r="AY394" s="120">
        <f>SUM(AY375:AY393)</f>
        <v>522720</v>
      </c>
      <c r="AZ394" s="411">
        <f>SUM(AZ375:AZ393)</f>
        <v>0.99999999999999989</v>
      </c>
      <c r="BA394" s="121">
        <f>SUM(BA375:BA393)</f>
        <v>183600</v>
      </c>
      <c r="BB394" s="87"/>
      <c r="BC394" s="151"/>
      <c r="BD394" s="106"/>
      <c r="BE394" s="107">
        <f>SUM(BE375:BE393)</f>
        <v>514438.37083430099</v>
      </c>
      <c r="BF394" s="105">
        <f>SUM(BF375:BF393)</f>
        <v>446506.37083430093</v>
      </c>
      <c r="BG394" s="87"/>
      <c r="BH394" s="152">
        <f>SUM(BH375:BH393)</f>
        <v>408000</v>
      </c>
      <c r="BI394" s="126"/>
      <c r="BJ394" s="419">
        <f>SUM(BJ375:BJ393)</f>
        <v>183600</v>
      </c>
      <c r="BK394" s="492">
        <f>SUM(BK375:BK393)</f>
        <v>459</v>
      </c>
      <c r="BL394" s="491"/>
      <c r="BM394" s="492">
        <f>SUM(BM375:BM393)</f>
        <v>436.05</v>
      </c>
      <c r="BN394" s="492">
        <f>SUM(BN375:BN393)</f>
        <v>30477.600000000006</v>
      </c>
      <c r="BO394" s="491"/>
      <c r="BP394" s="492">
        <f>SUM(BP375:BP393)</f>
        <v>23443.369920000001</v>
      </c>
      <c r="BQ394" s="87"/>
      <c r="BR394" s="87"/>
      <c r="BS394" s="87"/>
      <c r="BT394" s="152">
        <f>SUM(BT375:BT393)</f>
        <v>525333.59999999986</v>
      </c>
      <c r="BU394" s="77"/>
      <c r="BV394" s="153">
        <f>SUM(BV375:BV393)</f>
        <v>121195.764</v>
      </c>
      <c r="BW394" s="153">
        <f>SUM(BW375:BW393)</f>
        <v>525333.59999999986</v>
      </c>
      <c r="BX394" s="77"/>
      <c r="BY394" s="153">
        <f>SUM(BY375:BY393)</f>
        <v>29446.901999999998</v>
      </c>
      <c r="BZ394" s="153">
        <f>SUM(BZ375:BZ393)</f>
        <v>23426.549999999996</v>
      </c>
      <c r="CA394" s="77"/>
      <c r="CB394" s="153">
        <f>SUM(CB375:CB393)</f>
        <v>11994.393599999983</v>
      </c>
      <c r="CC394" s="153">
        <f>SUM(CC375:CC393)</f>
        <v>525333.59999999986</v>
      </c>
      <c r="CD394" s="77"/>
      <c r="CE394" s="154">
        <f>SUM(CE375:CE393)</f>
        <v>17360.162068965514</v>
      </c>
      <c r="CF394" s="87"/>
      <c r="CG394" s="152">
        <f>SUM(CG375:CG393)</f>
        <v>59029.729245335489</v>
      </c>
      <c r="CH394" s="153">
        <f t="shared" ref="CH394:CJ394" si="407">SUM(CH375:CH393)</f>
        <v>2637.9310344827586</v>
      </c>
      <c r="CI394" s="153">
        <f t="shared" si="407"/>
        <v>10024.137931034486</v>
      </c>
      <c r="CJ394" s="153">
        <f t="shared" si="407"/>
        <v>67932</v>
      </c>
    </row>
    <row r="395" spans="2:88" x14ac:dyDescent="0.35">
      <c r="C395" s="108"/>
      <c r="D395" s="108"/>
      <c r="E395" s="108"/>
      <c r="F395" s="444"/>
      <c r="G395" s="87"/>
      <c r="H395" s="87"/>
      <c r="I395" s="109"/>
      <c r="J395" s="87"/>
      <c r="K395" s="87"/>
      <c r="L395" s="87"/>
      <c r="M395" s="87"/>
      <c r="N395" s="87"/>
      <c r="O395" s="220"/>
      <c r="P395" s="220"/>
      <c r="Q395" s="220"/>
      <c r="R395" s="87"/>
      <c r="S395" s="422">
        <f>Q394</f>
        <v>0</v>
      </c>
      <c r="T395"/>
      <c r="U395"/>
      <c r="V395"/>
      <c r="W395"/>
      <c r="X395"/>
      <c r="Y395"/>
      <c r="Z395" s="87"/>
      <c r="AA395" s="87"/>
      <c r="AB395" s="87"/>
      <c r="AC395" s="87"/>
      <c r="AD395" s="87"/>
      <c r="AM395" s="87"/>
      <c r="AN395" s="420">
        <f>IFERROR(IF(DP!$C$16=PS!$B$3,PS!$K$23*D370/(D370+AW370),IF(DP!$C$16=PS!$N$3,PS!$AC$23*D370/(D370+AW370),IF(DP!$C$16=PS!$AF$3,PS!$AP$23*D370/(D370+AW370)))),0*1)</f>
        <v>0</v>
      </c>
      <c r="AO395" s="220"/>
      <c r="AP395" s="220"/>
      <c r="AQ395" s="433"/>
      <c r="AV395" s="108"/>
      <c r="AW395" s="108"/>
      <c r="AX395" s="108"/>
      <c r="AY395" s="87"/>
      <c r="AZ395" s="87"/>
      <c r="BA395" s="87"/>
      <c r="BB395" s="109"/>
      <c r="BC395" s="87"/>
      <c r="BD395" s="87"/>
      <c r="BE395" s="87"/>
      <c r="BF395" s="87"/>
      <c r="BG395" s="87"/>
      <c r="BH395" s="87"/>
      <c r="BI395" s="87"/>
      <c r="BJ395" s="87"/>
      <c r="BK395"/>
      <c r="BL395"/>
      <c r="BM395"/>
      <c r="BN395"/>
      <c r="BO395"/>
      <c r="BP395"/>
      <c r="BQ395" s="87"/>
      <c r="BR395" s="87"/>
      <c r="BS395" s="87"/>
      <c r="BT395" s="87"/>
      <c r="BU395" s="87"/>
      <c r="BV395" s="87"/>
      <c r="BW395" s="87"/>
      <c r="CF395" s="87"/>
      <c r="CG395" s="420">
        <f>IFERROR(IF(DP!$C$16=PS!$B$3,PS!$K$23*AW370/(AW370+D370),IF(DP!$C$16=PS!$N$3,PS!$AC$23*AW370/(AW370+D370),IF(DP!$C$16=PS!$AF$3,PS!$AP$23*AW370/(AW370+D370)))),0*1)</f>
        <v>59029.729245335482</v>
      </c>
      <c r="CH395" s="220"/>
      <c r="CI395" s="220"/>
      <c r="CJ395" s="433"/>
    </row>
    <row r="396" spans="2:88" x14ac:dyDescent="0.35">
      <c r="C396" s="108"/>
      <c r="D396" s="108"/>
      <c r="E396" s="108"/>
      <c r="F396" s="445"/>
      <c r="G396" s="87"/>
      <c r="H396" s="87"/>
      <c r="I396" s="109"/>
      <c r="J396" s="87"/>
      <c r="K396" s="87"/>
      <c r="L396" s="87"/>
      <c r="M396" s="87"/>
      <c r="N396" s="87"/>
      <c r="O396" s="87"/>
      <c r="P396" s="87"/>
      <c r="Q396" s="87"/>
      <c r="T396" s="87"/>
      <c r="U396" s="87"/>
      <c r="V396" s="87"/>
      <c r="W396" s="87"/>
      <c r="X396" s="87"/>
      <c r="Y396" s="87"/>
      <c r="Z396" s="87"/>
      <c r="AM396" s="87"/>
      <c r="AV396" s="108"/>
      <c r="AW396" s="108"/>
      <c r="AX396" s="108"/>
      <c r="AY396" s="87"/>
      <c r="AZ396" s="87"/>
      <c r="BA396" s="87"/>
      <c r="BB396" s="109"/>
      <c r="BC396" s="87"/>
      <c r="BD396" s="87"/>
      <c r="BE396" s="87"/>
      <c r="BF396" s="87"/>
      <c r="BG396" s="87"/>
      <c r="BH396" s="87"/>
      <c r="BK396" s="87"/>
      <c r="BL396" s="87"/>
      <c r="BM396" s="87"/>
      <c r="BN396" s="87"/>
      <c r="BO396" s="87"/>
      <c r="BP396" s="87"/>
      <c r="BQ396" s="87"/>
      <c r="BR396" s="87"/>
      <c r="BS396" s="87"/>
      <c r="BT396"/>
      <c r="BU396"/>
      <c r="BV396"/>
      <c r="BW396"/>
      <c r="BX396"/>
      <c r="BY396"/>
      <c r="BZ396"/>
      <c r="CA396"/>
      <c r="CB396"/>
      <c r="CC396"/>
      <c r="CF396" s="87"/>
    </row>
    <row r="397" spans="2:88" x14ac:dyDescent="0.35">
      <c r="C397" s="108"/>
      <c r="D397" s="108"/>
      <c r="E397" s="108"/>
      <c r="F397" s="87">
        <v>1583224.6989032903</v>
      </c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116" t="s">
        <v>228</v>
      </c>
      <c r="S397" s="94">
        <f>IFERROR((SUMIF(B375:B393,1,H375:H393))/H394*S395,0*1)</f>
        <v>0</v>
      </c>
      <c r="T397" s="109"/>
      <c r="U397" s="87"/>
      <c r="V397" s="87"/>
      <c r="W397" s="87"/>
      <c r="X397" s="87"/>
      <c r="Y397" s="87"/>
      <c r="Z397" s="87"/>
      <c r="AM397" s="87"/>
      <c r="AV397" s="108"/>
      <c r="AW397" s="108"/>
      <c r="AX397" s="108"/>
      <c r="AY397" s="87"/>
      <c r="AZ397" s="87"/>
      <c r="BA397" s="87"/>
      <c r="BB397" s="87"/>
      <c r="BC397" s="87"/>
      <c r="BD397" s="87"/>
      <c r="BE397" s="87"/>
      <c r="BF397" s="87"/>
      <c r="BG397" s="87"/>
      <c r="BK397" s="109"/>
      <c r="BL397" s="87"/>
      <c r="BM397" s="87"/>
      <c r="BN397" s="87"/>
      <c r="BO397" s="87"/>
      <c r="BP397" s="87"/>
      <c r="BQ397" s="87"/>
      <c r="BR397" s="87"/>
      <c r="BS397" s="87"/>
      <c r="BT397"/>
      <c r="BU397"/>
      <c r="BV397"/>
      <c r="BW397"/>
      <c r="BX397"/>
      <c r="BY397"/>
      <c r="BZ397"/>
      <c r="CA397"/>
      <c r="CB397"/>
      <c r="CC397"/>
      <c r="CF397" s="87"/>
    </row>
    <row r="398" spans="2:88" x14ac:dyDescent="0.35">
      <c r="C398" s="108"/>
      <c r="D398" s="108"/>
      <c r="E398" s="108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116" t="s">
        <v>229</v>
      </c>
      <c r="S398" s="94">
        <f>S395-S397</f>
        <v>0</v>
      </c>
      <c r="T398" s="109"/>
      <c r="U398" s="87"/>
      <c r="V398" s="87"/>
      <c r="W398" s="87"/>
      <c r="X398" s="87"/>
      <c r="Y398" s="87"/>
      <c r="Z398" s="87"/>
      <c r="AM398" s="87"/>
      <c r="AZ398" s="87"/>
      <c r="BA398" s="87"/>
      <c r="BB398" s="87"/>
      <c r="BC398" s="87"/>
      <c r="BD398" s="87"/>
      <c r="BE398" s="87"/>
      <c r="BF398" s="87"/>
      <c r="BG398" s="87"/>
      <c r="BK398" s="109"/>
      <c r="BL398" s="87"/>
      <c r="BM398" s="87"/>
      <c r="BN398" s="87"/>
      <c r="BO398" s="87"/>
      <c r="BP398" s="87"/>
      <c r="BQ398" s="87"/>
      <c r="BR398" s="87"/>
      <c r="BS398" s="87"/>
      <c r="BT398"/>
      <c r="BU398"/>
      <c r="BV398"/>
      <c r="BW398"/>
      <c r="BX398"/>
      <c r="BY398"/>
      <c r="BZ398"/>
      <c r="CA398"/>
      <c r="CB398"/>
      <c r="CC398"/>
      <c r="CF398" s="87"/>
    </row>
    <row r="399" spans="2:88" x14ac:dyDescent="0.35">
      <c r="C399" s="108"/>
      <c r="D399" s="108"/>
      <c r="E399" s="108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T399" s="87"/>
      <c r="U399" s="87"/>
      <c r="V399" s="87"/>
      <c r="W399" s="87"/>
      <c r="X399" s="87"/>
      <c r="Y399" s="87"/>
      <c r="Z399" s="87"/>
      <c r="AM399" s="87"/>
      <c r="AZ399" s="87"/>
      <c r="BA399" s="87"/>
      <c r="BB399" s="87"/>
      <c r="BC399" s="87"/>
      <c r="BD399" s="87"/>
      <c r="BE399" s="87"/>
      <c r="BF399" s="87"/>
      <c r="BG399" s="87"/>
      <c r="BK399" s="87"/>
      <c r="BL399" s="87"/>
      <c r="BM399" s="87"/>
      <c r="BN399" s="87"/>
      <c r="BO399" s="87"/>
      <c r="BP399" s="87"/>
      <c r="BQ399" s="87"/>
      <c r="BR399" s="87"/>
      <c r="BS399" s="87"/>
      <c r="BT399"/>
      <c r="BU399"/>
      <c r="BV399"/>
      <c r="BW399"/>
      <c r="BX399"/>
      <c r="BY399"/>
      <c r="BZ399"/>
      <c r="CA399"/>
      <c r="CB399"/>
      <c r="CC399"/>
      <c r="CF399" s="87"/>
    </row>
    <row r="400" spans="2:88" x14ac:dyDescent="0.35">
      <c r="C400" s="108"/>
      <c r="D400" s="108"/>
      <c r="E400" s="108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T400" s="87"/>
      <c r="U400" s="87"/>
      <c r="V400" s="87"/>
      <c r="W400" s="87"/>
      <c r="X400" s="87"/>
      <c r="Y400" s="87"/>
      <c r="Z400" s="87"/>
      <c r="AM400" s="87"/>
      <c r="AZ400" s="87"/>
      <c r="BA400" s="87"/>
      <c r="BB400" s="87"/>
      <c r="BC400" s="87"/>
      <c r="BD400" s="87"/>
      <c r="BE400" s="87"/>
      <c r="BF400" s="87"/>
      <c r="BG400" s="87"/>
      <c r="BH400" s="87"/>
      <c r="BK400" s="87"/>
      <c r="BL400" s="87"/>
      <c r="BM400" s="87"/>
      <c r="BN400" s="87"/>
      <c r="BO400" s="87"/>
      <c r="BP400" s="87"/>
      <c r="BQ400" s="87"/>
      <c r="BR400" s="87"/>
      <c r="BS400" s="87"/>
      <c r="BT400"/>
      <c r="BU400"/>
      <c r="BV400"/>
      <c r="BW400"/>
      <c r="BX400"/>
      <c r="BY400"/>
      <c r="BZ400"/>
      <c r="CA400"/>
      <c r="CB400"/>
      <c r="CC400"/>
      <c r="CF400" s="87"/>
    </row>
    <row r="401" spans="1:84" x14ac:dyDescent="0.35">
      <c r="C401" s="108"/>
      <c r="D401" s="108"/>
      <c r="E401" s="108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T401" s="87"/>
      <c r="U401" s="87"/>
      <c r="V401" s="87"/>
      <c r="W401" s="87"/>
      <c r="X401" s="87"/>
      <c r="Y401" s="87"/>
      <c r="Z401" s="87"/>
      <c r="AM401" s="87"/>
      <c r="AZ401" s="87"/>
      <c r="BA401" s="87"/>
      <c r="BB401" s="87"/>
      <c r="BC401" s="87"/>
      <c r="BD401" s="87"/>
      <c r="BE401" s="87"/>
      <c r="BF401" s="87"/>
      <c r="BG401" s="87"/>
      <c r="BH401" s="87"/>
      <c r="BK401" s="87"/>
      <c r="BL401" s="87"/>
      <c r="BM401" s="87"/>
      <c r="BN401" s="87"/>
      <c r="BO401" s="87"/>
      <c r="BP401" s="87"/>
      <c r="BQ401" s="87"/>
      <c r="BR401" s="87"/>
      <c r="BS401" s="87"/>
      <c r="BT401"/>
      <c r="BU401"/>
      <c r="BV401"/>
      <c r="BW401"/>
      <c r="BX401"/>
      <c r="BY401"/>
      <c r="BZ401"/>
      <c r="CA401"/>
      <c r="CB401"/>
      <c r="CC401"/>
      <c r="CF401" s="87"/>
    </row>
    <row r="402" spans="1:84" x14ac:dyDescent="0.35">
      <c r="BT402"/>
      <c r="BU402"/>
      <c r="BV402"/>
      <c r="BW402"/>
      <c r="BX402"/>
      <c r="BY402"/>
      <c r="BZ402"/>
      <c r="CA402"/>
      <c r="CB402"/>
      <c r="CC402"/>
    </row>
    <row r="403" spans="1:84" x14ac:dyDescent="0.35">
      <c r="G403" s="109"/>
      <c r="H403" s="87"/>
    </row>
    <row r="404" spans="1:84" x14ac:dyDescent="0.35">
      <c r="G404" s="109"/>
      <c r="H404" s="87"/>
    </row>
    <row r="405" spans="1:84" x14ac:dyDescent="0.35">
      <c r="G405" s="109"/>
      <c r="H405" s="87"/>
    </row>
    <row r="406" spans="1:84" x14ac:dyDescent="0.35">
      <c r="G406" s="109"/>
      <c r="H406" s="87"/>
    </row>
    <row r="407" spans="1:84" x14ac:dyDescent="0.35">
      <c r="G407" s="109"/>
      <c r="H407" s="87"/>
    </row>
    <row r="408" spans="1:84" x14ac:dyDescent="0.35">
      <c r="G408" s="109"/>
      <c r="H408" s="87"/>
    </row>
    <row r="409" spans="1:84" x14ac:dyDescent="0.35">
      <c r="G409" s="109"/>
      <c r="H409" s="87"/>
    </row>
    <row r="410" spans="1:84" x14ac:dyDescent="0.35">
      <c r="G410" s="109"/>
      <c r="H410" s="87"/>
    </row>
    <row r="411" spans="1:84" x14ac:dyDescent="0.35">
      <c r="G411" s="109"/>
      <c r="H411" s="87"/>
    </row>
    <row r="412" spans="1:84" x14ac:dyDescent="0.35">
      <c r="G412" s="109"/>
      <c r="H412" s="87"/>
    </row>
    <row r="413" spans="1:84" x14ac:dyDescent="0.35">
      <c r="G413" s="109"/>
      <c r="H413" s="87"/>
    </row>
    <row r="414" spans="1:84" x14ac:dyDescent="0.35">
      <c r="G414" s="109"/>
      <c r="H414" s="87"/>
    </row>
    <row r="415" spans="1:84" x14ac:dyDescent="0.35">
      <c r="G415" s="109"/>
      <c r="H415" s="87"/>
    </row>
    <row r="416" spans="1:84" ht="40.5" customHeight="1" thickBot="1" x14ac:dyDescent="0.4">
      <c r="A416" s="437" t="s">
        <v>244</v>
      </c>
      <c r="B416" s="437" t="s">
        <v>81</v>
      </c>
      <c r="C416" s="437" t="s">
        <v>245</v>
      </c>
      <c r="D416" s="437" t="s">
        <v>252</v>
      </c>
      <c r="E416" s="426" t="s">
        <v>170</v>
      </c>
      <c r="F416" s="438" t="s">
        <v>6</v>
      </c>
    </row>
    <row r="417" spans="1:11" x14ac:dyDescent="0.35">
      <c r="A417" s="232" t="s">
        <v>257</v>
      </c>
      <c r="B417" s="424" t="s">
        <v>182</v>
      </c>
      <c r="C417" s="235" t="str">
        <f t="shared" ref="C417:C424" si="408">C12</f>
        <v xml:space="preserve">PALMITO ENTERO 800 </v>
      </c>
      <c r="D417" s="446">
        <f t="shared" ref="D417:D424" si="409">F12</f>
        <v>0</v>
      </c>
      <c r="E417" s="235">
        <f t="shared" ref="E417:E424" si="410">J12</f>
        <v>0</v>
      </c>
      <c r="F417" s="239">
        <f t="shared" ref="F417:F441" si="411">D417*E417</f>
        <v>0</v>
      </c>
    </row>
    <row r="418" spans="1:11" x14ac:dyDescent="0.35">
      <c r="A418" s="233" t="s">
        <v>258</v>
      </c>
      <c r="B418" s="87" t="s">
        <v>182</v>
      </c>
      <c r="C418" s="234" t="str">
        <f t="shared" si="408"/>
        <v>PALMITO RODAJA 800</v>
      </c>
      <c r="D418" s="447">
        <f t="shared" si="409"/>
        <v>0</v>
      </c>
      <c r="E418" s="234">
        <f t="shared" si="410"/>
        <v>0</v>
      </c>
      <c r="F418" s="238">
        <f t="shared" si="411"/>
        <v>0</v>
      </c>
    </row>
    <row r="419" spans="1:11" x14ac:dyDescent="0.35">
      <c r="A419" s="233" t="s">
        <v>259</v>
      </c>
      <c r="B419" s="87" t="s">
        <v>182</v>
      </c>
      <c r="C419" s="234" t="str">
        <f t="shared" si="408"/>
        <v>PALMITO TROZO 800</v>
      </c>
      <c r="D419" s="447">
        <f t="shared" si="409"/>
        <v>0</v>
      </c>
      <c r="E419" s="234">
        <f t="shared" si="410"/>
        <v>0</v>
      </c>
      <c r="F419" s="238">
        <f t="shared" si="411"/>
        <v>0</v>
      </c>
    </row>
    <row r="420" spans="1:11" x14ac:dyDescent="0.35">
      <c r="A420" s="233" t="s">
        <v>260</v>
      </c>
      <c r="B420" s="87" t="s">
        <v>182</v>
      </c>
      <c r="C420" s="234" t="str">
        <f t="shared" si="408"/>
        <v>PALMITO ENTERO 400</v>
      </c>
      <c r="D420" s="447">
        <f t="shared" si="409"/>
        <v>0</v>
      </c>
      <c r="E420" s="234">
        <f t="shared" si="410"/>
        <v>0</v>
      </c>
      <c r="F420" s="238">
        <f t="shared" si="411"/>
        <v>0</v>
      </c>
    </row>
    <row r="421" spans="1:11" x14ac:dyDescent="0.35">
      <c r="A421" s="233" t="s">
        <v>261</v>
      </c>
      <c r="B421" s="87" t="s">
        <v>182</v>
      </c>
      <c r="C421" s="234" t="str">
        <f t="shared" si="408"/>
        <v>PALMITO RODAJA 400</v>
      </c>
      <c r="D421" s="447">
        <f t="shared" si="409"/>
        <v>0</v>
      </c>
      <c r="E421" s="234">
        <f t="shared" si="410"/>
        <v>0</v>
      </c>
      <c r="F421" s="238">
        <f t="shared" si="411"/>
        <v>0</v>
      </c>
    </row>
    <row r="422" spans="1:11" x14ac:dyDescent="0.35">
      <c r="A422" s="233" t="s">
        <v>262</v>
      </c>
      <c r="B422" s="87" t="s">
        <v>182</v>
      </c>
      <c r="C422" s="234" t="str">
        <f t="shared" si="408"/>
        <v>PALMITO TROZO 400</v>
      </c>
      <c r="D422" s="447">
        <f t="shared" si="409"/>
        <v>0</v>
      </c>
      <c r="E422" s="234">
        <f t="shared" si="410"/>
        <v>0</v>
      </c>
      <c r="F422" s="238">
        <f t="shared" si="411"/>
        <v>0</v>
      </c>
    </row>
    <row r="423" spans="1:11" x14ac:dyDescent="0.35">
      <c r="A423" s="233" t="s">
        <v>263</v>
      </c>
      <c r="B423" s="87" t="s">
        <v>182</v>
      </c>
      <c r="C423" s="234" t="str">
        <f t="shared" si="408"/>
        <v>PALMITO TROZO  A-10</v>
      </c>
      <c r="D423" s="447">
        <f t="shared" si="409"/>
        <v>0</v>
      </c>
      <c r="E423" s="234">
        <f t="shared" si="410"/>
        <v>0</v>
      </c>
      <c r="F423" s="238">
        <f t="shared" si="411"/>
        <v>0</v>
      </c>
    </row>
    <row r="424" spans="1:11" x14ac:dyDescent="0.35">
      <c r="A424" s="233" t="s">
        <v>264</v>
      </c>
      <c r="B424" s="87" t="s">
        <v>182</v>
      </c>
      <c r="C424" s="234" t="str">
        <f t="shared" si="408"/>
        <v>PALMITO RODAJA  A-10</v>
      </c>
      <c r="D424" s="447">
        <f t="shared" si="409"/>
        <v>0</v>
      </c>
      <c r="E424" s="234">
        <f t="shared" si="410"/>
        <v>0</v>
      </c>
      <c r="F424" s="238">
        <f t="shared" si="411"/>
        <v>0</v>
      </c>
    </row>
    <row r="425" spans="1:11" x14ac:dyDescent="0.35">
      <c r="A425" s="246" t="s">
        <v>265</v>
      </c>
      <c r="B425" s="550" t="s">
        <v>182</v>
      </c>
      <c r="C425" s="252" t="str">
        <f>AV12</f>
        <v>PIÑA RODAJA 850</v>
      </c>
      <c r="D425" s="448">
        <f>AY12</f>
        <v>0</v>
      </c>
      <c r="E425" s="251">
        <f>BC12</f>
        <v>0</v>
      </c>
      <c r="F425" s="248">
        <f t="shared" si="411"/>
        <v>0</v>
      </c>
    </row>
    <row r="426" spans="1:11" x14ac:dyDescent="0.35">
      <c r="A426" s="246" t="s">
        <v>266</v>
      </c>
      <c r="B426" s="550" t="s">
        <v>182</v>
      </c>
      <c r="C426" s="252" t="str">
        <f>AV13</f>
        <v>PIÑA TROZO 850</v>
      </c>
      <c r="D426" s="448">
        <f>AY13</f>
        <v>0</v>
      </c>
      <c r="E426" s="251">
        <f>BC13</f>
        <v>0</v>
      </c>
      <c r="F426" s="248">
        <f t="shared" si="411"/>
        <v>0</v>
      </c>
    </row>
    <row r="427" spans="1:11" x14ac:dyDescent="0.35">
      <c r="A427" s="246" t="s">
        <v>267</v>
      </c>
      <c r="B427" s="550" t="s">
        <v>182</v>
      </c>
      <c r="C427" s="252" t="str">
        <f>AV14</f>
        <v>PIÑA TROZO A-10</v>
      </c>
      <c r="D427" s="448">
        <f>AY14</f>
        <v>0</v>
      </c>
      <c r="E427" s="251">
        <f>BC14</f>
        <v>0</v>
      </c>
      <c r="F427" s="248">
        <f t="shared" si="411"/>
        <v>0</v>
      </c>
    </row>
    <row r="428" spans="1:11" x14ac:dyDescent="0.35">
      <c r="A428" s="246" t="s">
        <v>268</v>
      </c>
      <c r="B428" s="550" t="s">
        <v>182</v>
      </c>
      <c r="C428" s="252" t="str">
        <f>AV15</f>
        <v>PIÑA RODAJA A-10</v>
      </c>
      <c r="D428" s="448">
        <f>AY15</f>
        <v>0</v>
      </c>
      <c r="E428" s="251">
        <f>BC15</f>
        <v>0</v>
      </c>
      <c r="F428" s="248">
        <f t="shared" ref="F428" si="412">D428*E428</f>
        <v>0</v>
      </c>
    </row>
    <row r="429" spans="1:11" x14ac:dyDescent="0.35">
      <c r="A429" s="246" t="s">
        <v>409</v>
      </c>
      <c r="B429" s="550" t="s">
        <v>182</v>
      </c>
      <c r="C429" s="252" t="str">
        <f t="shared" ref="C429:C432" si="413">AV16</f>
        <v>PIÑA RODAJA 567</v>
      </c>
      <c r="D429" s="448">
        <f t="shared" ref="D429:D432" si="414">AY16</f>
        <v>270000</v>
      </c>
      <c r="E429" s="251">
        <f t="shared" ref="E429:E432" si="415">BC16</f>
        <v>0.96041166831383962</v>
      </c>
      <c r="F429" s="248">
        <f>D429*E429</f>
        <v>259311.1504447367</v>
      </c>
    </row>
    <row r="430" spans="1:11" x14ac:dyDescent="0.35">
      <c r="A430" s="246" t="s">
        <v>410</v>
      </c>
      <c r="B430" s="550" t="s">
        <v>182</v>
      </c>
      <c r="C430" s="252" t="str">
        <f t="shared" si="413"/>
        <v>PIÑA TROZO 567</v>
      </c>
      <c r="D430" s="448">
        <f t="shared" si="414"/>
        <v>108000</v>
      </c>
      <c r="E430" s="251">
        <f t="shared" si="415"/>
        <v>0.9604116683138394</v>
      </c>
      <c r="F430" s="248">
        <f t="shared" ref="F430:F432" si="416">D430*E430</f>
        <v>103724.46017789465</v>
      </c>
      <c r="K430" s="158"/>
    </row>
    <row r="431" spans="1:11" x14ac:dyDescent="0.35">
      <c r="A431" s="246" t="s">
        <v>411</v>
      </c>
      <c r="B431" s="550" t="s">
        <v>182</v>
      </c>
      <c r="C431" s="252" t="str">
        <f t="shared" si="413"/>
        <v>PIÑA RODAJA 822</v>
      </c>
      <c r="D431" s="448">
        <f t="shared" si="414"/>
        <v>73440</v>
      </c>
      <c r="E431" s="251">
        <f t="shared" si="415"/>
        <v>1.2984286501572693</v>
      </c>
      <c r="F431" s="248">
        <f t="shared" si="416"/>
        <v>95356.600067549851</v>
      </c>
      <c r="K431" s="158"/>
    </row>
    <row r="432" spans="1:11" ht="16" thickBot="1" x14ac:dyDescent="0.4">
      <c r="A432" s="249" t="s">
        <v>412</v>
      </c>
      <c r="B432" s="551" t="s">
        <v>182</v>
      </c>
      <c r="C432" s="430" t="str">
        <f t="shared" si="413"/>
        <v>PIÑA TROZO 822</v>
      </c>
      <c r="D432" s="449">
        <f t="shared" si="414"/>
        <v>36720</v>
      </c>
      <c r="E432" s="439">
        <f t="shared" si="415"/>
        <v>1.2984286501572693</v>
      </c>
      <c r="F432" s="250">
        <f t="shared" si="416"/>
        <v>47678.300033774925</v>
      </c>
      <c r="K432" s="158"/>
    </row>
    <row r="433" spans="1:11" x14ac:dyDescent="0.35">
      <c r="A433" s="233" t="s">
        <v>257</v>
      </c>
      <c r="B433" s="454" t="s">
        <v>183</v>
      </c>
      <c r="C433" s="234" t="str">
        <f t="shared" ref="C433:C440" si="417">C45</f>
        <v xml:space="preserve">PALMITO ENTERO 800 </v>
      </c>
      <c r="D433" s="447">
        <f t="shared" ref="D433:D440" si="418">F45</f>
        <v>0</v>
      </c>
      <c r="E433" s="243">
        <f t="shared" ref="E433:E440" si="419">J45</f>
        <v>0</v>
      </c>
      <c r="F433" s="238">
        <f t="shared" si="411"/>
        <v>0</v>
      </c>
      <c r="G433" s="241"/>
      <c r="K433" s="158"/>
    </row>
    <row r="434" spans="1:11" x14ac:dyDescent="0.35">
      <c r="A434" s="233" t="s">
        <v>258</v>
      </c>
      <c r="B434" s="454" t="s">
        <v>183</v>
      </c>
      <c r="C434" s="234" t="str">
        <f t="shared" si="417"/>
        <v>PALMITO RODAJA 800</v>
      </c>
      <c r="D434" s="447">
        <f t="shared" si="418"/>
        <v>0</v>
      </c>
      <c r="E434" s="243">
        <f t="shared" si="419"/>
        <v>0</v>
      </c>
      <c r="F434" s="238">
        <f t="shared" si="411"/>
        <v>0</v>
      </c>
      <c r="K434" s="158"/>
    </row>
    <row r="435" spans="1:11" x14ac:dyDescent="0.35">
      <c r="A435" s="233" t="s">
        <v>259</v>
      </c>
      <c r="B435" s="454" t="s">
        <v>183</v>
      </c>
      <c r="C435" s="234" t="str">
        <f t="shared" si="417"/>
        <v>PALMITO TROZO 800</v>
      </c>
      <c r="D435" s="447">
        <f t="shared" si="418"/>
        <v>0</v>
      </c>
      <c r="E435" s="243">
        <f t="shared" si="419"/>
        <v>0</v>
      </c>
      <c r="F435" s="238">
        <f t="shared" si="411"/>
        <v>0</v>
      </c>
      <c r="K435" s="158"/>
    </row>
    <row r="436" spans="1:11" x14ac:dyDescent="0.35">
      <c r="A436" s="233" t="s">
        <v>260</v>
      </c>
      <c r="B436" s="454" t="s">
        <v>183</v>
      </c>
      <c r="C436" s="234" t="str">
        <f t="shared" si="417"/>
        <v>PALMITO ENTERO 400</v>
      </c>
      <c r="D436" s="447">
        <f t="shared" si="418"/>
        <v>0</v>
      </c>
      <c r="E436" s="243">
        <f t="shared" si="419"/>
        <v>0</v>
      </c>
      <c r="F436" s="238">
        <f t="shared" si="411"/>
        <v>0</v>
      </c>
      <c r="K436" s="158"/>
    </row>
    <row r="437" spans="1:11" x14ac:dyDescent="0.35">
      <c r="A437" s="233" t="s">
        <v>261</v>
      </c>
      <c r="B437" s="454" t="s">
        <v>183</v>
      </c>
      <c r="C437" s="234" t="str">
        <f t="shared" si="417"/>
        <v>PALMITO RODAJA 400</v>
      </c>
      <c r="D437" s="447">
        <f t="shared" si="418"/>
        <v>0</v>
      </c>
      <c r="E437" s="243">
        <f t="shared" si="419"/>
        <v>0</v>
      </c>
      <c r="F437" s="238">
        <f t="shared" si="411"/>
        <v>0</v>
      </c>
      <c r="K437" s="158"/>
    </row>
    <row r="438" spans="1:11" x14ac:dyDescent="0.35">
      <c r="A438" s="233" t="s">
        <v>262</v>
      </c>
      <c r="B438" s="454" t="s">
        <v>183</v>
      </c>
      <c r="C438" s="234" t="str">
        <f t="shared" si="417"/>
        <v>PALMITO TROZO 400</v>
      </c>
      <c r="D438" s="447">
        <f t="shared" si="418"/>
        <v>0</v>
      </c>
      <c r="E438" s="243">
        <f t="shared" si="419"/>
        <v>0</v>
      </c>
      <c r="F438" s="238">
        <f t="shared" si="411"/>
        <v>0</v>
      </c>
      <c r="K438" s="158"/>
    </row>
    <row r="439" spans="1:11" x14ac:dyDescent="0.35">
      <c r="A439" s="233" t="s">
        <v>263</v>
      </c>
      <c r="B439" s="454" t="s">
        <v>183</v>
      </c>
      <c r="C439" s="234" t="str">
        <f t="shared" si="417"/>
        <v>PALMITO TROZO  A-10</v>
      </c>
      <c r="D439" s="447">
        <f t="shared" si="418"/>
        <v>0</v>
      </c>
      <c r="E439" s="243">
        <f t="shared" si="419"/>
        <v>0</v>
      </c>
      <c r="F439" s="238">
        <f t="shared" si="411"/>
        <v>0</v>
      </c>
      <c r="K439" s="158"/>
    </row>
    <row r="440" spans="1:11" x14ac:dyDescent="0.35">
      <c r="A440" s="233" t="s">
        <v>264</v>
      </c>
      <c r="B440" s="454" t="s">
        <v>183</v>
      </c>
      <c r="C440" s="234" t="str">
        <f t="shared" si="417"/>
        <v>PALMITO RODAJA  A-10</v>
      </c>
      <c r="D440" s="447">
        <f t="shared" si="418"/>
        <v>0</v>
      </c>
      <c r="E440" s="243">
        <f t="shared" si="419"/>
        <v>0</v>
      </c>
      <c r="F440" s="238">
        <f t="shared" si="411"/>
        <v>0</v>
      </c>
      <c r="K440" s="158"/>
    </row>
    <row r="441" spans="1:11" x14ac:dyDescent="0.35">
      <c r="A441" s="246" t="s">
        <v>265</v>
      </c>
      <c r="B441" s="550" t="s">
        <v>183</v>
      </c>
      <c r="C441" s="247" t="str">
        <f>AV45</f>
        <v>PIÑA RODAJA 850</v>
      </c>
      <c r="D441" s="448">
        <f>AY45</f>
        <v>0</v>
      </c>
      <c r="E441" s="247">
        <f>BC45</f>
        <v>0</v>
      </c>
      <c r="F441" s="248">
        <f t="shared" si="411"/>
        <v>0</v>
      </c>
    </row>
    <row r="442" spans="1:11" x14ac:dyDescent="0.35">
      <c r="A442" s="246" t="s">
        <v>266</v>
      </c>
      <c r="B442" s="550" t="s">
        <v>183</v>
      </c>
      <c r="C442" s="247" t="str">
        <f>AV46</f>
        <v>PIÑA TROZO 850</v>
      </c>
      <c r="D442" s="448">
        <f>AY46</f>
        <v>0</v>
      </c>
      <c r="E442" s="247">
        <f>BC46</f>
        <v>0</v>
      </c>
      <c r="F442" s="248">
        <f t="shared" ref="F442:F443" si="420">D442*E442</f>
        <v>0</v>
      </c>
    </row>
    <row r="443" spans="1:11" x14ac:dyDescent="0.35">
      <c r="A443" s="246" t="s">
        <v>267</v>
      </c>
      <c r="B443" s="550" t="s">
        <v>183</v>
      </c>
      <c r="C443" s="247" t="str">
        <f>AV47</f>
        <v>PIÑA TROZO A-10</v>
      </c>
      <c r="D443" s="448">
        <f t="shared" ref="D443:D448" si="421">AY47</f>
        <v>0</v>
      </c>
      <c r="E443" s="247">
        <f t="shared" ref="E443:E448" si="422">BC47</f>
        <v>0</v>
      </c>
      <c r="F443" s="248">
        <f t="shared" si="420"/>
        <v>0</v>
      </c>
    </row>
    <row r="444" spans="1:11" x14ac:dyDescent="0.35">
      <c r="A444" s="246" t="s">
        <v>268</v>
      </c>
      <c r="B444" s="550" t="s">
        <v>183</v>
      </c>
      <c r="C444" s="247" t="str">
        <f t="shared" ref="C444:C448" si="423">AV48</f>
        <v>PIÑA RODAJA A-10</v>
      </c>
      <c r="D444" s="448">
        <f t="shared" si="421"/>
        <v>0</v>
      </c>
      <c r="E444" s="247">
        <f t="shared" si="422"/>
        <v>0</v>
      </c>
      <c r="F444" s="248">
        <f t="shared" ref="F444:F448" si="424">D444*E444</f>
        <v>0</v>
      </c>
    </row>
    <row r="445" spans="1:11" x14ac:dyDescent="0.35">
      <c r="A445" s="246" t="s">
        <v>409</v>
      </c>
      <c r="B445" s="550" t="s">
        <v>183</v>
      </c>
      <c r="C445" s="247" t="str">
        <f t="shared" si="423"/>
        <v>PIÑA RODAJA 567</v>
      </c>
      <c r="D445" s="448">
        <f t="shared" si="421"/>
        <v>270000</v>
      </c>
      <c r="E445" s="247">
        <f t="shared" si="422"/>
        <v>0.96041166831383962</v>
      </c>
      <c r="F445" s="248">
        <f t="shared" si="424"/>
        <v>259311.1504447367</v>
      </c>
    </row>
    <row r="446" spans="1:11" x14ac:dyDescent="0.35">
      <c r="A446" s="246" t="s">
        <v>410</v>
      </c>
      <c r="B446" s="550" t="s">
        <v>183</v>
      </c>
      <c r="C446" s="247" t="str">
        <f t="shared" si="423"/>
        <v>PIÑA TROZO 567</v>
      </c>
      <c r="D446" s="448">
        <f t="shared" si="421"/>
        <v>108000</v>
      </c>
      <c r="E446" s="247">
        <f t="shared" si="422"/>
        <v>0.9604116683138394</v>
      </c>
      <c r="F446" s="248">
        <f t="shared" si="424"/>
        <v>103724.46017789465</v>
      </c>
    </row>
    <row r="447" spans="1:11" x14ac:dyDescent="0.35">
      <c r="A447" s="246" t="s">
        <v>411</v>
      </c>
      <c r="B447" s="550" t="s">
        <v>183</v>
      </c>
      <c r="C447" s="247" t="str">
        <f t="shared" si="423"/>
        <v>PIÑA RODAJA 822</v>
      </c>
      <c r="D447" s="448">
        <f t="shared" si="421"/>
        <v>73440</v>
      </c>
      <c r="E447" s="247">
        <f t="shared" si="422"/>
        <v>1.2984286501572693</v>
      </c>
      <c r="F447" s="248">
        <f t="shared" si="424"/>
        <v>95356.600067549851</v>
      </c>
    </row>
    <row r="448" spans="1:11" ht="16" thickBot="1" x14ac:dyDescent="0.4">
      <c r="A448" s="246" t="s">
        <v>412</v>
      </c>
      <c r="B448" s="550" t="s">
        <v>183</v>
      </c>
      <c r="C448" s="247" t="str">
        <f t="shared" si="423"/>
        <v>PIÑA TROZO 822</v>
      </c>
      <c r="D448" s="448">
        <f t="shared" si="421"/>
        <v>36720</v>
      </c>
      <c r="E448" s="247">
        <f t="shared" si="422"/>
        <v>1.2984286501572693</v>
      </c>
      <c r="F448" s="248">
        <f t="shared" si="424"/>
        <v>47678.300033774925</v>
      </c>
    </row>
    <row r="449" spans="1:7" x14ac:dyDescent="0.35">
      <c r="A449" s="232" t="s">
        <v>257</v>
      </c>
      <c r="B449" s="455" t="s">
        <v>184</v>
      </c>
      <c r="C449" s="235" t="str">
        <f t="shared" ref="C449:C456" si="425">C78</f>
        <v xml:space="preserve">PALMITO ENTERO 800 </v>
      </c>
      <c r="D449" s="446">
        <f t="shared" ref="D449:D456" si="426">F78</f>
        <v>0</v>
      </c>
      <c r="E449" s="244">
        <f t="shared" ref="E449:E456" si="427">J78</f>
        <v>0</v>
      </c>
      <c r="F449" s="239">
        <f t="shared" ref="F449:F456" si="428">D449*E449</f>
        <v>0</v>
      </c>
      <c r="G449" s="241"/>
    </row>
    <row r="450" spans="1:7" x14ac:dyDescent="0.35">
      <c r="A450" s="233" t="s">
        <v>258</v>
      </c>
      <c r="B450" s="454" t="s">
        <v>184</v>
      </c>
      <c r="C450" s="234" t="str">
        <f t="shared" si="425"/>
        <v>PALMITO RODAJA 800</v>
      </c>
      <c r="D450" s="447">
        <f t="shared" si="426"/>
        <v>0</v>
      </c>
      <c r="E450" s="243">
        <f t="shared" si="427"/>
        <v>0</v>
      </c>
      <c r="F450" s="238">
        <f t="shared" si="428"/>
        <v>0</v>
      </c>
    </row>
    <row r="451" spans="1:7" x14ac:dyDescent="0.35">
      <c r="A451" s="233" t="s">
        <v>259</v>
      </c>
      <c r="B451" s="454" t="s">
        <v>184</v>
      </c>
      <c r="C451" s="234" t="str">
        <f t="shared" si="425"/>
        <v>PALMITO TROZO 800</v>
      </c>
      <c r="D451" s="447">
        <f t="shared" si="426"/>
        <v>0</v>
      </c>
      <c r="E451" s="243">
        <f t="shared" si="427"/>
        <v>0</v>
      </c>
      <c r="F451" s="238">
        <f t="shared" si="428"/>
        <v>0</v>
      </c>
    </row>
    <row r="452" spans="1:7" x14ac:dyDescent="0.35">
      <c r="A452" s="233" t="s">
        <v>260</v>
      </c>
      <c r="B452" s="454" t="s">
        <v>184</v>
      </c>
      <c r="C452" s="234" t="str">
        <f t="shared" si="425"/>
        <v>PALMITO ENTERO 400</v>
      </c>
      <c r="D452" s="447">
        <f t="shared" si="426"/>
        <v>0</v>
      </c>
      <c r="E452" s="243">
        <f t="shared" si="427"/>
        <v>0</v>
      </c>
      <c r="F452" s="238">
        <f t="shared" si="428"/>
        <v>0</v>
      </c>
    </row>
    <row r="453" spans="1:7" x14ac:dyDescent="0.35">
      <c r="A453" s="233" t="s">
        <v>261</v>
      </c>
      <c r="B453" s="454" t="s">
        <v>184</v>
      </c>
      <c r="C453" s="234" t="str">
        <f t="shared" si="425"/>
        <v>PALMITO RODAJA 400</v>
      </c>
      <c r="D453" s="447">
        <f t="shared" si="426"/>
        <v>0</v>
      </c>
      <c r="E453" s="243">
        <f t="shared" si="427"/>
        <v>0</v>
      </c>
      <c r="F453" s="238">
        <f t="shared" si="428"/>
        <v>0</v>
      </c>
    </row>
    <row r="454" spans="1:7" x14ac:dyDescent="0.35">
      <c r="A454" s="233" t="s">
        <v>262</v>
      </c>
      <c r="B454" s="454" t="s">
        <v>184</v>
      </c>
      <c r="C454" s="234" t="str">
        <f t="shared" si="425"/>
        <v>PALMITO TROZO 400</v>
      </c>
      <c r="D454" s="447">
        <f t="shared" si="426"/>
        <v>0</v>
      </c>
      <c r="E454" s="243">
        <f t="shared" si="427"/>
        <v>0</v>
      </c>
      <c r="F454" s="238">
        <f t="shared" si="428"/>
        <v>0</v>
      </c>
    </row>
    <row r="455" spans="1:7" x14ac:dyDescent="0.35">
      <c r="A455" s="233" t="s">
        <v>263</v>
      </c>
      <c r="B455" s="454" t="s">
        <v>184</v>
      </c>
      <c r="C455" s="234" t="str">
        <f t="shared" si="425"/>
        <v>PALMITO TROZO  A-10</v>
      </c>
      <c r="D455" s="447">
        <f t="shared" si="426"/>
        <v>0</v>
      </c>
      <c r="E455" s="243">
        <f t="shared" si="427"/>
        <v>0</v>
      </c>
      <c r="F455" s="238">
        <f t="shared" si="428"/>
        <v>0</v>
      </c>
    </row>
    <row r="456" spans="1:7" x14ac:dyDescent="0.35">
      <c r="A456" s="233" t="s">
        <v>264</v>
      </c>
      <c r="B456" s="454" t="s">
        <v>184</v>
      </c>
      <c r="C456" s="234" t="str">
        <f t="shared" si="425"/>
        <v>PALMITO RODAJA  A-10</v>
      </c>
      <c r="D456" s="447">
        <f t="shared" si="426"/>
        <v>0</v>
      </c>
      <c r="E456" s="243">
        <f t="shared" si="427"/>
        <v>0</v>
      </c>
      <c r="F456" s="238">
        <f t="shared" si="428"/>
        <v>0</v>
      </c>
    </row>
    <row r="457" spans="1:7" x14ac:dyDescent="0.35">
      <c r="A457" s="246" t="s">
        <v>265</v>
      </c>
      <c r="B457" s="550" t="s">
        <v>184</v>
      </c>
      <c r="C457" s="247" t="str">
        <f>AV78</f>
        <v>PIÑA RODAJA 850</v>
      </c>
      <c r="D457" s="448">
        <f>AY78</f>
        <v>0</v>
      </c>
      <c r="E457" s="247">
        <f>BC78</f>
        <v>0</v>
      </c>
      <c r="F457" s="248">
        <f t="shared" ref="F457:F459" si="429">D457*E457</f>
        <v>0</v>
      </c>
    </row>
    <row r="458" spans="1:7" x14ac:dyDescent="0.35">
      <c r="A458" s="246" t="s">
        <v>266</v>
      </c>
      <c r="B458" s="550" t="s">
        <v>184</v>
      </c>
      <c r="C458" s="247" t="str">
        <f>AV79</f>
        <v>PIÑA TROZO 850</v>
      </c>
      <c r="D458" s="448">
        <f>AY79</f>
        <v>0</v>
      </c>
      <c r="E458" s="247">
        <f>BC79</f>
        <v>0</v>
      </c>
      <c r="F458" s="248">
        <f t="shared" si="429"/>
        <v>0</v>
      </c>
    </row>
    <row r="459" spans="1:7" x14ac:dyDescent="0.35">
      <c r="A459" s="246" t="s">
        <v>267</v>
      </c>
      <c r="B459" s="550" t="s">
        <v>184</v>
      </c>
      <c r="C459" s="247" t="str">
        <f>AV80</f>
        <v>PIÑA TROZO A-10</v>
      </c>
      <c r="D459" s="448">
        <f>AY80</f>
        <v>0</v>
      </c>
      <c r="E459" s="247">
        <f>BC80</f>
        <v>0</v>
      </c>
      <c r="F459" s="248">
        <f t="shared" si="429"/>
        <v>0</v>
      </c>
    </row>
    <row r="460" spans="1:7" x14ac:dyDescent="0.35">
      <c r="A460" s="246" t="s">
        <v>268</v>
      </c>
      <c r="B460" s="550" t="s">
        <v>184</v>
      </c>
      <c r="C460" s="247" t="str">
        <f t="shared" ref="C460:C464" si="430">AV81</f>
        <v>PIÑA RODAJA A-10</v>
      </c>
      <c r="D460" s="448">
        <f t="shared" ref="D460:D464" si="431">AY81</f>
        <v>0</v>
      </c>
      <c r="E460" s="247">
        <f t="shared" ref="E460:E464" si="432">BC81</f>
        <v>0</v>
      </c>
      <c r="F460" s="248">
        <f t="shared" ref="F460:F464" si="433">D460*E460</f>
        <v>0</v>
      </c>
    </row>
    <row r="461" spans="1:7" x14ac:dyDescent="0.35">
      <c r="A461" s="246" t="s">
        <v>409</v>
      </c>
      <c r="B461" s="550" t="s">
        <v>184</v>
      </c>
      <c r="C461" s="247" t="str">
        <f t="shared" si="430"/>
        <v>PIÑA RODAJA 567</v>
      </c>
      <c r="D461" s="448">
        <f t="shared" si="431"/>
        <v>270000</v>
      </c>
      <c r="E461" s="247">
        <f t="shared" si="432"/>
        <v>0.96041166831383962</v>
      </c>
      <c r="F461" s="248">
        <f t="shared" si="433"/>
        <v>259311.1504447367</v>
      </c>
    </row>
    <row r="462" spans="1:7" x14ac:dyDescent="0.35">
      <c r="A462" s="246" t="s">
        <v>410</v>
      </c>
      <c r="B462" s="550" t="s">
        <v>184</v>
      </c>
      <c r="C462" s="247" t="str">
        <f t="shared" si="430"/>
        <v>PIÑA TROZO 567</v>
      </c>
      <c r="D462" s="448">
        <f t="shared" si="431"/>
        <v>108000</v>
      </c>
      <c r="E462" s="247">
        <f t="shared" si="432"/>
        <v>0.9604116683138394</v>
      </c>
      <c r="F462" s="248">
        <f t="shared" si="433"/>
        <v>103724.46017789465</v>
      </c>
    </row>
    <row r="463" spans="1:7" x14ac:dyDescent="0.35">
      <c r="A463" s="246" t="s">
        <v>411</v>
      </c>
      <c r="B463" s="550" t="s">
        <v>184</v>
      </c>
      <c r="C463" s="247" t="str">
        <f t="shared" si="430"/>
        <v>PIÑA RODAJA 822</v>
      </c>
      <c r="D463" s="448">
        <f t="shared" si="431"/>
        <v>73440</v>
      </c>
      <c r="E463" s="247">
        <f t="shared" si="432"/>
        <v>1.2984286501572693</v>
      </c>
      <c r="F463" s="248">
        <f t="shared" si="433"/>
        <v>95356.600067549851</v>
      </c>
    </row>
    <row r="464" spans="1:7" ht="16" thickBot="1" x14ac:dyDescent="0.4">
      <c r="A464" s="246" t="s">
        <v>412</v>
      </c>
      <c r="B464" s="550" t="s">
        <v>184</v>
      </c>
      <c r="C464" s="247" t="str">
        <f t="shared" si="430"/>
        <v>PIÑA TROZO 822</v>
      </c>
      <c r="D464" s="448">
        <f t="shared" si="431"/>
        <v>36720</v>
      </c>
      <c r="E464" s="247">
        <f t="shared" si="432"/>
        <v>1.2984286501572693</v>
      </c>
      <c r="F464" s="248">
        <f t="shared" si="433"/>
        <v>47678.300033774925</v>
      </c>
    </row>
    <row r="465" spans="1:7" x14ac:dyDescent="0.35">
      <c r="A465" s="232" t="s">
        <v>257</v>
      </c>
      <c r="B465" s="455" t="s">
        <v>185</v>
      </c>
      <c r="C465" s="235" t="str">
        <f t="shared" ref="C465:C472" si="434">C111</f>
        <v xml:space="preserve">PALMITO ENTERO 800 </v>
      </c>
      <c r="D465" s="446">
        <f t="shared" ref="D465:D472" si="435">F111</f>
        <v>0</v>
      </c>
      <c r="E465" s="236">
        <f t="shared" ref="E465:E472" si="436">J111</f>
        <v>0</v>
      </c>
      <c r="F465" s="239">
        <f t="shared" ref="F465:F476" si="437">D465*E465</f>
        <v>0</v>
      </c>
      <c r="G465" s="241"/>
    </row>
    <row r="466" spans="1:7" x14ac:dyDescent="0.35">
      <c r="A466" s="233" t="s">
        <v>258</v>
      </c>
      <c r="B466" s="454" t="s">
        <v>185</v>
      </c>
      <c r="C466" s="234" t="str">
        <f t="shared" si="434"/>
        <v>PALMITO RODAJA 800</v>
      </c>
      <c r="D466" s="447">
        <f t="shared" si="435"/>
        <v>0</v>
      </c>
      <c r="E466" s="237">
        <f t="shared" si="436"/>
        <v>0</v>
      </c>
      <c r="F466" s="238">
        <f t="shared" si="437"/>
        <v>0</v>
      </c>
    </row>
    <row r="467" spans="1:7" x14ac:dyDescent="0.35">
      <c r="A467" s="233" t="s">
        <v>259</v>
      </c>
      <c r="B467" s="454" t="s">
        <v>185</v>
      </c>
      <c r="C467" s="234" t="str">
        <f t="shared" si="434"/>
        <v>PALMITO TROZO 800</v>
      </c>
      <c r="D467" s="447">
        <f t="shared" si="435"/>
        <v>0</v>
      </c>
      <c r="E467" s="237">
        <f t="shared" si="436"/>
        <v>0</v>
      </c>
      <c r="F467" s="238">
        <f t="shared" si="437"/>
        <v>0</v>
      </c>
    </row>
    <row r="468" spans="1:7" x14ac:dyDescent="0.35">
      <c r="A468" s="233" t="s">
        <v>260</v>
      </c>
      <c r="B468" s="454" t="s">
        <v>185</v>
      </c>
      <c r="C468" s="234" t="str">
        <f t="shared" si="434"/>
        <v>PALMITO ENTERO 400</v>
      </c>
      <c r="D468" s="447">
        <f t="shared" si="435"/>
        <v>0</v>
      </c>
      <c r="E468" s="237">
        <f t="shared" si="436"/>
        <v>0</v>
      </c>
      <c r="F468" s="238">
        <f t="shared" si="437"/>
        <v>0</v>
      </c>
    </row>
    <row r="469" spans="1:7" x14ac:dyDescent="0.35">
      <c r="A469" s="233" t="s">
        <v>261</v>
      </c>
      <c r="B469" s="454" t="s">
        <v>185</v>
      </c>
      <c r="C469" s="234" t="str">
        <f t="shared" si="434"/>
        <v>PALMITO RODAJA 400</v>
      </c>
      <c r="D469" s="447">
        <f t="shared" si="435"/>
        <v>0</v>
      </c>
      <c r="E469" s="237">
        <f t="shared" si="436"/>
        <v>0</v>
      </c>
      <c r="F469" s="238">
        <f t="shared" si="437"/>
        <v>0</v>
      </c>
    </row>
    <row r="470" spans="1:7" x14ac:dyDescent="0.35">
      <c r="A470" s="233" t="s">
        <v>262</v>
      </c>
      <c r="B470" s="454" t="s">
        <v>185</v>
      </c>
      <c r="C470" s="234" t="str">
        <f t="shared" si="434"/>
        <v>PALMITO TROZO 400</v>
      </c>
      <c r="D470" s="447">
        <f t="shared" si="435"/>
        <v>0</v>
      </c>
      <c r="E470" s="237">
        <f t="shared" si="436"/>
        <v>0</v>
      </c>
      <c r="F470" s="238">
        <f t="shared" si="437"/>
        <v>0</v>
      </c>
    </row>
    <row r="471" spans="1:7" x14ac:dyDescent="0.35">
      <c r="A471" s="233" t="s">
        <v>263</v>
      </c>
      <c r="B471" s="454" t="s">
        <v>185</v>
      </c>
      <c r="C471" s="234" t="str">
        <f t="shared" si="434"/>
        <v>PALMITO TROZO  A-10</v>
      </c>
      <c r="D471" s="447">
        <f t="shared" si="435"/>
        <v>0</v>
      </c>
      <c r="E471" s="237">
        <f t="shared" si="436"/>
        <v>0</v>
      </c>
      <c r="F471" s="238">
        <f t="shared" si="437"/>
        <v>0</v>
      </c>
    </row>
    <row r="472" spans="1:7" x14ac:dyDescent="0.35">
      <c r="A472" s="233" t="s">
        <v>264</v>
      </c>
      <c r="B472" s="454" t="s">
        <v>185</v>
      </c>
      <c r="C472" s="234" t="str">
        <f t="shared" si="434"/>
        <v>PALMITO RODAJA  A-10</v>
      </c>
      <c r="D472" s="447">
        <f t="shared" si="435"/>
        <v>0</v>
      </c>
      <c r="E472" s="237">
        <f t="shared" si="436"/>
        <v>0</v>
      </c>
      <c r="F472" s="238">
        <f t="shared" si="437"/>
        <v>0</v>
      </c>
    </row>
    <row r="473" spans="1:7" x14ac:dyDescent="0.35">
      <c r="A473" s="246" t="s">
        <v>265</v>
      </c>
      <c r="B473" s="550" t="s">
        <v>185</v>
      </c>
      <c r="C473" s="247" t="str">
        <f>AV111</f>
        <v>PIÑA RODAJA 850</v>
      </c>
      <c r="D473" s="448">
        <f>AY111</f>
        <v>0</v>
      </c>
      <c r="E473" s="247">
        <f>BC111</f>
        <v>0</v>
      </c>
      <c r="F473" s="248">
        <f t="shared" si="437"/>
        <v>0</v>
      </c>
    </row>
    <row r="474" spans="1:7" x14ac:dyDescent="0.35">
      <c r="A474" s="246" t="s">
        <v>266</v>
      </c>
      <c r="B474" s="550" t="s">
        <v>185</v>
      </c>
      <c r="C474" s="247" t="str">
        <f>AV112</f>
        <v>PIÑA TROZO 850</v>
      </c>
      <c r="D474" s="448">
        <f>AY112</f>
        <v>0</v>
      </c>
      <c r="E474" s="247">
        <f>BC112</f>
        <v>0</v>
      </c>
      <c r="F474" s="248">
        <f t="shared" si="437"/>
        <v>0</v>
      </c>
    </row>
    <row r="475" spans="1:7" x14ac:dyDescent="0.35">
      <c r="A475" s="246" t="s">
        <v>267</v>
      </c>
      <c r="B475" s="550" t="s">
        <v>185</v>
      </c>
      <c r="C475" s="247" t="str">
        <f>AV113</f>
        <v>PIÑA TROZO A-10</v>
      </c>
      <c r="D475" s="448">
        <f>AY113</f>
        <v>0</v>
      </c>
      <c r="E475" s="247">
        <f>BC113</f>
        <v>0</v>
      </c>
      <c r="F475" s="248">
        <f t="shared" si="437"/>
        <v>0</v>
      </c>
    </row>
    <row r="476" spans="1:7" x14ac:dyDescent="0.35">
      <c r="A476" s="246" t="s">
        <v>268</v>
      </c>
      <c r="B476" s="550" t="s">
        <v>185</v>
      </c>
      <c r="C476" s="247" t="str">
        <f>AV114</f>
        <v>PIÑA RODAJA A-10</v>
      </c>
      <c r="D476" s="448">
        <f>AY114</f>
        <v>0</v>
      </c>
      <c r="E476" s="247">
        <f>BC114</f>
        <v>0</v>
      </c>
      <c r="F476" s="248">
        <f t="shared" si="437"/>
        <v>0</v>
      </c>
    </row>
    <row r="477" spans="1:7" x14ac:dyDescent="0.35">
      <c r="A477" s="246" t="s">
        <v>409</v>
      </c>
      <c r="B477" s="550" t="s">
        <v>185</v>
      </c>
      <c r="C477" s="247" t="str">
        <f t="shared" ref="C477:C480" si="438">AV115</f>
        <v>PIÑA RODAJA 567</v>
      </c>
      <c r="D477" s="448">
        <f t="shared" ref="D477:D480" si="439">AY115</f>
        <v>270000</v>
      </c>
      <c r="E477" s="247">
        <f t="shared" ref="E477:E480" si="440">BC115</f>
        <v>0.96041166831383962</v>
      </c>
      <c r="F477" s="248">
        <f t="shared" ref="F477:F480" si="441">D477*E477</f>
        <v>259311.1504447367</v>
      </c>
    </row>
    <row r="478" spans="1:7" x14ac:dyDescent="0.35">
      <c r="A478" s="246" t="s">
        <v>410</v>
      </c>
      <c r="B478" s="550" t="s">
        <v>185</v>
      </c>
      <c r="C478" s="247" t="str">
        <f t="shared" si="438"/>
        <v>PIÑA TROZO 567</v>
      </c>
      <c r="D478" s="448">
        <f t="shared" si="439"/>
        <v>108000</v>
      </c>
      <c r="E478" s="247">
        <f t="shared" si="440"/>
        <v>0.9604116683138394</v>
      </c>
      <c r="F478" s="248">
        <f t="shared" si="441"/>
        <v>103724.46017789465</v>
      </c>
    </row>
    <row r="479" spans="1:7" x14ac:dyDescent="0.35">
      <c r="A479" s="246" t="s">
        <v>411</v>
      </c>
      <c r="B479" s="550" t="s">
        <v>185</v>
      </c>
      <c r="C479" s="247" t="str">
        <f t="shared" si="438"/>
        <v>PIÑA RODAJA 822</v>
      </c>
      <c r="D479" s="448">
        <f t="shared" si="439"/>
        <v>73440</v>
      </c>
      <c r="E479" s="247">
        <f t="shared" si="440"/>
        <v>1.2984286501572693</v>
      </c>
      <c r="F479" s="248">
        <f t="shared" si="441"/>
        <v>95356.600067549851</v>
      </c>
    </row>
    <row r="480" spans="1:7" ht="16" thickBot="1" x14ac:dyDescent="0.4">
      <c r="A480" s="246" t="s">
        <v>412</v>
      </c>
      <c r="B480" s="550" t="s">
        <v>185</v>
      </c>
      <c r="C480" s="247" t="str">
        <f t="shared" si="438"/>
        <v>PIÑA TROZO 822</v>
      </c>
      <c r="D480" s="448">
        <f t="shared" si="439"/>
        <v>36720</v>
      </c>
      <c r="E480" s="247">
        <f t="shared" si="440"/>
        <v>1.2984286501572693</v>
      </c>
      <c r="F480" s="248">
        <f t="shared" si="441"/>
        <v>47678.300033774925</v>
      </c>
    </row>
    <row r="481" spans="1:7" x14ac:dyDescent="0.35">
      <c r="A481" s="232" t="s">
        <v>257</v>
      </c>
      <c r="B481" s="455" t="s">
        <v>186</v>
      </c>
      <c r="C481" s="236" t="str">
        <f t="shared" ref="C481:C488" si="442">C144</f>
        <v xml:space="preserve">PALMITO ENTERO 800 </v>
      </c>
      <c r="D481" s="446">
        <f t="shared" ref="D481:D488" si="443">F144</f>
        <v>0</v>
      </c>
      <c r="E481" s="236">
        <f t="shared" ref="E481:E488" si="444">J144</f>
        <v>0</v>
      </c>
      <c r="F481" s="239">
        <f t="shared" ref="F481:F491" si="445">D481*E481</f>
        <v>0</v>
      </c>
      <c r="G481" s="241"/>
    </row>
    <row r="482" spans="1:7" x14ac:dyDescent="0.35">
      <c r="A482" s="233" t="s">
        <v>258</v>
      </c>
      <c r="B482" s="454" t="s">
        <v>186</v>
      </c>
      <c r="C482" s="234" t="str">
        <f t="shared" si="442"/>
        <v>PALMITO RODAJA 800</v>
      </c>
      <c r="D482" s="447">
        <f t="shared" si="443"/>
        <v>0</v>
      </c>
      <c r="E482" s="240">
        <f t="shared" si="444"/>
        <v>0</v>
      </c>
      <c r="F482" s="238">
        <f t="shared" si="445"/>
        <v>0</v>
      </c>
    </row>
    <row r="483" spans="1:7" x14ac:dyDescent="0.35">
      <c r="A483" s="233" t="s">
        <v>259</v>
      </c>
      <c r="B483" s="454" t="s">
        <v>186</v>
      </c>
      <c r="C483" s="234" t="str">
        <f t="shared" si="442"/>
        <v>PALMITO TROZO 800</v>
      </c>
      <c r="D483" s="447">
        <f t="shared" si="443"/>
        <v>0</v>
      </c>
      <c r="E483" s="240">
        <f t="shared" si="444"/>
        <v>0</v>
      </c>
      <c r="F483" s="238">
        <f t="shared" si="445"/>
        <v>0</v>
      </c>
    </row>
    <row r="484" spans="1:7" x14ac:dyDescent="0.35">
      <c r="A484" s="233" t="s">
        <v>260</v>
      </c>
      <c r="B484" s="454" t="s">
        <v>186</v>
      </c>
      <c r="C484" s="234" t="str">
        <f t="shared" si="442"/>
        <v>PALMITO ENTERO 400</v>
      </c>
      <c r="D484" s="447">
        <f t="shared" si="443"/>
        <v>0</v>
      </c>
      <c r="E484" s="240">
        <f t="shared" si="444"/>
        <v>0</v>
      </c>
      <c r="F484" s="238">
        <f t="shared" si="445"/>
        <v>0</v>
      </c>
    </row>
    <row r="485" spans="1:7" x14ac:dyDescent="0.35">
      <c r="A485" s="233" t="s">
        <v>261</v>
      </c>
      <c r="B485" s="454" t="s">
        <v>186</v>
      </c>
      <c r="C485" s="234" t="str">
        <f t="shared" si="442"/>
        <v>PALMITO RODAJA 400</v>
      </c>
      <c r="D485" s="447">
        <f t="shared" si="443"/>
        <v>0</v>
      </c>
      <c r="E485" s="240">
        <f t="shared" si="444"/>
        <v>0</v>
      </c>
      <c r="F485" s="238">
        <f t="shared" si="445"/>
        <v>0</v>
      </c>
    </row>
    <row r="486" spans="1:7" x14ac:dyDescent="0.35">
      <c r="A486" s="233" t="s">
        <v>262</v>
      </c>
      <c r="B486" s="454" t="s">
        <v>186</v>
      </c>
      <c r="C486" s="234" t="str">
        <f t="shared" si="442"/>
        <v>PALMITO TROZO 400</v>
      </c>
      <c r="D486" s="447">
        <f t="shared" si="443"/>
        <v>0</v>
      </c>
      <c r="E486" s="240">
        <f t="shared" si="444"/>
        <v>0</v>
      </c>
      <c r="F486" s="238">
        <f t="shared" si="445"/>
        <v>0</v>
      </c>
    </row>
    <row r="487" spans="1:7" x14ac:dyDescent="0.35">
      <c r="A487" s="233" t="s">
        <v>263</v>
      </c>
      <c r="B487" s="454" t="s">
        <v>186</v>
      </c>
      <c r="C487" s="234" t="str">
        <f t="shared" si="442"/>
        <v>PALMITO TROZO  A-10</v>
      </c>
      <c r="D487" s="447">
        <f t="shared" si="443"/>
        <v>0</v>
      </c>
      <c r="E487" s="240">
        <f t="shared" si="444"/>
        <v>0</v>
      </c>
      <c r="F487" s="238">
        <f t="shared" si="445"/>
        <v>0</v>
      </c>
    </row>
    <row r="488" spans="1:7" x14ac:dyDescent="0.35">
      <c r="A488" s="233" t="s">
        <v>264</v>
      </c>
      <c r="B488" s="454" t="s">
        <v>186</v>
      </c>
      <c r="C488" s="234" t="str">
        <f t="shared" si="442"/>
        <v>PALMITO RODAJA  A-10</v>
      </c>
      <c r="D488" s="447">
        <f t="shared" si="443"/>
        <v>0</v>
      </c>
      <c r="E488" s="240">
        <f t="shared" si="444"/>
        <v>0</v>
      </c>
      <c r="F488" s="238">
        <f t="shared" si="445"/>
        <v>0</v>
      </c>
    </row>
    <row r="489" spans="1:7" x14ac:dyDescent="0.35">
      <c r="A489" s="246" t="s">
        <v>265</v>
      </c>
      <c r="B489" s="550" t="s">
        <v>186</v>
      </c>
      <c r="C489" s="247" t="str">
        <f>AV144</f>
        <v>PIÑA RODAJA 850</v>
      </c>
      <c r="D489" s="448">
        <f>AY144</f>
        <v>0</v>
      </c>
      <c r="E489" s="251">
        <f>BC144</f>
        <v>0</v>
      </c>
      <c r="F489" s="248">
        <f t="shared" si="445"/>
        <v>0</v>
      </c>
    </row>
    <row r="490" spans="1:7" x14ac:dyDescent="0.35">
      <c r="A490" s="246" t="s">
        <v>266</v>
      </c>
      <c r="B490" s="550" t="s">
        <v>186</v>
      </c>
      <c r="C490" s="247" t="str">
        <f>AV145</f>
        <v>PIÑA TROZO 850</v>
      </c>
      <c r="D490" s="448">
        <f>AY145</f>
        <v>0</v>
      </c>
      <c r="E490" s="251">
        <f>BC145</f>
        <v>0</v>
      </c>
      <c r="F490" s="248">
        <f t="shared" si="445"/>
        <v>0</v>
      </c>
    </row>
    <row r="491" spans="1:7" x14ac:dyDescent="0.35">
      <c r="A491" s="246" t="s">
        <v>267</v>
      </c>
      <c r="B491" s="550" t="s">
        <v>186</v>
      </c>
      <c r="C491" s="247" t="str">
        <f>AV146</f>
        <v>PIÑA TROZO A-10</v>
      </c>
      <c r="D491" s="448">
        <f>AY146</f>
        <v>0</v>
      </c>
      <c r="E491" s="251">
        <f>BC146</f>
        <v>0</v>
      </c>
      <c r="F491" s="248">
        <f t="shared" si="445"/>
        <v>0</v>
      </c>
    </row>
    <row r="492" spans="1:7" x14ac:dyDescent="0.35">
      <c r="A492" s="246" t="s">
        <v>268</v>
      </c>
      <c r="B492" s="550" t="s">
        <v>186</v>
      </c>
      <c r="C492" s="247" t="str">
        <f t="shared" ref="C492:C496" si="446">AV147</f>
        <v>PIÑA RODAJA A-10</v>
      </c>
      <c r="D492" s="448">
        <f t="shared" ref="D492:D496" si="447">AY147</f>
        <v>0</v>
      </c>
      <c r="E492" s="251">
        <f t="shared" ref="E492:E496" si="448">BC147</f>
        <v>0</v>
      </c>
      <c r="F492" s="248">
        <f t="shared" ref="F492:F496" si="449">D492*E492</f>
        <v>0</v>
      </c>
    </row>
    <row r="493" spans="1:7" x14ac:dyDescent="0.35">
      <c r="A493" s="246" t="s">
        <v>409</v>
      </c>
      <c r="B493" s="550" t="s">
        <v>186</v>
      </c>
      <c r="C493" s="247" t="str">
        <f t="shared" si="446"/>
        <v>PIÑA RODAJA 567</v>
      </c>
      <c r="D493" s="448">
        <f t="shared" si="447"/>
        <v>270000</v>
      </c>
      <c r="E493" s="251">
        <f t="shared" si="448"/>
        <v>0.96041166831383962</v>
      </c>
      <c r="F493" s="248">
        <f t="shared" si="449"/>
        <v>259311.1504447367</v>
      </c>
    </row>
    <row r="494" spans="1:7" x14ac:dyDescent="0.35">
      <c r="A494" s="246" t="s">
        <v>410</v>
      </c>
      <c r="B494" s="550" t="s">
        <v>186</v>
      </c>
      <c r="C494" s="247" t="str">
        <f t="shared" si="446"/>
        <v>PIÑA TROZO 567</v>
      </c>
      <c r="D494" s="448">
        <f t="shared" si="447"/>
        <v>108000</v>
      </c>
      <c r="E494" s="251">
        <f t="shared" si="448"/>
        <v>0.9604116683138394</v>
      </c>
      <c r="F494" s="248">
        <f t="shared" si="449"/>
        <v>103724.46017789465</v>
      </c>
    </row>
    <row r="495" spans="1:7" x14ac:dyDescent="0.35">
      <c r="A495" s="246" t="s">
        <v>411</v>
      </c>
      <c r="B495" s="550" t="s">
        <v>186</v>
      </c>
      <c r="C495" s="247" t="str">
        <f t="shared" si="446"/>
        <v>PIÑA RODAJA 822</v>
      </c>
      <c r="D495" s="448">
        <f t="shared" si="447"/>
        <v>73440</v>
      </c>
      <c r="E495" s="251">
        <f t="shared" si="448"/>
        <v>1.2984286501572693</v>
      </c>
      <c r="F495" s="248">
        <f t="shared" si="449"/>
        <v>95356.600067549851</v>
      </c>
    </row>
    <row r="496" spans="1:7" ht="16" thickBot="1" x14ac:dyDescent="0.4">
      <c r="A496" s="246" t="s">
        <v>412</v>
      </c>
      <c r="B496" s="550" t="s">
        <v>186</v>
      </c>
      <c r="C496" s="247" t="str">
        <f t="shared" si="446"/>
        <v>PIÑA TROZO 822</v>
      </c>
      <c r="D496" s="448">
        <f t="shared" si="447"/>
        <v>36720</v>
      </c>
      <c r="E496" s="251">
        <f t="shared" si="448"/>
        <v>1.2984286501572693</v>
      </c>
      <c r="F496" s="248">
        <f t="shared" si="449"/>
        <v>47678.300033774925</v>
      </c>
    </row>
    <row r="497" spans="1:7" x14ac:dyDescent="0.35">
      <c r="A497" s="232" t="s">
        <v>257</v>
      </c>
      <c r="B497" s="455" t="s">
        <v>187</v>
      </c>
      <c r="C497" s="236" t="str">
        <f t="shared" ref="C497:C504" si="450">C177</f>
        <v xml:space="preserve">PALMITO ENTERO 800 </v>
      </c>
      <c r="D497" s="446">
        <f t="shared" ref="D497:D504" si="451">F177</f>
        <v>0</v>
      </c>
      <c r="E497" s="245">
        <f t="shared" ref="E497:E504" si="452">J177</f>
        <v>0</v>
      </c>
      <c r="F497" s="239">
        <f>D497*E497</f>
        <v>0</v>
      </c>
      <c r="G497" s="241"/>
    </row>
    <row r="498" spans="1:7" x14ac:dyDescent="0.35">
      <c r="A498" s="233" t="s">
        <v>258</v>
      </c>
      <c r="B498" s="454" t="s">
        <v>187</v>
      </c>
      <c r="C498" s="237" t="str">
        <f t="shared" si="450"/>
        <v>PALMITO RODAJA 800</v>
      </c>
      <c r="D498" s="447">
        <f t="shared" si="451"/>
        <v>0</v>
      </c>
      <c r="E498" s="240">
        <f t="shared" si="452"/>
        <v>0</v>
      </c>
      <c r="F498" s="238">
        <f>D498*E498</f>
        <v>0</v>
      </c>
    </row>
    <row r="499" spans="1:7" x14ac:dyDescent="0.35">
      <c r="A499" s="233" t="s">
        <v>259</v>
      </c>
      <c r="B499" s="454" t="s">
        <v>187</v>
      </c>
      <c r="C499" s="237" t="str">
        <f t="shared" si="450"/>
        <v>PALMITO TROZO 800</v>
      </c>
      <c r="D499" s="447">
        <f t="shared" si="451"/>
        <v>0</v>
      </c>
      <c r="E499" s="240">
        <f t="shared" si="452"/>
        <v>0</v>
      </c>
      <c r="F499" s="238">
        <f>D499*E499</f>
        <v>0</v>
      </c>
    </row>
    <row r="500" spans="1:7" x14ac:dyDescent="0.35">
      <c r="A500" s="233" t="s">
        <v>260</v>
      </c>
      <c r="B500" s="454" t="s">
        <v>187</v>
      </c>
      <c r="C500" s="237" t="str">
        <f t="shared" si="450"/>
        <v>PALMITO ENTERO 400</v>
      </c>
      <c r="D500" s="447">
        <f t="shared" si="451"/>
        <v>0</v>
      </c>
      <c r="E500" s="240">
        <f t="shared" si="452"/>
        <v>0</v>
      </c>
      <c r="F500" s="238">
        <f>D500*E500</f>
        <v>0</v>
      </c>
    </row>
    <row r="501" spans="1:7" x14ac:dyDescent="0.35">
      <c r="A501" s="233" t="s">
        <v>261</v>
      </c>
      <c r="B501" s="454" t="s">
        <v>187</v>
      </c>
      <c r="C501" s="237" t="str">
        <f t="shared" si="450"/>
        <v>PALMITO RODAJA 400</v>
      </c>
      <c r="D501" s="447">
        <f t="shared" si="451"/>
        <v>0</v>
      </c>
      <c r="E501" s="240">
        <f t="shared" si="452"/>
        <v>0</v>
      </c>
      <c r="F501" s="238">
        <f t="shared" ref="F501:F507" si="453">D501*E501</f>
        <v>0</v>
      </c>
    </row>
    <row r="502" spans="1:7" x14ac:dyDescent="0.35">
      <c r="A502" s="233" t="s">
        <v>262</v>
      </c>
      <c r="B502" s="454" t="s">
        <v>187</v>
      </c>
      <c r="C502" s="237" t="str">
        <f t="shared" si="450"/>
        <v>PALMITO TROZO 400</v>
      </c>
      <c r="D502" s="447">
        <f t="shared" si="451"/>
        <v>0</v>
      </c>
      <c r="E502" s="240">
        <f t="shared" si="452"/>
        <v>0</v>
      </c>
      <c r="F502" s="238">
        <f t="shared" si="453"/>
        <v>0</v>
      </c>
    </row>
    <row r="503" spans="1:7" x14ac:dyDescent="0.35">
      <c r="A503" s="233" t="s">
        <v>263</v>
      </c>
      <c r="B503" s="454" t="s">
        <v>187</v>
      </c>
      <c r="C503" s="237" t="str">
        <f t="shared" si="450"/>
        <v>PALMITO TROZO  A-10</v>
      </c>
      <c r="D503" s="447">
        <f t="shared" si="451"/>
        <v>0</v>
      </c>
      <c r="E503" s="240">
        <f t="shared" si="452"/>
        <v>0</v>
      </c>
      <c r="F503" s="238">
        <f t="shared" si="453"/>
        <v>0</v>
      </c>
    </row>
    <row r="504" spans="1:7" x14ac:dyDescent="0.35">
      <c r="A504" s="233" t="s">
        <v>264</v>
      </c>
      <c r="B504" s="454" t="s">
        <v>187</v>
      </c>
      <c r="C504" s="237" t="str">
        <f t="shared" si="450"/>
        <v>PALMITO RODAJA  A-10</v>
      </c>
      <c r="D504" s="447">
        <f t="shared" si="451"/>
        <v>0</v>
      </c>
      <c r="E504" s="240">
        <f t="shared" si="452"/>
        <v>0</v>
      </c>
      <c r="F504" s="238">
        <f t="shared" si="453"/>
        <v>0</v>
      </c>
    </row>
    <row r="505" spans="1:7" x14ac:dyDescent="0.35">
      <c r="A505" s="246" t="s">
        <v>265</v>
      </c>
      <c r="B505" s="550" t="s">
        <v>187</v>
      </c>
      <c r="C505" s="247" t="str">
        <f>AV177</f>
        <v>PIÑA RODAJA 850</v>
      </c>
      <c r="D505" s="448">
        <f>AY177</f>
        <v>0</v>
      </c>
      <c r="E505" s="251">
        <f>BC177</f>
        <v>0</v>
      </c>
      <c r="F505" s="248">
        <f t="shared" si="453"/>
        <v>0</v>
      </c>
    </row>
    <row r="506" spans="1:7" x14ac:dyDescent="0.35">
      <c r="A506" s="246" t="s">
        <v>266</v>
      </c>
      <c r="B506" s="550" t="s">
        <v>187</v>
      </c>
      <c r="C506" s="247" t="str">
        <f>AV178</f>
        <v>PIÑA TROZO 850</v>
      </c>
      <c r="D506" s="448">
        <f>AY178</f>
        <v>0</v>
      </c>
      <c r="E506" s="251">
        <f>BC178</f>
        <v>0</v>
      </c>
      <c r="F506" s="248">
        <f t="shared" si="453"/>
        <v>0</v>
      </c>
    </row>
    <row r="507" spans="1:7" x14ac:dyDescent="0.35">
      <c r="A507" s="246" t="s">
        <v>267</v>
      </c>
      <c r="B507" s="550" t="s">
        <v>187</v>
      </c>
      <c r="C507" s="247" t="str">
        <f>AV179</f>
        <v>PIÑA TROZO A-10</v>
      </c>
      <c r="D507" s="448">
        <f>AY179</f>
        <v>0</v>
      </c>
      <c r="E507" s="251">
        <f>BC179</f>
        <v>0</v>
      </c>
      <c r="F507" s="248">
        <f t="shared" si="453"/>
        <v>0</v>
      </c>
    </row>
    <row r="508" spans="1:7" x14ac:dyDescent="0.35">
      <c r="A508" s="246" t="s">
        <v>268</v>
      </c>
      <c r="B508" s="550" t="s">
        <v>187</v>
      </c>
      <c r="C508" s="247" t="str">
        <f t="shared" ref="C508:C512" si="454">AV180</f>
        <v>PIÑA RODAJA A-10</v>
      </c>
      <c r="D508" s="448">
        <f t="shared" ref="D508:D512" si="455">AY180</f>
        <v>0</v>
      </c>
      <c r="E508" s="251">
        <f t="shared" ref="E508:E512" si="456">BC180</f>
        <v>0</v>
      </c>
      <c r="F508" s="248">
        <f t="shared" ref="F508:F512" si="457">D508*E508</f>
        <v>0</v>
      </c>
    </row>
    <row r="509" spans="1:7" x14ac:dyDescent="0.35">
      <c r="A509" s="246" t="s">
        <v>409</v>
      </c>
      <c r="B509" s="550" t="s">
        <v>187</v>
      </c>
      <c r="C509" s="247" t="str">
        <f t="shared" si="454"/>
        <v>PIÑA RODAJA 567</v>
      </c>
      <c r="D509" s="448">
        <f t="shared" si="455"/>
        <v>270000</v>
      </c>
      <c r="E509" s="251">
        <f t="shared" si="456"/>
        <v>0.96041166831383962</v>
      </c>
      <c r="F509" s="248">
        <f t="shared" si="457"/>
        <v>259311.1504447367</v>
      </c>
    </row>
    <row r="510" spans="1:7" x14ac:dyDescent="0.35">
      <c r="A510" s="246" t="s">
        <v>410</v>
      </c>
      <c r="B510" s="550" t="s">
        <v>187</v>
      </c>
      <c r="C510" s="247" t="str">
        <f t="shared" si="454"/>
        <v>PIÑA TROZO 567</v>
      </c>
      <c r="D510" s="448">
        <f t="shared" si="455"/>
        <v>108000</v>
      </c>
      <c r="E510" s="251">
        <f t="shared" si="456"/>
        <v>0.9604116683138394</v>
      </c>
      <c r="F510" s="248">
        <f t="shared" si="457"/>
        <v>103724.46017789465</v>
      </c>
    </row>
    <row r="511" spans="1:7" x14ac:dyDescent="0.35">
      <c r="A511" s="246" t="s">
        <v>411</v>
      </c>
      <c r="B511" s="550" t="s">
        <v>187</v>
      </c>
      <c r="C511" s="247" t="str">
        <f t="shared" si="454"/>
        <v>PIÑA RODAJA 822</v>
      </c>
      <c r="D511" s="448">
        <f t="shared" si="455"/>
        <v>73440</v>
      </c>
      <c r="E511" s="251">
        <f t="shared" si="456"/>
        <v>1.2984286501572693</v>
      </c>
      <c r="F511" s="248">
        <f t="shared" si="457"/>
        <v>95356.600067549851</v>
      </c>
    </row>
    <row r="512" spans="1:7" ht="16" thickBot="1" x14ac:dyDescent="0.4">
      <c r="A512" s="246" t="s">
        <v>412</v>
      </c>
      <c r="B512" s="550" t="s">
        <v>187</v>
      </c>
      <c r="C512" s="247" t="str">
        <f t="shared" si="454"/>
        <v>PIÑA TROZO 822</v>
      </c>
      <c r="D512" s="448">
        <f t="shared" si="455"/>
        <v>36720</v>
      </c>
      <c r="E512" s="251">
        <f t="shared" si="456"/>
        <v>1.2984286501572693</v>
      </c>
      <c r="F512" s="248">
        <f t="shared" si="457"/>
        <v>47678.300033774925</v>
      </c>
    </row>
    <row r="513" spans="1:7" x14ac:dyDescent="0.35">
      <c r="A513" s="232" t="s">
        <v>257</v>
      </c>
      <c r="B513" s="456" t="s">
        <v>188</v>
      </c>
      <c r="C513" s="235" t="str">
        <f t="shared" ref="C513:C520" si="458">C210</f>
        <v xml:space="preserve">PALMITO ENTERO 800 </v>
      </c>
      <c r="D513" s="446">
        <f t="shared" ref="D513:D520" si="459">F210</f>
        <v>0</v>
      </c>
      <c r="E513" s="235">
        <f t="shared" ref="E513:E520" si="460">J210</f>
        <v>0</v>
      </c>
      <c r="F513" s="427">
        <f t="shared" ref="F513:F523" si="461">D513*E513</f>
        <v>0</v>
      </c>
      <c r="G513" s="241"/>
    </row>
    <row r="514" spans="1:7" x14ac:dyDescent="0.35">
      <c r="A514" s="233" t="s">
        <v>258</v>
      </c>
      <c r="B514" s="457" t="s">
        <v>188</v>
      </c>
      <c r="C514" s="234" t="str">
        <f t="shared" si="458"/>
        <v>PALMITO RODAJA 800</v>
      </c>
      <c r="D514" s="447">
        <f t="shared" si="459"/>
        <v>0</v>
      </c>
      <c r="E514" s="234">
        <f t="shared" si="460"/>
        <v>0</v>
      </c>
      <c r="F514" s="428">
        <f t="shared" si="461"/>
        <v>0</v>
      </c>
    </row>
    <row r="515" spans="1:7" x14ac:dyDescent="0.35">
      <c r="A515" s="233" t="s">
        <v>259</v>
      </c>
      <c r="B515" s="457" t="s">
        <v>188</v>
      </c>
      <c r="C515" s="234" t="str">
        <f t="shared" si="458"/>
        <v>PALMITO TROZO 800</v>
      </c>
      <c r="D515" s="447">
        <f t="shared" si="459"/>
        <v>0</v>
      </c>
      <c r="E515" s="234">
        <f t="shared" si="460"/>
        <v>0</v>
      </c>
      <c r="F515" s="428">
        <f t="shared" si="461"/>
        <v>0</v>
      </c>
    </row>
    <row r="516" spans="1:7" x14ac:dyDescent="0.35">
      <c r="A516" s="233" t="s">
        <v>260</v>
      </c>
      <c r="B516" s="457" t="s">
        <v>188</v>
      </c>
      <c r="C516" s="234" t="str">
        <f t="shared" si="458"/>
        <v>PALMITO ENTERO 400</v>
      </c>
      <c r="D516" s="447">
        <f t="shared" si="459"/>
        <v>0</v>
      </c>
      <c r="E516" s="234">
        <f t="shared" si="460"/>
        <v>0</v>
      </c>
      <c r="F516" s="428">
        <f t="shared" si="461"/>
        <v>0</v>
      </c>
    </row>
    <row r="517" spans="1:7" x14ac:dyDescent="0.35">
      <c r="A517" s="233" t="s">
        <v>261</v>
      </c>
      <c r="B517" s="457" t="s">
        <v>188</v>
      </c>
      <c r="C517" s="234" t="str">
        <f t="shared" si="458"/>
        <v>PALMITO RODAJA 400</v>
      </c>
      <c r="D517" s="447">
        <f t="shared" si="459"/>
        <v>0</v>
      </c>
      <c r="E517" s="234">
        <f t="shared" si="460"/>
        <v>0</v>
      </c>
      <c r="F517" s="428">
        <f t="shared" si="461"/>
        <v>0</v>
      </c>
    </row>
    <row r="518" spans="1:7" x14ac:dyDescent="0.35">
      <c r="A518" s="233" t="s">
        <v>262</v>
      </c>
      <c r="B518" s="457" t="s">
        <v>188</v>
      </c>
      <c r="C518" s="234" t="str">
        <f t="shared" si="458"/>
        <v>PALMITO TROZO 400</v>
      </c>
      <c r="D518" s="447">
        <f t="shared" si="459"/>
        <v>0</v>
      </c>
      <c r="E518" s="234">
        <f t="shared" si="460"/>
        <v>0</v>
      </c>
      <c r="F518" s="428">
        <f t="shared" si="461"/>
        <v>0</v>
      </c>
    </row>
    <row r="519" spans="1:7" x14ac:dyDescent="0.35">
      <c r="A519" s="233" t="s">
        <v>263</v>
      </c>
      <c r="B519" s="457" t="s">
        <v>188</v>
      </c>
      <c r="C519" s="234" t="str">
        <f t="shared" si="458"/>
        <v>PALMITO TROZO  A-10</v>
      </c>
      <c r="D519" s="447">
        <f t="shared" si="459"/>
        <v>0</v>
      </c>
      <c r="E519" s="234">
        <f t="shared" si="460"/>
        <v>0</v>
      </c>
      <c r="F519" s="428">
        <f t="shared" si="461"/>
        <v>0</v>
      </c>
    </row>
    <row r="520" spans="1:7" x14ac:dyDescent="0.35">
      <c r="A520" s="233" t="s">
        <v>264</v>
      </c>
      <c r="B520" s="457" t="s">
        <v>188</v>
      </c>
      <c r="C520" s="234" t="str">
        <f t="shared" si="458"/>
        <v>PALMITO RODAJA  A-10</v>
      </c>
      <c r="D520" s="447">
        <f t="shared" si="459"/>
        <v>0</v>
      </c>
      <c r="E520" s="234">
        <f t="shared" si="460"/>
        <v>0</v>
      </c>
      <c r="F520" s="428">
        <f t="shared" si="461"/>
        <v>0</v>
      </c>
    </row>
    <row r="521" spans="1:7" x14ac:dyDescent="0.35">
      <c r="A521" s="246" t="s">
        <v>265</v>
      </c>
      <c r="B521" s="552" t="s">
        <v>188</v>
      </c>
      <c r="C521" s="252" t="str">
        <f>AV210</f>
        <v>PIÑA RODAJA 850</v>
      </c>
      <c r="D521" s="448">
        <f>AY210</f>
        <v>0</v>
      </c>
      <c r="E521" s="252">
        <f>BC210</f>
        <v>0</v>
      </c>
      <c r="F521" s="429">
        <f t="shared" si="461"/>
        <v>0</v>
      </c>
    </row>
    <row r="522" spans="1:7" x14ac:dyDescent="0.35">
      <c r="A522" s="246" t="s">
        <v>266</v>
      </c>
      <c r="B522" s="552" t="s">
        <v>188</v>
      </c>
      <c r="C522" s="252" t="str">
        <f>AV211</f>
        <v>PIÑA TROZO 850</v>
      </c>
      <c r="D522" s="448">
        <f>AY211</f>
        <v>0</v>
      </c>
      <c r="E522" s="252">
        <f>BC211</f>
        <v>0</v>
      </c>
      <c r="F522" s="429">
        <f t="shared" si="461"/>
        <v>0</v>
      </c>
    </row>
    <row r="523" spans="1:7" x14ac:dyDescent="0.35">
      <c r="A523" s="246" t="s">
        <v>267</v>
      </c>
      <c r="B523" s="552" t="s">
        <v>188</v>
      </c>
      <c r="C523" s="252" t="str">
        <f>AV212</f>
        <v>PIÑA TROZO A-10</v>
      </c>
      <c r="D523" s="448">
        <f>AY212</f>
        <v>0</v>
      </c>
      <c r="E523" s="252">
        <f>BC212</f>
        <v>0</v>
      </c>
      <c r="F523" s="429">
        <f t="shared" si="461"/>
        <v>0</v>
      </c>
    </row>
    <row r="524" spans="1:7" x14ac:dyDescent="0.35">
      <c r="A524" s="246" t="s">
        <v>268</v>
      </c>
      <c r="B524" s="552" t="s">
        <v>188</v>
      </c>
      <c r="C524" s="252" t="str">
        <f t="shared" ref="C524:C528" si="462">AV213</f>
        <v>PIÑA RODAJA A-10</v>
      </c>
      <c r="D524" s="448">
        <f t="shared" ref="D524:D528" si="463">AY213</f>
        <v>0</v>
      </c>
      <c r="E524" s="252">
        <f t="shared" ref="E524:E528" si="464">BC213</f>
        <v>0</v>
      </c>
      <c r="F524" s="429">
        <f t="shared" ref="F524:F528" si="465">D524*E524</f>
        <v>0</v>
      </c>
    </row>
    <row r="525" spans="1:7" x14ac:dyDescent="0.35">
      <c r="A525" s="246" t="s">
        <v>409</v>
      </c>
      <c r="B525" s="552" t="s">
        <v>188</v>
      </c>
      <c r="C525" s="252" t="str">
        <f t="shared" si="462"/>
        <v>PIÑA RODAJA 567</v>
      </c>
      <c r="D525" s="448">
        <f t="shared" si="463"/>
        <v>270000</v>
      </c>
      <c r="E525" s="252">
        <f t="shared" si="464"/>
        <v>0.96041166831383962</v>
      </c>
      <c r="F525" s="429">
        <f t="shared" si="465"/>
        <v>259311.1504447367</v>
      </c>
    </row>
    <row r="526" spans="1:7" x14ac:dyDescent="0.35">
      <c r="A526" s="246" t="s">
        <v>410</v>
      </c>
      <c r="B526" s="552" t="s">
        <v>188</v>
      </c>
      <c r="C526" s="252" t="str">
        <f t="shared" si="462"/>
        <v>PIÑA TROZO 567</v>
      </c>
      <c r="D526" s="448">
        <f t="shared" si="463"/>
        <v>108000</v>
      </c>
      <c r="E526" s="252">
        <f t="shared" si="464"/>
        <v>0.9604116683138394</v>
      </c>
      <c r="F526" s="429">
        <f t="shared" si="465"/>
        <v>103724.46017789465</v>
      </c>
    </row>
    <row r="527" spans="1:7" x14ac:dyDescent="0.35">
      <c r="A527" s="246" t="s">
        <v>411</v>
      </c>
      <c r="B527" s="552" t="s">
        <v>188</v>
      </c>
      <c r="C527" s="252" t="str">
        <f t="shared" si="462"/>
        <v>PIÑA RODAJA 822</v>
      </c>
      <c r="D527" s="448">
        <f t="shared" si="463"/>
        <v>73440</v>
      </c>
      <c r="E527" s="252">
        <f t="shared" si="464"/>
        <v>1.2984286501572693</v>
      </c>
      <c r="F527" s="429">
        <f t="shared" si="465"/>
        <v>95356.600067549851</v>
      </c>
    </row>
    <row r="528" spans="1:7" ht="16" thickBot="1" x14ac:dyDescent="0.4">
      <c r="A528" s="246" t="s">
        <v>412</v>
      </c>
      <c r="B528" s="552" t="s">
        <v>188</v>
      </c>
      <c r="C528" s="252" t="str">
        <f t="shared" si="462"/>
        <v>PIÑA TROZO 822</v>
      </c>
      <c r="D528" s="448">
        <f t="shared" si="463"/>
        <v>36720</v>
      </c>
      <c r="E528" s="252">
        <f t="shared" si="464"/>
        <v>1.2984286501572693</v>
      </c>
      <c r="F528" s="429">
        <f t="shared" si="465"/>
        <v>47678.300033774925</v>
      </c>
    </row>
    <row r="529" spans="1:7" x14ac:dyDescent="0.35">
      <c r="A529" s="232" t="s">
        <v>257</v>
      </c>
      <c r="B529" s="455" t="s">
        <v>189</v>
      </c>
      <c r="C529" s="235" t="str">
        <f t="shared" ref="C529:C536" si="466">C243</f>
        <v xml:space="preserve">PALMITO ENTERO 800 </v>
      </c>
      <c r="D529" s="446">
        <f t="shared" ref="D529:D536" si="467">F243</f>
        <v>0</v>
      </c>
      <c r="E529" s="245">
        <f t="shared" ref="E529:E536" si="468">J243</f>
        <v>0</v>
      </c>
      <c r="F529" s="239">
        <f t="shared" ref="F529:F537" si="469">D529*E529</f>
        <v>0</v>
      </c>
      <c r="G529" s="241"/>
    </row>
    <row r="530" spans="1:7" x14ac:dyDescent="0.35">
      <c r="A530" s="233" t="s">
        <v>258</v>
      </c>
      <c r="B530" s="454" t="s">
        <v>189</v>
      </c>
      <c r="C530" s="234" t="str">
        <f t="shared" si="466"/>
        <v>PALMITO RODAJA 800</v>
      </c>
      <c r="D530" s="447">
        <f t="shared" si="467"/>
        <v>0</v>
      </c>
      <c r="E530" s="240">
        <f t="shared" si="468"/>
        <v>0</v>
      </c>
      <c r="F530" s="238">
        <f t="shared" si="469"/>
        <v>0</v>
      </c>
    </row>
    <row r="531" spans="1:7" x14ac:dyDescent="0.35">
      <c r="A531" s="233" t="s">
        <v>259</v>
      </c>
      <c r="B531" s="454" t="s">
        <v>189</v>
      </c>
      <c r="C531" s="234" t="str">
        <f t="shared" si="466"/>
        <v>PALMITO TROZO 800</v>
      </c>
      <c r="D531" s="447">
        <f t="shared" si="467"/>
        <v>0</v>
      </c>
      <c r="E531" s="240">
        <f t="shared" si="468"/>
        <v>0</v>
      </c>
      <c r="F531" s="238">
        <f t="shared" si="469"/>
        <v>0</v>
      </c>
    </row>
    <row r="532" spans="1:7" x14ac:dyDescent="0.35">
      <c r="A532" s="233" t="s">
        <v>260</v>
      </c>
      <c r="B532" s="454" t="s">
        <v>189</v>
      </c>
      <c r="C532" s="234" t="str">
        <f t="shared" si="466"/>
        <v>PALMITO ENTERO 400</v>
      </c>
      <c r="D532" s="447">
        <f t="shared" si="467"/>
        <v>0</v>
      </c>
      <c r="E532" s="240">
        <f t="shared" si="468"/>
        <v>0</v>
      </c>
      <c r="F532" s="238">
        <f t="shared" si="469"/>
        <v>0</v>
      </c>
    </row>
    <row r="533" spans="1:7" x14ac:dyDescent="0.35">
      <c r="A533" s="233" t="s">
        <v>261</v>
      </c>
      <c r="B533" s="454" t="s">
        <v>189</v>
      </c>
      <c r="C533" s="234" t="str">
        <f t="shared" si="466"/>
        <v>PALMITO RODAJA 400</v>
      </c>
      <c r="D533" s="447">
        <f t="shared" si="467"/>
        <v>0</v>
      </c>
      <c r="E533" s="240">
        <f t="shared" si="468"/>
        <v>0</v>
      </c>
      <c r="F533" s="238">
        <f t="shared" si="469"/>
        <v>0</v>
      </c>
    </row>
    <row r="534" spans="1:7" x14ac:dyDescent="0.35">
      <c r="A534" s="233" t="s">
        <v>262</v>
      </c>
      <c r="B534" s="454" t="s">
        <v>189</v>
      </c>
      <c r="C534" s="234" t="str">
        <f t="shared" si="466"/>
        <v>PALMITO TROZO 400</v>
      </c>
      <c r="D534" s="447">
        <f t="shared" si="467"/>
        <v>0</v>
      </c>
      <c r="E534" s="240">
        <f t="shared" si="468"/>
        <v>0</v>
      </c>
      <c r="F534" s="238">
        <f t="shared" si="469"/>
        <v>0</v>
      </c>
    </row>
    <row r="535" spans="1:7" x14ac:dyDescent="0.35">
      <c r="A535" s="233" t="s">
        <v>263</v>
      </c>
      <c r="B535" s="454" t="s">
        <v>189</v>
      </c>
      <c r="C535" s="234" t="str">
        <f t="shared" si="466"/>
        <v>PALMITO TROZO  A-10</v>
      </c>
      <c r="D535" s="447">
        <f t="shared" si="467"/>
        <v>0</v>
      </c>
      <c r="E535" s="234">
        <f t="shared" si="468"/>
        <v>0</v>
      </c>
      <c r="F535" s="428">
        <f t="shared" si="469"/>
        <v>0</v>
      </c>
    </row>
    <row r="536" spans="1:7" x14ac:dyDescent="0.35">
      <c r="A536" s="233" t="s">
        <v>264</v>
      </c>
      <c r="B536" s="454" t="s">
        <v>189</v>
      </c>
      <c r="C536" s="234" t="str">
        <f t="shared" si="466"/>
        <v>PALMITO RODAJA  A-10</v>
      </c>
      <c r="D536" s="447">
        <f t="shared" si="467"/>
        <v>0</v>
      </c>
      <c r="E536" s="234">
        <f t="shared" si="468"/>
        <v>0</v>
      </c>
      <c r="F536" s="428">
        <f t="shared" si="469"/>
        <v>0</v>
      </c>
    </row>
    <row r="537" spans="1:7" x14ac:dyDescent="0.35">
      <c r="A537" s="246" t="s">
        <v>265</v>
      </c>
      <c r="B537" s="550" t="s">
        <v>189</v>
      </c>
      <c r="C537" s="247" t="str">
        <f>AV243</f>
        <v>PIÑA RODAJA 850</v>
      </c>
      <c r="D537" s="448">
        <f>AY243</f>
        <v>0</v>
      </c>
      <c r="E537" s="251">
        <f>BC243</f>
        <v>0</v>
      </c>
      <c r="F537" s="248">
        <f t="shared" si="469"/>
        <v>0</v>
      </c>
    </row>
    <row r="538" spans="1:7" x14ac:dyDescent="0.35">
      <c r="A538" s="246" t="s">
        <v>266</v>
      </c>
      <c r="B538" s="550" t="s">
        <v>189</v>
      </c>
      <c r="C538" s="247" t="str">
        <f t="shared" ref="C538:C544" si="470">AV244</f>
        <v>PIÑA TROZO 850</v>
      </c>
      <c r="D538" s="448">
        <f t="shared" ref="D538:D544" si="471">AY244</f>
        <v>0</v>
      </c>
      <c r="E538" s="251">
        <f t="shared" ref="E538:E544" si="472">BC244</f>
        <v>0</v>
      </c>
      <c r="F538" s="248">
        <f t="shared" ref="F538:F544" si="473">D538*E538</f>
        <v>0</v>
      </c>
    </row>
    <row r="539" spans="1:7" x14ac:dyDescent="0.35">
      <c r="A539" s="246" t="s">
        <v>267</v>
      </c>
      <c r="B539" s="550" t="s">
        <v>189</v>
      </c>
      <c r="C539" s="247" t="str">
        <f t="shared" si="470"/>
        <v>PIÑA TROZO A-10</v>
      </c>
      <c r="D539" s="448">
        <f t="shared" si="471"/>
        <v>0</v>
      </c>
      <c r="E539" s="251">
        <f t="shared" si="472"/>
        <v>0</v>
      </c>
      <c r="F539" s="248">
        <f t="shared" si="473"/>
        <v>0</v>
      </c>
    </row>
    <row r="540" spans="1:7" x14ac:dyDescent="0.35">
      <c r="A540" s="246" t="s">
        <v>268</v>
      </c>
      <c r="B540" s="550" t="s">
        <v>189</v>
      </c>
      <c r="C540" s="247" t="str">
        <f t="shared" si="470"/>
        <v>PIÑA RODAJA A-10</v>
      </c>
      <c r="D540" s="448">
        <f t="shared" si="471"/>
        <v>0</v>
      </c>
      <c r="E540" s="251">
        <f t="shared" si="472"/>
        <v>0</v>
      </c>
      <c r="F540" s="248">
        <f t="shared" si="473"/>
        <v>0</v>
      </c>
    </row>
    <row r="541" spans="1:7" x14ac:dyDescent="0.35">
      <c r="A541" s="246" t="s">
        <v>409</v>
      </c>
      <c r="B541" s="550" t="s">
        <v>189</v>
      </c>
      <c r="C541" s="247" t="str">
        <f t="shared" si="470"/>
        <v>PIÑA RODAJA 567</v>
      </c>
      <c r="D541" s="448">
        <f t="shared" si="471"/>
        <v>270000</v>
      </c>
      <c r="E541" s="251">
        <f t="shared" si="472"/>
        <v>0.96041166831383962</v>
      </c>
      <c r="F541" s="248">
        <f t="shared" si="473"/>
        <v>259311.1504447367</v>
      </c>
    </row>
    <row r="542" spans="1:7" x14ac:dyDescent="0.35">
      <c r="A542" s="246" t="s">
        <v>410</v>
      </c>
      <c r="B542" s="550" t="s">
        <v>189</v>
      </c>
      <c r="C542" s="247" t="str">
        <f t="shared" si="470"/>
        <v>PIÑA TROZO 567</v>
      </c>
      <c r="D542" s="448">
        <f t="shared" si="471"/>
        <v>108000</v>
      </c>
      <c r="E542" s="251">
        <f t="shared" si="472"/>
        <v>0.9604116683138394</v>
      </c>
      <c r="F542" s="248">
        <f t="shared" si="473"/>
        <v>103724.46017789465</v>
      </c>
    </row>
    <row r="543" spans="1:7" x14ac:dyDescent="0.35">
      <c r="A543" s="246" t="s">
        <v>411</v>
      </c>
      <c r="B543" s="550" t="s">
        <v>189</v>
      </c>
      <c r="C543" s="247" t="str">
        <f t="shared" si="470"/>
        <v>PIÑA RODAJA 822</v>
      </c>
      <c r="D543" s="448">
        <f t="shared" si="471"/>
        <v>73440</v>
      </c>
      <c r="E543" s="251">
        <f t="shared" si="472"/>
        <v>1.2984286501572693</v>
      </c>
      <c r="F543" s="248">
        <f t="shared" si="473"/>
        <v>95356.600067549851</v>
      </c>
    </row>
    <row r="544" spans="1:7" ht="16" thickBot="1" x14ac:dyDescent="0.4">
      <c r="A544" s="246" t="s">
        <v>412</v>
      </c>
      <c r="B544" s="550" t="s">
        <v>189</v>
      </c>
      <c r="C544" s="247" t="str">
        <f t="shared" si="470"/>
        <v>PIÑA TROZO 822</v>
      </c>
      <c r="D544" s="448">
        <f t="shared" si="471"/>
        <v>36720</v>
      </c>
      <c r="E544" s="251">
        <f t="shared" si="472"/>
        <v>1.2984286501572693</v>
      </c>
      <c r="F544" s="248">
        <f t="shared" si="473"/>
        <v>47678.300033774925</v>
      </c>
    </row>
    <row r="545" spans="1:7" x14ac:dyDescent="0.35">
      <c r="A545" s="232" t="s">
        <v>257</v>
      </c>
      <c r="B545" s="455" t="s">
        <v>190</v>
      </c>
      <c r="C545" s="235" t="str">
        <f t="shared" ref="C545:C552" si="474">C276</f>
        <v xml:space="preserve">PALMITO ENTERO 800 </v>
      </c>
      <c r="D545" s="446">
        <f t="shared" ref="D545:D552" si="475">F276</f>
        <v>0</v>
      </c>
      <c r="E545" s="235">
        <f t="shared" ref="E545:E552" si="476">J276</f>
        <v>0</v>
      </c>
      <c r="F545" s="427">
        <f t="shared" ref="F545:F555" si="477">D545*E545</f>
        <v>0</v>
      </c>
      <c r="G545" s="241"/>
    </row>
    <row r="546" spans="1:7" x14ac:dyDescent="0.35">
      <c r="A546" s="233" t="s">
        <v>258</v>
      </c>
      <c r="B546" s="454" t="s">
        <v>190</v>
      </c>
      <c r="C546" s="234" t="str">
        <f t="shared" si="474"/>
        <v>PALMITO RODAJA 800</v>
      </c>
      <c r="D546" s="447">
        <f t="shared" si="475"/>
        <v>0</v>
      </c>
      <c r="E546" s="234">
        <f t="shared" si="476"/>
        <v>0</v>
      </c>
      <c r="F546" s="428">
        <f t="shared" si="477"/>
        <v>0</v>
      </c>
    </row>
    <row r="547" spans="1:7" x14ac:dyDescent="0.35">
      <c r="A547" s="233" t="s">
        <v>259</v>
      </c>
      <c r="B547" s="454" t="s">
        <v>190</v>
      </c>
      <c r="C547" s="234" t="str">
        <f t="shared" si="474"/>
        <v>PALMITO TROZO 800</v>
      </c>
      <c r="D547" s="447">
        <f t="shared" si="475"/>
        <v>0</v>
      </c>
      <c r="E547" s="234">
        <f t="shared" si="476"/>
        <v>0</v>
      </c>
      <c r="F547" s="428">
        <f t="shared" si="477"/>
        <v>0</v>
      </c>
    </row>
    <row r="548" spans="1:7" x14ac:dyDescent="0.35">
      <c r="A548" s="233" t="s">
        <v>260</v>
      </c>
      <c r="B548" s="454" t="s">
        <v>190</v>
      </c>
      <c r="C548" s="234" t="str">
        <f t="shared" si="474"/>
        <v>PALMITO ENTERO 400</v>
      </c>
      <c r="D548" s="447">
        <f t="shared" si="475"/>
        <v>0</v>
      </c>
      <c r="E548" s="234">
        <f t="shared" si="476"/>
        <v>0</v>
      </c>
      <c r="F548" s="428">
        <f t="shared" si="477"/>
        <v>0</v>
      </c>
    </row>
    <row r="549" spans="1:7" x14ac:dyDescent="0.35">
      <c r="A549" s="233" t="s">
        <v>261</v>
      </c>
      <c r="B549" s="454" t="s">
        <v>190</v>
      </c>
      <c r="C549" s="234" t="str">
        <f t="shared" si="474"/>
        <v>PALMITO RODAJA 400</v>
      </c>
      <c r="D549" s="447">
        <f t="shared" si="475"/>
        <v>0</v>
      </c>
      <c r="E549" s="234">
        <f t="shared" si="476"/>
        <v>0</v>
      </c>
      <c r="F549" s="428">
        <f t="shared" si="477"/>
        <v>0</v>
      </c>
    </row>
    <row r="550" spans="1:7" x14ac:dyDescent="0.35">
      <c r="A550" s="233" t="s">
        <v>262</v>
      </c>
      <c r="B550" s="454" t="s">
        <v>190</v>
      </c>
      <c r="C550" s="234" t="str">
        <f t="shared" si="474"/>
        <v>PALMITO TROZO 400</v>
      </c>
      <c r="D550" s="447">
        <f t="shared" si="475"/>
        <v>0</v>
      </c>
      <c r="E550" s="234">
        <f t="shared" si="476"/>
        <v>0</v>
      </c>
      <c r="F550" s="428">
        <f t="shared" si="477"/>
        <v>0</v>
      </c>
    </row>
    <row r="551" spans="1:7" x14ac:dyDescent="0.35">
      <c r="A551" s="233" t="s">
        <v>263</v>
      </c>
      <c r="B551" s="454" t="s">
        <v>190</v>
      </c>
      <c r="C551" s="234" t="str">
        <f t="shared" si="474"/>
        <v>PALMITO TROZO  A-10</v>
      </c>
      <c r="D551" s="447">
        <f t="shared" si="475"/>
        <v>0</v>
      </c>
      <c r="E551" s="234">
        <f t="shared" si="476"/>
        <v>0</v>
      </c>
      <c r="F551" s="428">
        <f t="shared" si="477"/>
        <v>0</v>
      </c>
    </row>
    <row r="552" spans="1:7" x14ac:dyDescent="0.35">
      <c r="A552" s="233" t="s">
        <v>264</v>
      </c>
      <c r="B552" s="454" t="s">
        <v>190</v>
      </c>
      <c r="C552" s="234" t="str">
        <f t="shared" si="474"/>
        <v>PALMITO RODAJA  A-10</v>
      </c>
      <c r="D552" s="447">
        <f t="shared" si="475"/>
        <v>0</v>
      </c>
      <c r="E552" s="234">
        <f t="shared" si="476"/>
        <v>0</v>
      </c>
      <c r="F552" s="428">
        <f t="shared" si="477"/>
        <v>0</v>
      </c>
    </row>
    <row r="553" spans="1:7" x14ac:dyDescent="0.35">
      <c r="A553" s="246" t="s">
        <v>265</v>
      </c>
      <c r="B553" s="550" t="s">
        <v>190</v>
      </c>
      <c r="C553" s="247" t="str">
        <f>AV276</f>
        <v>PIÑA RODAJA 850</v>
      </c>
      <c r="D553" s="448">
        <f>AY276</f>
        <v>0</v>
      </c>
      <c r="E553" s="247">
        <f>BC276</f>
        <v>0</v>
      </c>
      <c r="F553" s="248">
        <f t="shared" si="477"/>
        <v>0</v>
      </c>
    </row>
    <row r="554" spans="1:7" x14ac:dyDescent="0.35">
      <c r="A554" s="246" t="s">
        <v>266</v>
      </c>
      <c r="B554" s="550" t="s">
        <v>190</v>
      </c>
      <c r="C554" s="247" t="str">
        <f>AV277</f>
        <v>PIÑA TROZO 850</v>
      </c>
      <c r="D554" s="448">
        <f>AY277</f>
        <v>0</v>
      </c>
      <c r="E554" s="247">
        <f>BC277</f>
        <v>0</v>
      </c>
      <c r="F554" s="248">
        <f t="shared" si="477"/>
        <v>0</v>
      </c>
    </row>
    <row r="555" spans="1:7" x14ac:dyDescent="0.35">
      <c r="A555" s="246" t="s">
        <v>267</v>
      </c>
      <c r="B555" s="550" t="s">
        <v>190</v>
      </c>
      <c r="C555" s="247" t="str">
        <f>AV278</f>
        <v>PIÑA TROZO A-10</v>
      </c>
      <c r="D555" s="448">
        <f>AY278</f>
        <v>0</v>
      </c>
      <c r="E555" s="247">
        <f>BC278</f>
        <v>0</v>
      </c>
      <c r="F555" s="248">
        <f t="shared" si="477"/>
        <v>0</v>
      </c>
    </row>
    <row r="556" spans="1:7" x14ac:dyDescent="0.35">
      <c r="A556" s="246" t="s">
        <v>268</v>
      </c>
      <c r="B556" s="550" t="s">
        <v>190</v>
      </c>
      <c r="C556" s="247" t="str">
        <f t="shared" ref="C556:C560" si="478">AV279</f>
        <v>PIÑA RODAJA A-10</v>
      </c>
      <c r="D556" s="448">
        <f t="shared" ref="D556:D560" si="479">AY279</f>
        <v>0</v>
      </c>
      <c r="E556" s="247">
        <f t="shared" ref="E556:E560" si="480">BC279</f>
        <v>0</v>
      </c>
      <c r="F556" s="248">
        <f t="shared" ref="F556:F560" si="481">D556*E556</f>
        <v>0</v>
      </c>
    </row>
    <row r="557" spans="1:7" x14ac:dyDescent="0.35">
      <c r="A557" s="246" t="s">
        <v>409</v>
      </c>
      <c r="B557" s="550" t="s">
        <v>190</v>
      </c>
      <c r="C557" s="247" t="str">
        <f t="shared" si="478"/>
        <v>PIÑA RODAJA 567</v>
      </c>
      <c r="D557" s="448">
        <f t="shared" si="479"/>
        <v>270000</v>
      </c>
      <c r="E557" s="247">
        <f t="shared" si="480"/>
        <v>0.96041166831383962</v>
      </c>
      <c r="F557" s="248">
        <f t="shared" si="481"/>
        <v>259311.1504447367</v>
      </c>
    </row>
    <row r="558" spans="1:7" x14ac:dyDescent="0.35">
      <c r="A558" s="246" t="s">
        <v>410</v>
      </c>
      <c r="B558" s="550" t="s">
        <v>190</v>
      </c>
      <c r="C558" s="247" t="str">
        <f t="shared" si="478"/>
        <v>PIÑA TROZO 567</v>
      </c>
      <c r="D558" s="448">
        <f t="shared" si="479"/>
        <v>108000</v>
      </c>
      <c r="E558" s="247">
        <f t="shared" si="480"/>
        <v>0.9604116683138394</v>
      </c>
      <c r="F558" s="248">
        <f t="shared" si="481"/>
        <v>103724.46017789465</v>
      </c>
    </row>
    <row r="559" spans="1:7" x14ac:dyDescent="0.35">
      <c r="A559" s="246" t="s">
        <v>411</v>
      </c>
      <c r="B559" s="550" t="s">
        <v>190</v>
      </c>
      <c r="C559" s="247" t="str">
        <f t="shared" si="478"/>
        <v>PIÑA RODAJA 822</v>
      </c>
      <c r="D559" s="448">
        <f t="shared" si="479"/>
        <v>73440</v>
      </c>
      <c r="E559" s="247">
        <f t="shared" si="480"/>
        <v>1.2984286501572693</v>
      </c>
      <c r="F559" s="248">
        <f t="shared" si="481"/>
        <v>95356.600067549851</v>
      </c>
    </row>
    <row r="560" spans="1:7" ht="16" thickBot="1" x14ac:dyDescent="0.4">
      <c r="A560" s="246" t="s">
        <v>412</v>
      </c>
      <c r="B560" s="550" t="s">
        <v>190</v>
      </c>
      <c r="C560" s="247" t="str">
        <f t="shared" si="478"/>
        <v>PIÑA TROZO 822</v>
      </c>
      <c r="D560" s="448">
        <f t="shared" si="479"/>
        <v>36720</v>
      </c>
      <c r="E560" s="247">
        <f t="shared" si="480"/>
        <v>1.2984286501572693</v>
      </c>
      <c r="F560" s="248">
        <f t="shared" si="481"/>
        <v>47678.300033774925</v>
      </c>
    </row>
    <row r="561" spans="1:7" x14ac:dyDescent="0.35">
      <c r="A561" s="232" t="s">
        <v>257</v>
      </c>
      <c r="B561" s="456" t="s">
        <v>191</v>
      </c>
      <c r="C561" s="235" t="str">
        <f t="shared" ref="C561:C568" si="482">C309</f>
        <v xml:space="preserve">PALMITO ENTERO 800 </v>
      </c>
      <c r="D561" s="446">
        <f t="shared" ref="D561:D568" si="483">F309</f>
        <v>0</v>
      </c>
      <c r="E561" s="235">
        <f t="shared" ref="E561:E568" si="484">J309</f>
        <v>0</v>
      </c>
      <c r="F561" s="427">
        <f t="shared" ref="F561:F571" si="485">D561*E561</f>
        <v>0</v>
      </c>
      <c r="G561" s="241"/>
    </row>
    <row r="562" spans="1:7" x14ac:dyDescent="0.35">
      <c r="A562" s="233" t="s">
        <v>258</v>
      </c>
      <c r="B562" s="457" t="s">
        <v>191</v>
      </c>
      <c r="C562" s="234" t="str">
        <f t="shared" si="482"/>
        <v>PALMITO RODAJA 800</v>
      </c>
      <c r="D562" s="447">
        <f t="shared" si="483"/>
        <v>0</v>
      </c>
      <c r="E562" s="234">
        <f t="shared" si="484"/>
        <v>0</v>
      </c>
      <c r="F562" s="428">
        <f t="shared" si="485"/>
        <v>0</v>
      </c>
    </row>
    <row r="563" spans="1:7" x14ac:dyDescent="0.35">
      <c r="A563" s="233" t="s">
        <v>259</v>
      </c>
      <c r="B563" s="457" t="s">
        <v>191</v>
      </c>
      <c r="C563" s="234" t="str">
        <f t="shared" si="482"/>
        <v>PALMITO TROZO 800</v>
      </c>
      <c r="D563" s="447">
        <f t="shared" si="483"/>
        <v>0</v>
      </c>
      <c r="E563" s="234">
        <f t="shared" si="484"/>
        <v>0</v>
      </c>
      <c r="F563" s="428">
        <f t="shared" si="485"/>
        <v>0</v>
      </c>
    </row>
    <row r="564" spans="1:7" x14ac:dyDescent="0.35">
      <c r="A564" s="233" t="s">
        <v>260</v>
      </c>
      <c r="B564" s="457" t="s">
        <v>191</v>
      </c>
      <c r="C564" s="234" t="str">
        <f t="shared" si="482"/>
        <v>PALMITO ENTERO 400</v>
      </c>
      <c r="D564" s="447">
        <f t="shared" si="483"/>
        <v>0</v>
      </c>
      <c r="E564" s="234">
        <f t="shared" si="484"/>
        <v>0</v>
      </c>
      <c r="F564" s="428">
        <f t="shared" si="485"/>
        <v>0</v>
      </c>
    </row>
    <row r="565" spans="1:7" x14ac:dyDescent="0.35">
      <c r="A565" s="233" t="s">
        <v>261</v>
      </c>
      <c r="B565" s="457" t="s">
        <v>191</v>
      </c>
      <c r="C565" s="234" t="str">
        <f t="shared" si="482"/>
        <v>PALMITO RODAJA 400</v>
      </c>
      <c r="D565" s="447">
        <f t="shared" si="483"/>
        <v>0</v>
      </c>
      <c r="E565" s="234">
        <f t="shared" si="484"/>
        <v>0</v>
      </c>
      <c r="F565" s="428">
        <f t="shared" si="485"/>
        <v>0</v>
      </c>
    </row>
    <row r="566" spans="1:7" x14ac:dyDescent="0.35">
      <c r="A566" s="233" t="s">
        <v>262</v>
      </c>
      <c r="B566" s="457" t="s">
        <v>191</v>
      </c>
      <c r="C566" s="234" t="str">
        <f t="shared" si="482"/>
        <v>PALMITO TROZO 400</v>
      </c>
      <c r="D566" s="447">
        <f t="shared" si="483"/>
        <v>0</v>
      </c>
      <c r="E566" s="234">
        <f t="shared" si="484"/>
        <v>0</v>
      </c>
      <c r="F566" s="428">
        <f t="shared" si="485"/>
        <v>0</v>
      </c>
    </row>
    <row r="567" spans="1:7" x14ac:dyDescent="0.35">
      <c r="A567" s="233" t="s">
        <v>263</v>
      </c>
      <c r="B567" s="457" t="s">
        <v>191</v>
      </c>
      <c r="C567" s="234" t="str">
        <f t="shared" si="482"/>
        <v>PALMITO TROZO  A-10</v>
      </c>
      <c r="D567" s="447">
        <f t="shared" si="483"/>
        <v>0</v>
      </c>
      <c r="E567" s="234">
        <f t="shared" si="484"/>
        <v>0</v>
      </c>
      <c r="F567" s="428">
        <f t="shared" si="485"/>
        <v>0</v>
      </c>
    </row>
    <row r="568" spans="1:7" x14ac:dyDescent="0.35">
      <c r="A568" s="233" t="s">
        <v>264</v>
      </c>
      <c r="B568" s="457" t="s">
        <v>191</v>
      </c>
      <c r="C568" s="234" t="str">
        <f t="shared" si="482"/>
        <v>PALMITO RODAJA  A-10</v>
      </c>
      <c r="D568" s="447">
        <f t="shared" si="483"/>
        <v>0</v>
      </c>
      <c r="E568" s="234">
        <f t="shared" si="484"/>
        <v>0</v>
      </c>
      <c r="F568" s="428">
        <f t="shared" si="485"/>
        <v>0</v>
      </c>
    </row>
    <row r="569" spans="1:7" x14ac:dyDescent="0.35">
      <c r="A569" s="246" t="s">
        <v>265</v>
      </c>
      <c r="B569" s="457" t="s">
        <v>191</v>
      </c>
      <c r="C569" s="252" t="str">
        <f>AV309</f>
        <v>PIÑA RODAJA 850</v>
      </c>
      <c r="D569" s="448">
        <f>AY309</f>
        <v>0</v>
      </c>
      <c r="E569" s="252">
        <f>BC309</f>
        <v>0</v>
      </c>
      <c r="F569" s="429">
        <f t="shared" si="485"/>
        <v>0</v>
      </c>
    </row>
    <row r="570" spans="1:7" x14ac:dyDescent="0.35">
      <c r="A570" s="246" t="s">
        <v>266</v>
      </c>
      <c r="B570" s="457" t="s">
        <v>191</v>
      </c>
      <c r="C570" s="252" t="str">
        <f>AV310</f>
        <v>PIÑA TROZO 850</v>
      </c>
      <c r="D570" s="448">
        <f>AY310</f>
        <v>0</v>
      </c>
      <c r="E570" s="252">
        <f>BC310</f>
        <v>0</v>
      </c>
      <c r="F570" s="429">
        <f t="shared" si="485"/>
        <v>0</v>
      </c>
    </row>
    <row r="571" spans="1:7" x14ac:dyDescent="0.35">
      <c r="A571" s="246" t="s">
        <v>267</v>
      </c>
      <c r="B571" s="457" t="s">
        <v>191</v>
      </c>
      <c r="C571" s="252" t="str">
        <f>AV311</f>
        <v>PIÑA TROZO A-10</v>
      </c>
      <c r="D571" s="448">
        <f>AY311</f>
        <v>0</v>
      </c>
      <c r="E571" s="252">
        <f>BC311</f>
        <v>0</v>
      </c>
      <c r="F571" s="429">
        <f t="shared" si="485"/>
        <v>0</v>
      </c>
    </row>
    <row r="572" spans="1:7" x14ac:dyDescent="0.35">
      <c r="A572" s="246" t="s">
        <v>268</v>
      </c>
      <c r="B572" s="457" t="s">
        <v>191</v>
      </c>
      <c r="C572" s="252" t="str">
        <f t="shared" ref="C572:C576" si="486">AV312</f>
        <v>PIÑA RODAJA A-10</v>
      </c>
      <c r="D572" s="448">
        <f t="shared" ref="D572:D576" si="487">AY312</f>
        <v>0</v>
      </c>
      <c r="E572" s="252">
        <f t="shared" ref="E572:E576" si="488">BC312</f>
        <v>0</v>
      </c>
      <c r="F572" s="429">
        <f t="shared" ref="F572:F576" si="489">D572*E572</f>
        <v>0</v>
      </c>
    </row>
    <row r="573" spans="1:7" x14ac:dyDescent="0.35">
      <c r="A573" s="246" t="s">
        <v>409</v>
      </c>
      <c r="B573" s="457" t="s">
        <v>191</v>
      </c>
      <c r="C573" s="252" t="str">
        <f t="shared" si="486"/>
        <v>PIÑA RODAJA 567</v>
      </c>
      <c r="D573" s="448">
        <f t="shared" si="487"/>
        <v>324000</v>
      </c>
      <c r="E573" s="252">
        <f t="shared" si="488"/>
        <v>0.96041166831383962</v>
      </c>
      <c r="F573" s="429">
        <f t="shared" si="489"/>
        <v>311173.38053368405</v>
      </c>
    </row>
    <row r="574" spans="1:7" x14ac:dyDescent="0.35">
      <c r="A574" s="246" t="s">
        <v>410</v>
      </c>
      <c r="B574" s="457" t="s">
        <v>191</v>
      </c>
      <c r="C574" s="252" t="str">
        <f t="shared" si="486"/>
        <v>PIÑA TROZO 567</v>
      </c>
      <c r="D574" s="448">
        <f t="shared" si="487"/>
        <v>162000</v>
      </c>
      <c r="E574" s="252">
        <f t="shared" si="488"/>
        <v>0.96041166831383962</v>
      </c>
      <c r="F574" s="429">
        <f t="shared" si="489"/>
        <v>155586.69026684202</v>
      </c>
    </row>
    <row r="575" spans="1:7" x14ac:dyDescent="0.35">
      <c r="A575" s="246" t="s">
        <v>411</v>
      </c>
      <c r="B575" s="457" t="s">
        <v>191</v>
      </c>
      <c r="C575" s="252" t="str">
        <f t="shared" si="486"/>
        <v>PIÑA RODAJA 822</v>
      </c>
      <c r="D575" s="448">
        <f t="shared" si="487"/>
        <v>36720</v>
      </c>
      <c r="E575" s="252">
        <f t="shared" si="488"/>
        <v>1.2984286501572693</v>
      </c>
      <c r="F575" s="429">
        <f t="shared" si="489"/>
        <v>47678.300033774925</v>
      </c>
    </row>
    <row r="576" spans="1:7" ht="16" thickBot="1" x14ac:dyDescent="0.4">
      <c r="A576" s="246" t="s">
        <v>412</v>
      </c>
      <c r="B576" s="457" t="s">
        <v>191</v>
      </c>
      <c r="C576" s="252" t="str">
        <f t="shared" si="486"/>
        <v>PIÑA TROZO 822</v>
      </c>
      <c r="D576" s="448">
        <f t="shared" si="487"/>
        <v>0</v>
      </c>
      <c r="E576" s="252">
        <f t="shared" si="488"/>
        <v>0</v>
      </c>
      <c r="F576" s="429">
        <f t="shared" si="489"/>
        <v>0</v>
      </c>
    </row>
    <row r="577" spans="1:7" x14ac:dyDescent="0.35">
      <c r="A577" s="232" t="s">
        <v>257</v>
      </c>
      <c r="B577" s="456" t="s">
        <v>192</v>
      </c>
      <c r="C577" s="235" t="str">
        <f t="shared" ref="C577:C584" si="490">C342</f>
        <v xml:space="preserve">PALMITO ENTERO 800 </v>
      </c>
      <c r="D577" s="446">
        <f t="shared" ref="D577:D584" si="491">F342</f>
        <v>0</v>
      </c>
      <c r="E577" s="235">
        <f t="shared" ref="E577:E584" si="492">J342</f>
        <v>0</v>
      </c>
      <c r="F577" s="427">
        <f t="shared" ref="F577:F584" si="493">D577*E577</f>
        <v>0</v>
      </c>
      <c r="G577" s="241"/>
    </row>
    <row r="578" spans="1:7" x14ac:dyDescent="0.35">
      <c r="A578" s="233" t="s">
        <v>258</v>
      </c>
      <c r="B578" s="457" t="s">
        <v>192</v>
      </c>
      <c r="C578" s="234" t="str">
        <f t="shared" si="490"/>
        <v>PALMITO RODAJA 800</v>
      </c>
      <c r="D578" s="447">
        <f t="shared" si="491"/>
        <v>0</v>
      </c>
      <c r="E578" s="234">
        <f t="shared" si="492"/>
        <v>0</v>
      </c>
      <c r="F578" s="428">
        <f t="shared" si="493"/>
        <v>0</v>
      </c>
    </row>
    <row r="579" spans="1:7" x14ac:dyDescent="0.35">
      <c r="A579" s="233" t="s">
        <v>259</v>
      </c>
      <c r="B579" s="457" t="s">
        <v>192</v>
      </c>
      <c r="C579" s="234" t="str">
        <f t="shared" si="490"/>
        <v>PALMITO TROZO 800</v>
      </c>
      <c r="D579" s="447">
        <f t="shared" si="491"/>
        <v>0</v>
      </c>
      <c r="E579" s="234">
        <f t="shared" si="492"/>
        <v>0</v>
      </c>
      <c r="F579" s="428">
        <f t="shared" si="493"/>
        <v>0</v>
      </c>
    </row>
    <row r="580" spans="1:7" x14ac:dyDescent="0.35">
      <c r="A580" s="233" t="s">
        <v>260</v>
      </c>
      <c r="B580" s="457" t="s">
        <v>192</v>
      </c>
      <c r="C580" s="234" t="str">
        <f t="shared" si="490"/>
        <v>PALMITO ENTERO 400</v>
      </c>
      <c r="D580" s="447">
        <f t="shared" si="491"/>
        <v>0</v>
      </c>
      <c r="E580" s="234">
        <f t="shared" si="492"/>
        <v>0</v>
      </c>
      <c r="F580" s="428">
        <f t="shared" si="493"/>
        <v>0</v>
      </c>
    </row>
    <row r="581" spans="1:7" x14ac:dyDescent="0.35">
      <c r="A581" s="233" t="s">
        <v>261</v>
      </c>
      <c r="B581" s="457" t="s">
        <v>192</v>
      </c>
      <c r="C581" s="234" t="str">
        <f t="shared" si="490"/>
        <v>PALMITO RODAJA 400</v>
      </c>
      <c r="D581" s="447">
        <f t="shared" si="491"/>
        <v>0</v>
      </c>
      <c r="E581" s="234">
        <f t="shared" si="492"/>
        <v>0</v>
      </c>
      <c r="F581" s="428">
        <f t="shared" si="493"/>
        <v>0</v>
      </c>
    </row>
    <row r="582" spans="1:7" x14ac:dyDescent="0.35">
      <c r="A582" s="233" t="s">
        <v>262</v>
      </c>
      <c r="B582" s="457" t="s">
        <v>192</v>
      </c>
      <c r="C582" s="234" t="str">
        <f t="shared" si="490"/>
        <v>PALMITO TROZO 400</v>
      </c>
      <c r="D582" s="447">
        <f t="shared" si="491"/>
        <v>0</v>
      </c>
      <c r="E582" s="234">
        <f t="shared" si="492"/>
        <v>0</v>
      </c>
      <c r="F582" s="428">
        <f t="shared" si="493"/>
        <v>0</v>
      </c>
    </row>
    <row r="583" spans="1:7" x14ac:dyDescent="0.35">
      <c r="A583" s="233" t="s">
        <v>263</v>
      </c>
      <c r="B583" s="457" t="s">
        <v>192</v>
      </c>
      <c r="C583" s="234" t="str">
        <f t="shared" si="490"/>
        <v>PALMITO TROZO  A-10</v>
      </c>
      <c r="D583" s="447">
        <f t="shared" si="491"/>
        <v>0</v>
      </c>
      <c r="E583" s="234">
        <f t="shared" si="492"/>
        <v>0</v>
      </c>
      <c r="F583" s="428">
        <f t="shared" si="493"/>
        <v>0</v>
      </c>
    </row>
    <row r="584" spans="1:7" x14ac:dyDescent="0.35">
      <c r="A584" s="233" t="s">
        <v>264</v>
      </c>
      <c r="B584" s="457" t="s">
        <v>192</v>
      </c>
      <c r="C584" s="234" t="str">
        <f t="shared" si="490"/>
        <v>PALMITO RODAJA  A-10</v>
      </c>
      <c r="D584" s="447">
        <f t="shared" si="491"/>
        <v>0</v>
      </c>
      <c r="E584" s="234">
        <f t="shared" si="492"/>
        <v>0</v>
      </c>
      <c r="F584" s="428">
        <f t="shared" si="493"/>
        <v>0</v>
      </c>
    </row>
    <row r="585" spans="1:7" x14ac:dyDescent="0.35">
      <c r="A585" s="246" t="s">
        <v>265</v>
      </c>
      <c r="B585" s="457" t="s">
        <v>192</v>
      </c>
      <c r="C585" s="252" t="str">
        <f>AV342</f>
        <v>PIÑA RODAJA 850</v>
      </c>
      <c r="D585" s="448">
        <f>AY342</f>
        <v>0</v>
      </c>
      <c r="E585" s="252">
        <f>BC342</f>
        <v>0</v>
      </c>
      <c r="F585" s="429">
        <f t="shared" ref="F585:F587" si="494">D585*E585</f>
        <v>0</v>
      </c>
    </row>
    <row r="586" spans="1:7" x14ac:dyDescent="0.35">
      <c r="A586" s="246" t="s">
        <v>266</v>
      </c>
      <c r="B586" s="457" t="s">
        <v>192</v>
      </c>
      <c r="C586" s="252" t="str">
        <f>AV343</f>
        <v>PIÑA TROZO 850</v>
      </c>
      <c r="D586" s="448">
        <f>AY343</f>
        <v>0</v>
      </c>
      <c r="E586" s="252">
        <f>BC343</f>
        <v>0</v>
      </c>
      <c r="F586" s="429">
        <f t="shared" si="494"/>
        <v>0</v>
      </c>
    </row>
    <row r="587" spans="1:7" x14ac:dyDescent="0.35">
      <c r="A587" s="246" t="s">
        <v>267</v>
      </c>
      <c r="B587" s="457" t="s">
        <v>192</v>
      </c>
      <c r="C587" s="252" t="str">
        <f>AV344</f>
        <v>PIÑA TROZO A-10</v>
      </c>
      <c r="D587" s="448">
        <f>AY344</f>
        <v>0</v>
      </c>
      <c r="E587" s="252">
        <f>BC344</f>
        <v>0</v>
      </c>
      <c r="F587" s="429">
        <f t="shared" si="494"/>
        <v>0</v>
      </c>
    </row>
    <row r="588" spans="1:7" x14ac:dyDescent="0.35">
      <c r="A588" s="246" t="s">
        <v>268</v>
      </c>
      <c r="B588" s="457" t="s">
        <v>192</v>
      </c>
      <c r="C588" s="252" t="str">
        <f t="shared" ref="C588:C592" si="495">AV345</f>
        <v>PIÑA RODAJA A-10</v>
      </c>
      <c r="D588" s="448">
        <f t="shared" ref="D588:D592" si="496">AY345</f>
        <v>0</v>
      </c>
      <c r="E588" s="252">
        <f t="shared" ref="E588:E592" si="497">BC345</f>
        <v>0</v>
      </c>
      <c r="F588" s="429">
        <f t="shared" ref="F588:F592" si="498">D588*E588</f>
        <v>0</v>
      </c>
    </row>
    <row r="589" spans="1:7" x14ac:dyDescent="0.35">
      <c r="A589" s="246" t="s">
        <v>409</v>
      </c>
      <c r="B589" s="457" t="s">
        <v>192</v>
      </c>
      <c r="C589" s="252" t="str">
        <f t="shared" si="495"/>
        <v>PIÑA RODAJA 567</v>
      </c>
      <c r="D589" s="448">
        <f t="shared" si="496"/>
        <v>324000</v>
      </c>
      <c r="E589" s="252">
        <f t="shared" si="497"/>
        <v>0.96041166831383962</v>
      </c>
      <c r="F589" s="429">
        <f t="shared" si="498"/>
        <v>311173.38053368405</v>
      </c>
    </row>
    <row r="590" spans="1:7" x14ac:dyDescent="0.35">
      <c r="A590" s="246" t="s">
        <v>410</v>
      </c>
      <c r="B590" s="457" t="s">
        <v>192</v>
      </c>
      <c r="C590" s="252" t="str">
        <f t="shared" si="495"/>
        <v>PIÑA TROZO 567</v>
      </c>
      <c r="D590" s="448">
        <f t="shared" si="496"/>
        <v>162000</v>
      </c>
      <c r="E590" s="252">
        <f t="shared" si="497"/>
        <v>0.96041166831383962</v>
      </c>
      <c r="F590" s="429">
        <f t="shared" si="498"/>
        <v>155586.69026684202</v>
      </c>
    </row>
    <row r="591" spans="1:7" x14ac:dyDescent="0.35">
      <c r="A591" s="246" t="s">
        <v>411</v>
      </c>
      <c r="B591" s="457" t="s">
        <v>192</v>
      </c>
      <c r="C591" s="252" t="str">
        <f t="shared" si="495"/>
        <v>PIÑA RODAJA 822</v>
      </c>
      <c r="D591" s="448">
        <f t="shared" si="496"/>
        <v>36720</v>
      </c>
      <c r="E591" s="252">
        <f t="shared" si="497"/>
        <v>1.2984286501572693</v>
      </c>
      <c r="F591" s="429">
        <f t="shared" si="498"/>
        <v>47678.300033774925</v>
      </c>
    </row>
    <row r="592" spans="1:7" ht="16" thickBot="1" x14ac:dyDescent="0.4">
      <c r="A592" s="246" t="s">
        <v>412</v>
      </c>
      <c r="B592" s="457" t="s">
        <v>192</v>
      </c>
      <c r="C592" s="252" t="str">
        <f t="shared" si="495"/>
        <v>PIÑA TROZO 822</v>
      </c>
      <c r="D592" s="448">
        <f t="shared" si="496"/>
        <v>0</v>
      </c>
      <c r="E592" s="252">
        <f t="shared" si="497"/>
        <v>0</v>
      </c>
      <c r="F592" s="429">
        <f t="shared" si="498"/>
        <v>0</v>
      </c>
    </row>
    <row r="593" spans="1:7" x14ac:dyDescent="0.35">
      <c r="A593" s="232" t="s">
        <v>257</v>
      </c>
      <c r="B593" s="456" t="s">
        <v>193</v>
      </c>
      <c r="C593" s="235" t="str">
        <f t="shared" ref="C593:C600" si="499">C375</f>
        <v xml:space="preserve">PALMITO ENTERO 800 </v>
      </c>
      <c r="D593" s="446">
        <f t="shared" ref="D593:D600" si="500">F375</f>
        <v>0</v>
      </c>
      <c r="E593" s="235">
        <f t="shared" ref="E593:E600" si="501">J375</f>
        <v>0</v>
      </c>
      <c r="F593" s="427">
        <f t="shared" ref="F593:F603" si="502">D593*E593</f>
        <v>0</v>
      </c>
      <c r="G593" s="241"/>
    </row>
    <row r="594" spans="1:7" x14ac:dyDescent="0.35">
      <c r="A594" s="233" t="s">
        <v>258</v>
      </c>
      <c r="B594" s="457" t="s">
        <v>193</v>
      </c>
      <c r="C594" s="234" t="str">
        <f t="shared" si="499"/>
        <v>PALMITO RODAJA 800</v>
      </c>
      <c r="D594" s="447">
        <f t="shared" si="500"/>
        <v>0</v>
      </c>
      <c r="E594" s="234">
        <f t="shared" si="501"/>
        <v>0</v>
      </c>
      <c r="F594" s="428">
        <f t="shared" si="502"/>
        <v>0</v>
      </c>
    </row>
    <row r="595" spans="1:7" x14ac:dyDescent="0.35">
      <c r="A595" s="233" t="s">
        <v>259</v>
      </c>
      <c r="B595" s="457" t="s">
        <v>193</v>
      </c>
      <c r="C595" s="234" t="str">
        <f t="shared" si="499"/>
        <v>PALMITO TROZO 800</v>
      </c>
      <c r="D595" s="447">
        <f t="shared" si="500"/>
        <v>0</v>
      </c>
      <c r="E595" s="234">
        <f t="shared" si="501"/>
        <v>0</v>
      </c>
      <c r="F595" s="428">
        <f t="shared" si="502"/>
        <v>0</v>
      </c>
    </row>
    <row r="596" spans="1:7" x14ac:dyDescent="0.35">
      <c r="A596" s="233" t="s">
        <v>260</v>
      </c>
      <c r="B596" s="457" t="s">
        <v>193</v>
      </c>
      <c r="C596" s="234" t="str">
        <f t="shared" si="499"/>
        <v>PALMITO ENTERO 400</v>
      </c>
      <c r="D596" s="447">
        <f t="shared" si="500"/>
        <v>0</v>
      </c>
      <c r="E596" s="234">
        <f t="shared" si="501"/>
        <v>0</v>
      </c>
      <c r="F596" s="428">
        <f t="shared" si="502"/>
        <v>0</v>
      </c>
    </row>
    <row r="597" spans="1:7" x14ac:dyDescent="0.35">
      <c r="A597" s="233" t="s">
        <v>261</v>
      </c>
      <c r="B597" s="457" t="s">
        <v>193</v>
      </c>
      <c r="C597" s="234" t="str">
        <f t="shared" si="499"/>
        <v>PALMITO RODAJA 400</v>
      </c>
      <c r="D597" s="447">
        <f t="shared" si="500"/>
        <v>0</v>
      </c>
      <c r="E597" s="234">
        <f t="shared" si="501"/>
        <v>0</v>
      </c>
      <c r="F597" s="428">
        <f t="shared" si="502"/>
        <v>0</v>
      </c>
    </row>
    <row r="598" spans="1:7" x14ac:dyDescent="0.35">
      <c r="A598" s="233" t="s">
        <v>262</v>
      </c>
      <c r="B598" s="457" t="s">
        <v>193</v>
      </c>
      <c r="C598" s="234" t="str">
        <f t="shared" si="499"/>
        <v>PALMITO TROZO 400</v>
      </c>
      <c r="D598" s="447">
        <f t="shared" si="500"/>
        <v>0</v>
      </c>
      <c r="E598" s="234">
        <f t="shared" si="501"/>
        <v>0</v>
      </c>
      <c r="F598" s="428">
        <f t="shared" si="502"/>
        <v>0</v>
      </c>
    </row>
    <row r="599" spans="1:7" x14ac:dyDescent="0.35">
      <c r="A599" s="233" t="s">
        <v>263</v>
      </c>
      <c r="B599" s="457" t="s">
        <v>193</v>
      </c>
      <c r="C599" s="234" t="str">
        <f t="shared" si="499"/>
        <v>PALMITO TROZO  A-10</v>
      </c>
      <c r="D599" s="447">
        <f t="shared" si="500"/>
        <v>0</v>
      </c>
      <c r="E599" s="234">
        <f t="shared" si="501"/>
        <v>0</v>
      </c>
      <c r="F599" s="428">
        <f t="shared" si="502"/>
        <v>0</v>
      </c>
    </row>
    <row r="600" spans="1:7" x14ac:dyDescent="0.35">
      <c r="A600" s="233" t="s">
        <v>264</v>
      </c>
      <c r="B600" s="457" t="s">
        <v>193</v>
      </c>
      <c r="C600" s="234" t="str">
        <f t="shared" si="499"/>
        <v>PALMITO RODAJA  A-10</v>
      </c>
      <c r="D600" s="447">
        <f t="shared" si="500"/>
        <v>0</v>
      </c>
      <c r="E600" s="234">
        <f t="shared" si="501"/>
        <v>0</v>
      </c>
      <c r="F600" s="428">
        <f t="shared" si="502"/>
        <v>0</v>
      </c>
    </row>
    <row r="601" spans="1:7" x14ac:dyDescent="0.35">
      <c r="A601" s="246" t="s">
        <v>265</v>
      </c>
      <c r="B601" s="552" t="s">
        <v>193</v>
      </c>
      <c r="C601" s="252" t="str">
        <f>AV375</f>
        <v>PIÑA RODAJA 850</v>
      </c>
      <c r="D601" s="448">
        <f>AY375</f>
        <v>0</v>
      </c>
      <c r="E601" s="252">
        <f>BC375</f>
        <v>0</v>
      </c>
      <c r="F601" s="429">
        <f t="shared" si="502"/>
        <v>0</v>
      </c>
    </row>
    <row r="602" spans="1:7" x14ac:dyDescent="0.35">
      <c r="A602" s="246" t="s">
        <v>266</v>
      </c>
      <c r="B602" s="552" t="s">
        <v>193</v>
      </c>
      <c r="C602" s="252" t="str">
        <f>AV376</f>
        <v>PIÑA TROZO 850</v>
      </c>
      <c r="D602" s="448">
        <f>AY376</f>
        <v>0</v>
      </c>
      <c r="E602" s="252">
        <f>BC376</f>
        <v>0</v>
      </c>
      <c r="F602" s="429">
        <f t="shared" si="502"/>
        <v>0</v>
      </c>
    </row>
    <row r="603" spans="1:7" x14ac:dyDescent="0.35">
      <c r="A603" s="246" t="s">
        <v>267</v>
      </c>
      <c r="B603" s="552" t="s">
        <v>193</v>
      </c>
      <c r="C603" s="252" t="str">
        <f>AV377</f>
        <v>PIÑA TROZO A-10</v>
      </c>
      <c r="D603" s="448">
        <f>AY377</f>
        <v>0</v>
      </c>
      <c r="E603" s="252">
        <f>BC377</f>
        <v>0</v>
      </c>
      <c r="F603" s="429">
        <f t="shared" si="502"/>
        <v>0</v>
      </c>
    </row>
    <row r="604" spans="1:7" x14ac:dyDescent="0.35">
      <c r="A604" s="246" t="s">
        <v>268</v>
      </c>
      <c r="B604" s="552" t="s">
        <v>193</v>
      </c>
      <c r="C604" s="252" t="str">
        <f t="shared" ref="C604:C608" si="503">AV378</f>
        <v>PIÑA RODAJA A-10</v>
      </c>
      <c r="D604" s="448">
        <f t="shared" ref="D604:D608" si="504">AY378</f>
        <v>0</v>
      </c>
      <c r="E604" s="252">
        <f t="shared" ref="E604:E608" si="505">BC378</f>
        <v>0</v>
      </c>
      <c r="F604" s="429">
        <f t="shared" ref="F604:F608" si="506">D604*E604</f>
        <v>0</v>
      </c>
    </row>
    <row r="605" spans="1:7" x14ac:dyDescent="0.35">
      <c r="A605" s="246" t="s">
        <v>409</v>
      </c>
      <c r="B605" s="552" t="s">
        <v>193</v>
      </c>
      <c r="C605" s="252" t="str">
        <f t="shared" si="503"/>
        <v>PIÑA RODAJA 567</v>
      </c>
      <c r="D605" s="448">
        <f t="shared" si="504"/>
        <v>324000</v>
      </c>
      <c r="E605" s="252">
        <f t="shared" si="505"/>
        <v>0.96041166831383962</v>
      </c>
      <c r="F605" s="429">
        <f t="shared" si="506"/>
        <v>311173.38053368405</v>
      </c>
    </row>
    <row r="606" spans="1:7" x14ac:dyDescent="0.35">
      <c r="A606" s="246" t="s">
        <v>410</v>
      </c>
      <c r="B606" s="552" t="s">
        <v>193</v>
      </c>
      <c r="C606" s="252" t="str">
        <f t="shared" si="503"/>
        <v>PIÑA TROZO 567</v>
      </c>
      <c r="D606" s="448">
        <f t="shared" si="504"/>
        <v>162000</v>
      </c>
      <c r="E606" s="252">
        <f t="shared" si="505"/>
        <v>0.96041166831383962</v>
      </c>
      <c r="F606" s="429">
        <f t="shared" si="506"/>
        <v>155586.69026684202</v>
      </c>
    </row>
    <row r="607" spans="1:7" x14ac:dyDescent="0.35">
      <c r="A607" s="246" t="s">
        <v>411</v>
      </c>
      <c r="B607" s="552" t="s">
        <v>193</v>
      </c>
      <c r="C607" s="252" t="str">
        <f t="shared" si="503"/>
        <v>PIÑA RODAJA 822</v>
      </c>
      <c r="D607" s="448">
        <f t="shared" si="504"/>
        <v>36720</v>
      </c>
      <c r="E607" s="252">
        <f t="shared" si="505"/>
        <v>1.2984286501572693</v>
      </c>
      <c r="F607" s="429">
        <f t="shared" si="506"/>
        <v>47678.300033774925</v>
      </c>
    </row>
    <row r="608" spans="1:7" ht="16" thickBot="1" x14ac:dyDescent="0.4">
      <c r="A608" s="249" t="s">
        <v>412</v>
      </c>
      <c r="B608" s="553" t="s">
        <v>193</v>
      </c>
      <c r="C608" s="430" t="str">
        <f t="shared" si="503"/>
        <v>PIÑA TROZO 822</v>
      </c>
      <c r="D608" s="449">
        <f t="shared" si="504"/>
        <v>0</v>
      </c>
      <c r="E608" s="430">
        <f t="shared" si="505"/>
        <v>0</v>
      </c>
      <c r="F608" s="431">
        <f t="shared" si="506"/>
        <v>0</v>
      </c>
    </row>
    <row r="609" spans="4:7" x14ac:dyDescent="0.35">
      <c r="D609" s="158">
        <f>SUM(D417:D608)</f>
        <v>5961600</v>
      </c>
      <c r="E609" s="158"/>
      <c r="F609" s="158">
        <f>SUM(F417:F608)</f>
        <v>6097949.709018508</v>
      </c>
      <c r="G609" s="191">
        <f>L31+L64+L97+L130+L163+L196+L229+L262+L295+L328+L361+L394+BE31+BE64+BE97+BE130+BE163+BE196+BE229+BE262+BE295+BE328+BE361+BE394</f>
        <v>6097949.709018508</v>
      </c>
    </row>
  </sheetData>
  <mergeCells count="350">
    <mergeCell ref="BD272:BD273"/>
    <mergeCell ref="BE272:BE273"/>
    <mergeCell ref="BF272:BF273"/>
    <mergeCell ref="AV371:AV373"/>
    <mergeCell ref="AW371:BA372"/>
    <mergeCell ref="BC371:BC372"/>
    <mergeCell ref="BD371:BD372"/>
    <mergeCell ref="BE371:BE372"/>
    <mergeCell ref="BF371:BF372"/>
    <mergeCell ref="AW305:BA306"/>
    <mergeCell ref="AW338:BA339"/>
    <mergeCell ref="BC338:BC339"/>
    <mergeCell ref="BD338:BD339"/>
    <mergeCell ref="BE338:BE339"/>
    <mergeCell ref="BF338:BF339"/>
    <mergeCell ref="AV338:AV340"/>
    <mergeCell ref="AV305:AV307"/>
    <mergeCell ref="BH272:BP272"/>
    <mergeCell ref="BH273:BJ273"/>
    <mergeCell ref="BK207:BM207"/>
    <mergeCell ref="BT371:CE371"/>
    <mergeCell ref="BT272:CE272"/>
    <mergeCell ref="BK273:BM273"/>
    <mergeCell ref="BT273:BV273"/>
    <mergeCell ref="BW273:BY273"/>
    <mergeCell ref="BC305:BC306"/>
    <mergeCell ref="BD305:BD306"/>
    <mergeCell ref="BE305:BE306"/>
    <mergeCell ref="BF305:BF306"/>
    <mergeCell ref="BH305:BP305"/>
    <mergeCell ref="BT305:CE305"/>
    <mergeCell ref="BK306:BM306"/>
    <mergeCell ref="BN306:BP306"/>
    <mergeCell ref="BT306:BV306"/>
    <mergeCell ref="BW306:BY306"/>
    <mergeCell ref="BZ306:CB306"/>
    <mergeCell ref="BC272:BC273"/>
    <mergeCell ref="CC306:CE306"/>
    <mergeCell ref="BH306:BJ306"/>
    <mergeCell ref="BZ273:CB273"/>
    <mergeCell ref="CC273:CE273"/>
    <mergeCell ref="BH372:BJ372"/>
    <mergeCell ref="BK372:BM372"/>
    <mergeCell ref="BN372:BP372"/>
    <mergeCell ref="BZ372:CB372"/>
    <mergeCell ref="CC372:CE372"/>
    <mergeCell ref="BT372:BV372"/>
    <mergeCell ref="BW372:BY372"/>
    <mergeCell ref="BH339:BJ339"/>
    <mergeCell ref="BH338:BP338"/>
    <mergeCell ref="BT338:CE338"/>
    <mergeCell ref="BK339:BM339"/>
    <mergeCell ref="BN339:BP339"/>
    <mergeCell ref="BT339:BV339"/>
    <mergeCell ref="BW339:BY339"/>
    <mergeCell ref="BZ339:CB339"/>
    <mergeCell ref="CC339:CE339"/>
    <mergeCell ref="BH371:BP371"/>
    <mergeCell ref="BN273:BP273"/>
    <mergeCell ref="BT239:CE239"/>
    <mergeCell ref="BT240:BV240"/>
    <mergeCell ref="BW240:BY240"/>
    <mergeCell ref="BZ240:CB240"/>
    <mergeCell ref="CC240:CE240"/>
    <mergeCell ref="BC140:BC141"/>
    <mergeCell ref="BD140:BD141"/>
    <mergeCell ref="BE140:BE141"/>
    <mergeCell ref="BF140:BF141"/>
    <mergeCell ref="BT173:CE173"/>
    <mergeCell ref="BT140:CE140"/>
    <mergeCell ref="BT141:BV141"/>
    <mergeCell ref="BW141:BY141"/>
    <mergeCell ref="BZ141:CB141"/>
    <mergeCell ref="CC141:CE141"/>
    <mergeCell ref="BZ207:CB207"/>
    <mergeCell ref="BT174:BV174"/>
    <mergeCell ref="BH240:BJ240"/>
    <mergeCell ref="BK240:BM240"/>
    <mergeCell ref="BN240:BP240"/>
    <mergeCell ref="BH207:BJ207"/>
    <mergeCell ref="BW174:BY174"/>
    <mergeCell ref="BZ174:CB174"/>
    <mergeCell ref="CC174:CE174"/>
    <mergeCell ref="BE239:BE240"/>
    <mergeCell ref="BF239:BF240"/>
    <mergeCell ref="BH239:BP239"/>
    <mergeCell ref="BD173:BD174"/>
    <mergeCell ref="BE173:BE174"/>
    <mergeCell ref="BF173:BF174"/>
    <mergeCell ref="BH173:BP173"/>
    <mergeCell ref="BH174:BJ174"/>
    <mergeCell ref="BN174:BP174"/>
    <mergeCell ref="BW75:BY75"/>
    <mergeCell ref="BZ75:CB75"/>
    <mergeCell ref="CC75:CE75"/>
    <mergeCell ref="BH75:BJ75"/>
    <mergeCell ref="BC107:BC108"/>
    <mergeCell ref="BN207:BP207"/>
    <mergeCell ref="BK174:BM174"/>
    <mergeCell ref="BK141:BM141"/>
    <mergeCell ref="BN141:BP141"/>
    <mergeCell ref="BH140:BP140"/>
    <mergeCell ref="BH141:BJ141"/>
    <mergeCell ref="BH108:BJ108"/>
    <mergeCell ref="BD107:BD108"/>
    <mergeCell ref="BE107:BE108"/>
    <mergeCell ref="BF107:BF108"/>
    <mergeCell ref="BK108:BM108"/>
    <mergeCell ref="BN108:BP108"/>
    <mergeCell ref="BE206:BE207"/>
    <mergeCell ref="BF206:BF207"/>
    <mergeCell ref="BH206:BP206"/>
    <mergeCell ref="CC207:CE207"/>
    <mergeCell ref="BT206:CE206"/>
    <mergeCell ref="BT207:BV207"/>
    <mergeCell ref="BW207:BY207"/>
    <mergeCell ref="BT108:BV108"/>
    <mergeCell ref="BW108:BY108"/>
    <mergeCell ref="BZ108:CB108"/>
    <mergeCell ref="CC108:CE108"/>
    <mergeCell ref="BH74:BP74"/>
    <mergeCell ref="CC42:CE42"/>
    <mergeCell ref="BF41:BF42"/>
    <mergeCell ref="BC41:BC42"/>
    <mergeCell ref="BD41:BD42"/>
    <mergeCell ref="BE41:BE42"/>
    <mergeCell ref="BH41:BP41"/>
    <mergeCell ref="BT41:CE41"/>
    <mergeCell ref="BZ42:CB42"/>
    <mergeCell ref="BW42:BY42"/>
    <mergeCell ref="BH42:BJ42"/>
    <mergeCell ref="BT42:BV42"/>
    <mergeCell ref="BK42:BM42"/>
    <mergeCell ref="BN42:BP42"/>
    <mergeCell ref="BT74:CE74"/>
    <mergeCell ref="BT107:CE107"/>
    <mergeCell ref="BH107:BP107"/>
    <mergeCell ref="BK75:BM75"/>
    <mergeCell ref="BN75:BP75"/>
    <mergeCell ref="BT75:BV75"/>
    <mergeCell ref="BH8:BP8"/>
    <mergeCell ref="BT8:CE8"/>
    <mergeCell ref="BT9:BV9"/>
    <mergeCell ref="BW9:BY9"/>
    <mergeCell ref="BZ9:CB9"/>
    <mergeCell ref="CC9:CE9"/>
    <mergeCell ref="BN9:BP9"/>
    <mergeCell ref="BK9:BM9"/>
    <mergeCell ref="BH9:BJ9"/>
    <mergeCell ref="AW206:BA207"/>
    <mergeCell ref="BC206:BC207"/>
    <mergeCell ref="BD206:BD207"/>
    <mergeCell ref="AV239:AV241"/>
    <mergeCell ref="AW239:BA240"/>
    <mergeCell ref="BE8:BE9"/>
    <mergeCell ref="BF8:BF9"/>
    <mergeCell ref="BC74:BC75"/>
    <mergeCell ref="BD74:BD75"/>
    <mergeCell ref="BE74:BE75"/>
    <mergeCell ref="BF74:BF75"/>
    <mergeCell ref="AV41:AV43"/>
    <mergeCell ref="AW41:BA42"/>
    <mergeCell ref="AV107:AV109"/>
    <mergeCell ref="AW107:BA108"/>
    <mergeCell ref="AV140:AV142"/>
    <mergeCell ref="AW140:BA141"/>
    <mergeCell ref="AV74:AV76"/>
    <mergeCell ref="AW74:BA75"/>
    <mergeCell ref="AV173:AV175"/>
    <mergeCell ref="AW173:BA174"/>
    <mergeCell ref="BC173:BC174"/>
    <mergeCell ref="BC239:BC240"/>
    <mergeCell ref="BD239:BD240"/>
    <mergeCell ref="AO8:AQ8"/>
    <mergeCell ref="K305:K306"/>
    <mergeCell ref="L305:L306"/>
    <mergeCell ref="M305:M306"/>
    <mergeCell ref="O305:Y305"/>
    <mergeCell ref="AA305:AL305"/>
    <mergeCell ref="L338:L339"/>
    <mergeCell ref="AV206:AV208"/>
    <mergeCell ref="C305:C307"/>
    <mergeCell ref="D305:H306"/>
    <mergeCell ref="J305:J306"/>
    <mergeCell ref="AV8:AV10"/>
    <mergeCell ref="AA306:AC306"/>
    <mergeCell ref="AD306:AF306"/>
    <mergeCell ref="AG306:AI306"/>
    <mergeCell ref="AJ141:AL141"/>
    <mergeCell ref="AJ75:AL75"/>
    <mergeCell ref="AV272:AV274"/>
    <mergeCell ref="M338:M339"/>
    <mergeCell ref="O338:Y338"/>
    <mergeCell ref="AA338:AL338"/>
    <mergeCell ref="AA339:AC339"/>
    <mergeCell ref="AD339:AF339"/>
    <mergeCell ref="AG339:AI339"/>
    <mergeCell ref="C371:C373"/>
    <mergeCell ref="D371:H372"/>
    <mergeCell ref="J371:J372"/>
    <mergeCell ref="K371:K372"/>
    <mergeCell ref="L371:L372"/>
    <mergeCell ref="M371:M372"/>
    <mergeCell ref="O371:Y371"/>
    <mergeCell ref="AA371:AL371"/>
    <mergeCell ref="AA372:AC372"/>
    <mergeCell ref="AD372:AF372"/>
    <mergeCell ref="AG372:AI372"/>
    <mergeCell ref="AJ372:AL372"/>
    <mergeCell ref="AJ339:AL339"/>
    <mergeCell ref="C272:C274"/>
    <mergeCell ref="D272:H273"/>
    <mergeCell ref="J272:J273"/>
    <mergeCell ref="K272:K273"/>
    <mergeCell ref="L272:L273"/>
    <mergeCell ref="M272:M273"/>
    <mergeCell ref="O272:Y272"/>
    <mergeCell ref="AA272:AL272"/>
    <mergeCell ref="AA273:AC273"/>
    <mergeCell ref="AD273:AF273"/>
    <mergeCell ref="AG273:AI273"/>
    <mergeCell ref="AJ273:AL273"/>
    <mergeCell ref="C338:C340"/>
    <mergeCell ref="D338:H339"/>
    <mergeCell ref="J338:J339"/>
    <mergeCell ref="K338:K339"/>
    <mergeCell ref="AJ306:AL306"/>
    <mergeCell ref="C239:C241"/>
    <mergeCell ref="D239:H240"/>
    <mergeCell ref="J239:J240"/>
    <mergeCell ref="K239:K240"/>
    <mergeCell ref="L239:L240"/>
    <mergeCell ref="M239:M240"/>
    <mergeCell ref="O239:Y239"/>
    <mergeCell ref="AA239:AL239"/>
    <mergeCell ref="AA240:AC240"/>
    <mergeCell ref="AD240:AF240"/>
    <mergeCell ref="AG240:AI240"/>
    <mergeCell ref="C206:C208"/>
    <mergeCell ref="D206:H207"/>
    <mergeCell ref="J206:J207"/>
    <mergeCell ref="K206:K207"/>
    <mergeCell ref="AJ174:AL174"/>
    <mergeCell ref="L206:L207"/>
    <mergeCell ref="M206:M207"/>
    <mergeCell ref="O206:Y206"/>
    <mergeCell ref="AA206:AL206"/>
    <mergeCell ref="AA207:AC207"/>
    <mergeCell ref="AD207:AF207"/>
    <mergeCell ref="AG207:AI207"/>
    <mergeCell ref="AJ207:AL207"/>
    <mergeCell ref="C173:C175"/>
    <mergeCell ref="D173:H174"/>
    <mergeCell ref="J173:J174"/>
    <mergeCell ref="K173:K174"/>
    <mergeCell ref="L173:L174"/>
    <mergeCell ref="M173:M174"/>
    <mergeCell ref="O173:Y173"/>
    <mergeCell ref="AA173:AL173"/>
    <mergeCell ref="AA174:AC174"/>
    <mergeCell ref="AD174:AF174"/>
    <mergeCell ref="AG174:AI174"/>
    <mergeCell ref="O140:Y140"/>
    <mergeCell ref="AA140:AL140"/>
    <mergeCell ref="AA141:AC141"/>
    <mergeCell ref="AD141:AF141"/>
    <mergeCell ref="AG141:AI141"/>
    <mergeCell ref="C107:C109"/>
    <mergeCell ref="D107:H108"/>
    <mergeCell ref="J107:J108"/>
    <mergeCell ref="K107:K108"/>
    <mergeCell ref="L107:L108"/>
    <mergeCell ref="M107:M108"/>
    <mergeCell ref="O107:Y107"/>
    <mergeCell ref="AA107:AL107"/>
    <mergeCell ref="AA108:AC108"/>
    <mergeCell ref="AD108:AF108"/>
    <mergeCell ref="AG108:AI108"/>
    <mergeCell ref="AG75:AI75"/>
    <mergeCell ref="AJ240:AL240"/>
    <mergeCell ref="L8:L9"/>
    <mergeCell ref="C74:C76"/>
    <mergeCell ref="D74:H75"/>
    <mergeCell ref="J74:J75"/>
    <mergeCell ref="C8:C10"/>
    <mergeCell ref="D8:H9"/>
    <mergeCell ref="J8:J9"/>
    <mergeCell ref="K8:K9"/>
    <mergeCell ref="L41:L42"/>
    <mergeCell ref="K74:K75"/>
    <mergeCell ref="L74:L75"/>
    <mergeCell ref="C41:C43"/>
    <mergeCell ref="D41:H42"/>
    <mergeCell ref="J41:J42"/>
    <mergeCell ref="K41:K42"/>
    <mergeCell ref="C140:C142"/>
    <mergeCell ref="D140:H141"/>
    <mergeCell ref="J140:J141"/>
    <mergeCell ref="K140:K141"/>
    <mergeCell ref="AJ108:AL108"/>
    <mergeCell ref="L140:L141"/>
    <mergeCell ref="M140:M141"/>
    <mergeCell ref="AO272:AQ272"/>
    <mergeCell ref="AW8:BA9"/>
    <mergeCell ref="BC8:BC9"/>
    <mergeCell ref="BD8:BD9"/>
    <mergeCell ref="AW272:BA273"/>
    <mergeCell ref="M8:M9"/>
    <mergeCell ref="O8:Y8"/>
    <mergeCell ref="AA8:AL8"/>
    <mergeCell ref="AA9:AC9"/>
    <mergeCell ref="AD9:AF9"/>
    <mergeCell ref="AG9:AI9"/>
    <mergeCell ref="AJ9:AL9"/>
    <mergeCell ref="M41:M42"/>
    <mergeCell ref="O41:Y41"/>
    <mergeCell ref="AA41:AL41"/>
    <mergeCell ref="AA42:AC42"/>
    <mergeCell ref="AD42:AF42"/>
    <mergeCell ref="AG42:AI42"/>
    <mergeCell ref="AJ42:AL42"/>
    <mergeCell ref="M74:M75"/>
    <mergeCell ref="O74:Y74"/>
    <mergeCell ref="AA74:AL74"/>
    <mergeCell ref="AA75:AC75"/>
    <mergeCell ref="AD75:AF75"/>
    <mergeCell ref="C4:D5"/>
    <mergeCell ref="AV4:AW5"/>
    <mergeCell ref="CH305:CJ305"/>
    <mergeCell ref="CH338:CJ338"/>
    <mergeCell ref="CH371:CJ371"/>
    <mergeCell ref="AO305:AQ305"/>
    <mergeCell ref="AO338:AQ338"/>
    <mergeCell ref="AO371:AQ371"/>
    <mergeCell ref="CH8:CJ8"/>
    <mergeCell ref="CH41:CJ41"/>
    <mergeCell ref="CH74:CJ74"/>
    <mergeCell ref="CH107:CJ107"/>
    <mergeCell ref="CH140:CJ140"/>
    <mergeCell ref="CH173:CJ173"/>
    <mergeCell ref="CH206:CJ206"/>
    <mergeCell ref="CH239:CJ239"/>
    <mergeCell ref="CH272:CJ272"/>
    <mergeCell ref="AO41:AQ41"/>
    <mergeCell ref="AO74:AQ74"/>
    <mergeCell ref="AO107:AQ107"/>
    <mergeCell ref="AO140:AQ140"/>
    <mergeCell ref="AO173:AQ173"/>
    <mergeCell ref="AO206:AQ206"/>
    <mergeCell ref="AO239:AQ239"/>
  </mergeCell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28194-8F6F-4498-BEB7-E970498017F1}">
  <sheetPr codeName="Hoja18">
    <tabColor theme="8" tint="0.79998168889431442"/>
  </sheetPr>
  <dimension ref="B1:P62"/>
  <sheetViews>
    <sheetView showGridLines="0" topLeftCell="B13" zoomScale="157" workbookViewId="0">
      <selection activeCell="C23" sqref="C23"/>
    </sheetView>
  </sheetViews>
  <sheetFormatPr baseColWidth="10" defaultRowHeight="14.5" x14ac:dyDescent="0.35"/>
  <cols>
    <col min="2" max="2" width="26.7265625" bestFit="1" customWidth="1"/>
    <col min="3" max="3" width="20.6328125" bestFit="1" customWidth="1"/>
    <col min="4" max="4" width="24.81640625" bestFit="1" customWidth="1"/>
    <col min="5" max="14" width="14.90625" customWidth="1"/>
  </cols>
  <sheetData>
    <row r="1" spans="2:14" ht="15" thickBot="1" x14ac:dyDescent="0.4"/>
    <row r="2" spans="2:14" ht="43.5" customHeight="1" thickBot="1" x14ac:dyDescent="0.4">
      <c r="B2" s="1034" t="s">
        <v>450</v>
      </c>
      <c r="C2" s="1035"/>
      <c r="D2" s="1036"/>
    </row>
    <row r="3" spans="2:14" ht="15" thickBot="1" x14ac:dyDescent="0.4"/>
    <row r="4" spans="2:14" x14ac:dyDescent="0.35">
      <c r="B4" s="869" t="s">
        <v>245</v>
      </c>
      <c r="C4" s="1052" t="s">
        <v>519</v>
      </c>
      <c r="D4" s="1052"/>
      <c r="E4" s="1052"/>
      <c r="F4" s="1052"/>
      <c r="G4" s="1052"/>
      <c r="H4" s="1052"/>
      <c r="I4" s="1052"/>
      <c r="J4" s="1052"/>
      <c r="K4" s="1052"/>
      <c r="L4" s="1052"/>
      <c r="M4" s="1052"/>
      <c r="N4" s="1053"/>
    </row>
    <row r="5" spans="2:14" x14ac:dyDescent="0.35">
      <c r="B5" s="1046"/>
      <c r="C5" s="1054"/>
      <c r="D5" s="1054"/>
      <c r="E5" s="1054"/>
      <c r="F5" s="1054"/>
      <c r="G5" s="1054"/>
      <c r="H5" s="1054"/>
      <c r="I5" s="1054"/>
      <c r="J5" s="1054"/>
      <c r="K5" s="1054"/>
      <c r="L5" s="1054"/>
      <c r="M5" s="1054"/>
      <c r="N5" s="1055"/>
    </row>
    <row r="6" spans="2:14" ht="15.5" thickBot="1" x14ac:dyDescent="0.4">
      <c r="B6" s="1047"/>
      <c r="C6" s="663" t="str">
        <f>DP!AY13</f>
        <v>ENERO</v>
      </c>
      <c r="D6" s="663" t="str">
        <f>DP!AZ13</f>
        <v>FEBRERO</v>
      </c>
      <c r="E6" s="663" t="str">
        <f>DP!BA13</f>
        <v>MARZO</v>
      </c>
      <c r="F6" s="663" t="str">
        <f>DP!BB13</f>
        <v>ABRIL</v>
      </c>
      <c r="G6" s="663" t="str">
        <f>DP!BC13</f>
        <v>MAYO</v>
      </c>
      <c r="H6" s="663" t="str">
        <f>DP!BD13</f>
        <v>JUNIO</v>
      </c>
      <c r="I6" s="663" t="str">
        <f>DP!BE13</f>
        <v>JULIO</v>
      </c>
      <c r="J6" s="663" t="str">
        <f>DP!BF13</f>
        <v>AGOSTO</v>
      </c>
      <c r="K6" s="663" t="str">
        <f>DP!BG13</f>
        <v>SEPTIEMBRE</v>
      </c>
      <c r="L6" s="663" t="str">
        <f>DP!BH13</f>
        <v>OCTUBRE</v>
      </c>
      <c r="M6" s="663" t="str">
        <f>DP!BI13</f>
        <v>NOVIEMBRE</v>
      </c>
      <c r="N6" s="664" t="str">
        <f>DP!BJ13</f>
        <v>DICIEMBRE</v>
      </c>
    </row>
    <row r="7" spans="2:14" ht="15.5" x14ac:dyDescent="0.35">
      <c r="B7" s="666" t="str">
        <f>CP!C417</f>
        <v xml:space="preserve">PALMITO ENTERO 800 </v>
      </c>
      <c r="C7" s="662">
        <f>CP!E417</f>
        <v>0</v>
      </c>
      <c r="D7" s="662">
        <f>CP!E433</f>
        <v>0</v>
      </c>
      <c r="E7" s="277">
        <f>CP!E449</f>
        <v>0</v>
      </c>
      <c r="F7" s="277">
        <f>CP!E465</f>
        <v>0</v>
      </c>
      <c r="G7" s="277">
        <f>CP!E481</f>
        <v>0</v>
      </c>
      <c r="H7" s="277">
        <f>CP!E497</f>
        <v>0</v>
      </c>
      <c r="I7" s="277">
        <f>CP!E513</f>
        <v>0</v>
      </c>
      <c r="J7" s="277">
        <f>CP!E529</f>
        <v>0</v>
      </c>
      <c r="K7" s="277">
        <f>CP!E545</f>
        <v>0</v>
      </c>
      <c r="L7" s="277">
        <f>CP!E561</f>
        <v>0</v>
      </c>
      <c r="M7" s="277">
        <f>CP!E577</f>
        <v>0</v>
      </c>
      <c r="N7" s="667">
        <f>CP!E593</f>
        <v>0</v>
      </c>
    </row>
    <row r="8" spans="2:14" ht="15.5" x14ac:dyDescent="0.35">
      <c r="B8" s="668" t="str">
        <f>CP!C418</f>
        <v>PALMITO RODAJA 800</v>
      </c>
      <c r="C8" s="498">
        <f>CP!E418</f>
        <v>0</v>
      </c>
      <c r="D8" s="498">
        <f>CP!E434</f>
        <v>0</v>
      </c>
      <c r="E8" s="93">
        <f>CP!E450</f>
        <v>0</v>
      </c>
      <c r="F8" s="93">
        <f>CP!E466</f>
        <v>0</v>
      </c>
      <c r="G8" s="93">
        <f>CP!E482</f>
        <v>0</v>
      </c>
      <c r="H8" s="93">
        <f>CP!E498</f>
        <v>0</v>
      </c>
      <c r="I8" s="93">
        <f>CP!E514</f>
        <v>0</v>
      </c>
      <c r="J8" s="93">
        <f>CP!E530</f>
        <v>0</v>
      </c>
      <c r="K8" s="93">
        <f>CP!E546</f>
        <v>0</v>
      </c>
      <c r="L8" s="93">
        <f>CP!E562</f>
        <v>0</v>
      </c>
      <c r="M8" s="93">
        <f>CP!E578</f>
        <v>0</v>
      </c>
      <c r="N8" s="147">
        <f>CP!E594</f>
        <v>0</v>
      </c>
    </row>
    <row r="9" spans="2:14" ht="15.5" x14ac:dyDescent="0.35">
      <c r="B9" s="668" t="str">
        <f>CP!C419</f>
        <v>PALMITO TROZO 800</v>
      </c>
      <c r="C9" s="498">
        <f>CP!E419</f>
        <v>0</v>
      </c>
      <c r="D9" s="498">
        <f>CP!E435</f>
        <v>0</v>
      </c>
      <c r="E9" s="93">
        <f>CP!E451</f>
        <v>0</v>
      </c>
      <c r="F9" s="93">
        <f>CP!E467</f>
        <v>0</v>
      </c>
      <c r="G9" s="93">
        <f>CP!E483</f>
        <v>0</v>
      </c>
      <c r="H9" s="93">
        <f>CP!E499</f>
        <v>0</v>
      </c>
      <c r="I9" s="93">
        <f>CP!E515</f>
        <v>0</v>
      </c>
      <c r="J9" s="93">
        <f>CP!E531</f>
        <v>0</v>
      </c>
      <c r="K9" s="93">
        <f>CP!E547</f>
        <v>0</v>
      </c>
      <c r="L9" s="93">
        <f>CP!E563</f>
        <v>0</v>
      </c>
      <c r="M9" s="93">
        <f>CP!E579</f>
        <v>0</v>
      </c>
      <c r="N9" s="147">
        <f>CP!E595</f>
        <v>0</v>
      </c>
    </row>
    <row r="10" spans="2:14" ht="15.5" x14ac:dyDescent="0.35">
      <c r="B10" s="668" t="str">
        <f>CP!C420</f>
        <v>PALMITO ENTERO 400</v>
      </c>
      <c r="C10" s="498">
        <f>CP!E420</f>
        <v>0</v>
      </c>
      <c r="D10" s="498">
        <f>CP!E436</f>
        <v>0</v>
      </c>
      <c r="E10" s="93">
        <f>CP!E452</f>
        <v>0</v>
      </c>
      <c r="F10" s="93">
        <f>CP!E468</f>
        <v>0</v>
      </c>
      <c r="G10" s="93">
        <f>CP!E484</f>
        <v>0</v>
      </c>
      <c r="H10" s="93">
        <f>CP!E500</f>
        <v>0</v>
      </c>
      <c r="I10" s="93">
        <f>CP!E516</f>
        <v>0</v>
      </c>
      <c r="J10" s="93">
        <f>CP!E532</f>
        <v>0</v>
      </c>
      <c r="K10" s="93">
        <f>CP!E548</f>
        <v>0</v>
      </c>
      <c r="L10" s="93">
        <f>CP!E564</f>
        <v>0</v>
      </c>
      <c r="M10" s="93">
        <f>CP!E580</f>
        <v>0</v>
      </c>
      <c r="N10" s="147">
        <f>CP!E596</f>
        <v>0</v>
      </c>
    </row>
    <row r="11" spans="2:14" ht="15.5" x14ac:dyDescent="0.35">
      <c r="B11" s="668" t="str">
        <f>CP!C421</f>
        <v>PALMITO RODAJA 400</v>
      </c>
      <c r="C11" s="498">
        <f>CP!E421</f>
        <v>0</v>
      </c>
      <c r="D11" s="498">
        <f>CP!E437</f>
        <v>0</v>
      </c>
      <c r="E11" s="93">
        <f>CP!E453</f>
        <v>0</v>
      </c>
      <c r="F11" s="93">
        <f>CP!E469</f>
        <v>0</v>
      </c>
      <c r="G11" s="93">
        <f>CP!E485</f>
        <v>0</v>
      </c>
      <c r="H11" s="93">
        <f>CP!E501</f>
        <v>0</v>
      </c>
      <c r="I11" s="93">
        <f>CP!E517</f>
        <v>0</v>
      </c>
      <c r="J11" s="93">
        <f>CP!E533</f>
        <v>0</v>
      </c>
      <c r="K11" s="93">
        <f>CP!E549</f>
        <v>0</v>
      </c>
      <c r="L11" s="93">
        <f>CP!E565</f>
        <v>0</v>
      </c>
      <c r="M11" s="93">
        <f>CP!E581</f>
        <v>0</v>
      </c>
      <c r="N11" s="147">
        <f>CP!E597</f>
        <v>0</v>
      </c>
    </row>
    <row r="12" spans="2:14" ht="15.5" x14ac:dyDescent="0.35">
      <c r="B12" s="668" t="str">
        <f>CP!C422</f>
        <v>PALMITO TROZO 400</v>
      </c>
      <c r="C12" s="498">
        <f>CP!E422</f>
        <v>0</v>
      </c>
      <c r="D12" s="498">
        <f>CP!E438</f>
        <v>0</v>
      </c>
      <c r="E12" s="93">
        <f>CP!E454</f>
        <v>0</v>
      </c>
      <c r="F12" s="93">
        <f>CP!E470</f>
        <v>0</v>
      </c>
      <c r="G12" s="93">
        <f>CP!E486</f>
        <v>0</v>
      </c>
      <c r="H12" s="93">
        <f>CP!E502</f>
        <v>0</v>
      </c>
      <c r="I12" s="93">
        <f>CP!E518</f>
        <v>0</v>
      </c>
      <c r="J12" s="93">
        <f>CP!E534</f>
        <v>0</v>
      </c>
      <c r="K12" s="93">
        <f>CP!E550</f>
        <v>0</v>
      </c>
      <c r="L12" s="93">
        <f>CP!E566</f>
        <v>0</v>
      </c>
      <c r="M12" s="93">
        <f>CP!E582</f>
        <v>0</v>
      </c>
      <c r="N12" s="147">
        <f>CP!E598</f>
        <v>0</v>
      </c>
    </row>
    <row r="13" spans="2:14" ht="15.5" x14ac:dyDescent="0.35">
      <c r="B13" s="668" t="str">
        <f>CP!C423</f>
        <v>PALMITO TROZO  A-10</v>
      </c>
      <c r="C13" s="498">
        <f>CP!E423</f>
        <v>0</v>
      </c>
      <c r="D13" s="498">
        <f>CP!E439</f>
        <v>0</v>
      </c>
      <c r="E13" s="93">
        <f>CP!E455</f>
        <v>0</v>
      </c>
      <c r="F13" s="93">
        <f>CP!E471</f>
        <v>0</v>
      </c>
      <c r="G13" s="93">
        <f>CP!E487</f>
        <v>0</v>
      </c>
      <c r="H13" s="93">
        <f>CP!E503</f>
        <v>0</v>
      </c>
      <c r="I13" s="93">
        <f>CP!E519</f>
        <v>0</v>
      </c>
      <c r="J13" s="93">
        <f>CP!E535</f>
        <v>0</v>
      </c>
      <c r="K13" s="93">
        <f>CP!E551</f>
        <v>0</v>
      </c>
      <c r="L13" s="93">
        <f>CP!E567</f>
        <v>0</v>
      </c>
      <c r="M13" s="93">
        <f>CP!E583</f>
        <v>0</v>
      </c>
      <c r="N13" s="147">
        <f>CP!E599</f>
        <v>0</v>
      </c>
    </row>
    <row r="14" spans="2:14" ht="15.5" x14ac:dyDescent="0.35">
      <c r="B14" s="668" t="str">
        <f>CP!C424</f>
        <v>PALMITO RODAJA  A-10</v>
      </c>
      <c r="C14" s="498">
        <f>CP!E424</f>
        <v>0</v>
      </c>
      <c r="D14" s="498">
        <f>CP!E440</f>
        <v>0</v>
      </c>
      <c r="E14" s="93">
        <f>CP!E456</f>
        <v>0</v>
      </c>
      <c r="F14" s="93">
        <f>CP!E472</f>
        <v>0</v>
      </c>
      <c r="G14" s="93">
        <f>CP!E488</f>
        <v>0</v>
      </c>
      <c r="H14" s="93">
        <f>CP!E504</f>
        <v>0</v>
      </c>
      <c r="I14" s="93">
        <f>CP!E520</f>
        <v>0</v>
      </c>
      <c r="J14" s="93">
        <f>CP!E536</f>
        <v>0</v>
      </c>
      <c r="K14" s="93">
        <f>CP!E552</f>
        <v>0</v>
      </c>
      <c r="L14" s="93">
        <f>CP!E568</f>
        <v>0</v>
      </c>
      <c r="M14" s="93">
        <f>CP!E584</f>
        <v>0</v>
      </c>
      <c r="N14" s="147">
        <f>CP!E600</f>
        <v>0</v>
      </c>
    </row>
    <row r="15" spans="2:14" ht="15.5" x14ac:dyDescent="0.35">
      <c r="B15" s="668" t="str">
        <f>CP!C425</f>
        <v>PIÑA RODAJA 850</v>
      </c>
      <c r="C15" s="498">
        <f>CP!E425</f>
        <v>0</v>
      </c>
      <c r="D15" s="498">
        <f>CP!E441</f>
        <v>0</v>
      </c>
      <c r="E15" s="93">
        <f>CP!E457</f>
        <v>0</v>
      </c>
      <c r="F15" s="93">
        <f>CP!E473</f>
        <v>0</v>
      </c>
      <c r="G15" s="93">
        <f>CP!E489</f>
        <v>0</v>
      </c>
      <c r="H15" s="93">
        <f>CP!E505</f>
        <v>0</v>
      </c>
      <c r="I15" s="93">
        <f>CP!E521</f>
        <v>0</v>
      </c>
      <c r="J15" s="93">
        <f>CP!E537</f>
        <v>0</v>
      </c>
      <c r="K15" s="93">
        <f>CP!E553</f>
        <v>0</v>
      </c>
      <c r="L15" s="93">
        <f>CP!E569</f>
        <v>0</v>
      </c>
      <c r="M15" s="93">
        <f>CP!E585</f>
        <v>0</v>
      </c>
      <c r="N15" s="147">
        <f>CP!E601</f>
        <v>0</v>
      </c>
    </row>
    <row r="16" spans="2:14" ht="15.5" x14ac:dyDescent="0.35">
      <c r="B16" s="668" t="str">
        <f>CP!C426</f>
        <v>PIÑA TROZO 850</v>
      </c>
      <c r="C16" s="498">
        <f>CP!E426</f>
        <v>0</v>
      </c>
      <c r="D16" s="498">
        <f>CP!E442</f>
        <v>0</v>
      </c>
      <c r="E16" s="93">
        <f>CP!E458</f>
        <v>0</v>
      </c>
      <c r="F16" s="93">
        <f>CP!E474</f>
        <v>0</v>
      </c>
      <c r="G16" s="93">
        <f>CP!E490</f>
        <v>0</v>
      </c>
      <c r="H16" s="93">
        <f>CP!E506</f>
        <v>0</v>
      </c>
      <c r="I16" s="93">
        <f>CP!E522</f>
        <v>0</v>
      </c>
      <c r="J16" s="93">
        <f>CP!E538</f>
        <v>0</v>
      </c>
      <c r="K16" s="93">
        <f>CP!E554</f>
        <v>0</v>
      </c>
      <c r="L16" s="93">
        <f>CP!E570</f>
        <v>0</v>
      </c>
      <c r="M16" s="93">
        <f>CP!E586</f>
        <v>0</v>
      </c>
      <c r="N16" s="147">
        <f>CP!E602</f>
        <v>0</v>
      </c>
    </row>
    <row r="17" spans="2:16" ht="15.5" x14ac:dyDescent="0.35">
      <c r="B17" s="668" t="str">
        <f>CP!C427</f>
        <v>PIÑA TROZO A-10</v>
      </c>
      <c r="C17" s="498">
        <f>CP!E427</f>
        <v>0</v>
      </c>
      <c r="D17" s="498">
        <f>CP!E443</f>
        <v>0</v>
      </c>
      <c r="E17" s="93">
        <f>CP!E459</f>
        <v>0</v>
      </c>
      <c r="F17" s="93">
        <f>CP!E475</f>
        <v>0</v>
      </c>
      <c r="G17" s="93">
        <f>CP!E491</f>
        <v>0</v>
      </c>
      <c r="H17" s="93">
        <f>CP!E507</f>
        <v>0</v>
      </c>
      <c r="I17" s="93">
        <f>CP!E523</f>
        <v>0</v>
      </c>
      <c r="J17" s="93">
        <f>CP!E539</f>
        <v>0</v>
      </c>
      <c r="K17" s="93">
        <f>CP!E555</f>
        <v>0</v>
      </c>
      <c r="L17" s="93">
        <f>CP!E571</f>
        <v>0</v>
      </c>
      <c r="M17" s="93">
        <f>CP!E587</f>
        <v>0</v>
      </c>
      <c r="N17" s="147">
        <f>CP!E603</f>
        <v>0</v>
      </c>
    </row>
    <row r="18" spans="2:16" ht="15.5" x14ac:dyDescent="0.35">
      <c r="B18" s="668" t="str">
        <f>CP!C428</f>
        <v>PIÑA RODAJA A-10</v>
      </c>
      <c r="C18" s="498">
        <f>CP!E428</f>
        <v>0</v>
      </c>
      <c r="D18" s="498">
        <f>CP!E444</f>
        <v>0</v>
      </c>
      <c r="E18" s="93">
        <f>CP!E460</f>
        <v>0</v>
      </c>
      <c r="F18" s="93">
        <f>CP!E476</f>
        <v>0</v>
      </c>
      <c r="G18" s="93">
        <f>CP!E492</f>
        <v>0</v>
      </c>
      <c r="H18" s="93">
        <f>CP!E508</f>
        <v>0</v>
      </c>
      <c r="I18" s="93">
        <f>CP!E524</f>
        <v>0</v>
      </c>
      <c r="J18" s="93">
        <f>CP!E540</f>
        <v>0</v>
      </c>
      <c r="K18" s="93">
        <f>CP!E556</f>
        <v>0</v>
      </c>
      <c r="L18" s="93">
        <f>CP!E572</f>
        <v>0</v>
      </c>
      <c r="M18" s="93">
        <f>CP!E588</f>
        <v>0</v>
      </c>
      <c r="N18" s="147">
        <f>CP!E604</f>
        <v>0</v>
      </c>
    </row>
    <row r="19" spans="2:16" ht="15.5" x14ac:dyDescent="0.35">
      <c r="B19" s="668" t="str">
        <f>CP!C429</f>
        <v>PIÑA RODAJA 567</v>
      </c>
      <c r="C19" s="498">
        <f>CP!E429</f>
        <v>0.96041166831383962</v>
      </c>
      <c r="D19" s="498">
        <f>CP!E445</f>
        <v>0.96041166831383962</v>
      </c>
      <c r="E19" s="93">
        <f>CP!E461</f>
        <v>0.96041166831383962</v>
      </c>
      <c r="F19" s="93">
        <f>CP!E477</f>
        <v>0.96041166831383962</v>
      </c>
      <c r="G19" s="93">
        <f>CP!E493</f>
        <v>0.96041166831383962</v>
      </c>
      <c r="H19" s="93">
        <f>CP!E509</f>
        <v>0.96041166831383962</v>
      </c>
      <c r="I19" s="93">
        <f>CP!E525</f>
        <v>0.96041166831383962</v>
      </c>
      <c r="J19" s="93">
        <f>CP!E541</f>
        <v>0.96041166831383962</v>
      </c>
      <c r="K19" s="93">
        <f>CP!E557</f>
        <v>0.96041166831383962</v>
      </c>
      <c r="L19" s="93">
        <f>CP!E573</f>
        <v>0.96041166831383962</v>
      </c>
      <c r="M19" s="93">
        <f>CP!E589</f>
        <v>0.96041166831383962</v>
      </c>
      <c r="N19" s="147">
        <f>CP!E605</f>
        <v>0.96041166831383962</v>
      </c>
      <c r="P19" s="282"/>
    </row>
    <row r="20" spans="2:16" ht="15.5" x14ac:dyDescent="0.35">
      <c r="B20" s="668" t="str">
        <f>CP!C430</f>
        <v>PIÑA TROZO 567</v>
      </c>
      <c r="C20" s="498">
        <f>CP!E430</f>
        <v>0.9604116683138394</v>
      </c>
      <c r="D20" s="498">
        <f>CP!E446</f>
        <v>0.9604116683138394</v>
      </c>
      <c r="E20" s="93">
        <f>CP!E462</f>
        <v>0.9604116683138394</v>
      </c>
      <c r="F20" s="93">
        <f>CP!E478</f>
        <v>0.9604116683138394</v>
      </c>
      <c r="G20" s="93">
        <f>CP!E494</f>
        <v>0.9604116683138394</v>
      </c>
      <c r="H20" s="93">
        <f>CP!E510</f>
        <v>0.9604116683138394</v>
      </c>
      <c r="I20" s="93">
        <f>CP!E526</f>
        <v>0.9604116683138394</v>
      </c>
      <c r="J20" s="93">
        <f>CP!E542</f>
        <v>0.9604116683138394</v>
      </c>
      <c r="K20" s="93">
        <f>CP!E558</f>
        <v>0.9604116683138394</v>
      </c>
      <c r="L20" s="93">
        <f>CP!E574</f>
        <v>0.96041166831383962</v>
      </c>
      <c r="M20" s="93">
        <f>CP!E590</f>
        <v>0.96041166831383962</v>
      </c>
      <c r="N20" s="147">
        <f>CP!E606</f>
        <v>0.96041166831383962</v>
      </c>
      <c r="P20" s="282"/>
    </row>
    <row r="21" spans="2:16" ht="15.5" x14ac:dyDescent="0.35">
      <c r="B21" s="668" t="str">
        <f>CP!C431</f>
        <v>PIÑA RODAJA 822</v>
      </c>
      <c r="C21" s="498">
        <f>CP!E431</f>
        <v>1.2984286501572693</v>
      </c>
      <c r="D21" s="498">
        <f>CP!E447</f>
        <v>1.2984286501572693</v>
      </c>
      <c r="E21" s="93">
        <f>CP!E463</f>
        <v>1.2984286501572693</v>
      </c>
      <c r="F21" s="93">
        <f>CP!E479</f>
        <v>1.2984286501572693</v>
      </c>
      <c r="G21" s="93">
        <f>CP!E495</f>
        <v>1.2984286501572693</v>
      </c>
      <c r="H21" s="93">
        <f>CP!E511</f>
        <v>1.2984286501572693</v>
      </c>
      <c r="I21" s="93">
        <f>CP!E527</f>
        <v>1.2984286501572693</v>
      </c>
      <c r="J21" s="93">
        <f>CP!E543</f>
        <v>1.2984286501572693</v>
      </c>
      <c r="K21" s="93">
        <f>CP!E559</f>
        <v>1.2984286501572693</v>
      </c>
      <c r="L21" s="93">
        <f>CP!E575</f>
        <v>1.2984286501572693</v>
      </c>
      <c r="M21" s="93">
        <f>CP!E591</f>
        <v>1.2984286501572693</v>
      </c>
      <c r="N21" s="147">
        <f>CP!E607</f>
        <v>1.2984286501572693</v>
      </c>
      <c r="P21" s="282"/>
    </row>
    <row r="22" spans="2:16" ht="16" thickBot="1" x14ac:dyDescent="0.4">
      <c r="B22" s="669" t="str">
        <f>CP!C432</f>
        <v>PIÑA TROZO 822</v>
      </c>
      <c r="C22" s="644">
        <f>CP!E432</f>
        <v>1.2984286501572693</v>
      </c>
      <c r="D22" s="644">
        <f>CP!E448</f>
        <v>1.2984286501572693</v>
      </c>
      <c r="E22" s="560">
        <f>CP!E464</f>
        <v>1.2984286501572693</v>
      </c>
      <c r="F22" s="560">
        <f>CP!E480</f>
        <v>1.2984286501572693</v>
      </c>
      <c r="G22" s="560">
        <f>CP!E496</f>
        <v>1.2984286501572693</v>
      </c>
      <c r="H22" s="560">
        <f>CP!E512</f>
        <v>1.2984286501572693</v>
      </c>
      <c r="I22" s="560">
        <f>CP!E528</f>
        <v>1.2984286501572693</v>
      </c>
      <c r="J22" s="560">
        <f>CP!E544</f>
        <v>1.2984286501572693</v>
      </c>
      <c r="K22" s="560">
        <f>CP!E560</f>
        <v>1.2984286501572693</v>
      </c>
      <c r="L22" s="560">
        <f>CP!E576</f>
        <v>0</v>
      </c>
      <c r="M22" s="560">
        <f>CP!E592</f>
        <v>0</v>
      </c>
      <c r="N22" s="281">
        <f>CP!E608</f>
        <v>0</v>
      </c>
      <c r="P22" s="282"/>
    </row>
    <row r="23" spans="2:16" ht="15" thickBot="1" x14ac:dyDescent="0.4"/>
    <row r="24" spans="2:16" ht="15" customHeight="1" x14ac:dyDescent="0.35">
      <c r="B24" s="869" t="s">
        <v>245</v>
      </c>
      <c r="C24" s="1048" t="s">
        <v>252</v>
      </c>
      <c r="D24" s="1048"/>
      <c r="E24" s="1048"/>
      <c r="F24" s="1048"/>
      <c r="G24" s="1048"/>
      <c r="H24" s="1048"/>
      <c r="I24" s="1048"/>
      <c r="J24" s="1048"/>
      <c r="K24" s="1048"/>
      <c r="L24" s="1048"/>
      <c r="M24" s="1048"/>
      <c r="N24" s="1049"/>
    </row>
    <row r="25" spans="2:16" x14ac:dyDescent="0.35">
      <c r="B25" s="1046"/>
      <c r="C25" s="1050"/>
      <c r="D25" s="1050"/>
      <c r="E25" s="1050"/>
      <c r="F25" s="1050"/>
      <c r="G25" s="1050"/>
      <c r="H25" s="1050"/>
      <c r="I25" s="1050"/>
      <c r="J25" s="1050"/>
      <c r="K25" s="1050"/>
      <c r="L25" s="1050"/>
      <c r="M25" s="1050"/>
      <c r="N25" s="1051"/>
    </row>
    <row r="26" spans="2:16" ht="15.5" thickBot="1" x14ac:dyDescent="0.4">
      <c r="B26" s="1047"/>
      <c r="C26" s="663" t="str">
        <f>DP!AY13</f>
        <v>ENERO</v>
      </c>
      <c r="D26" s="663" t="str">
        <f>DP!AZ13</f>
        <v>FEBRERO</v>
      </c>
      <c r="E26" s="663" t="str">
        <f>DP!BA13</f>
        <v>MARZO</v>
      </c>
      <c r="F26" s="663" t="str">
        <f>DP!BB13</f>
        <v>ABRIL</v>
      </c>
      <c r="G26" s="663" t="str">
        <f>DP!BC13</f>
        <v>MAYO</v>
      </c>
      <c r="H26" s="663" t="str">
        <f>DP!BD13</f>
        <v>JUNIO</v>
      </c>
      <c r="I26" s="663" t="str">
        <f>DP!BE13</f>
        <v>JULIO</v>
      </c>
      <c r="J26" s="663" t="str">
        <f>DP!BF13</f>
        <v>AGOSTO</v>
      </c>
      <c r="K26" s="663" t="str">
        <f>DP!BG13</f>
        <v>SEPTIEMBRE</v>
      </c>
      <c r="L26" s="663" t="str">
        <f>DP!BH13</f>
        <v>OCTUBRE</v>
      </c>
      <c r="M26" s="663" t="str">
        <f>DP!BI13</f>
        <v>NOVIEMBRE</v>
      </c>
      <c r="N26" s="664" t="str">
        <f>DP!BJ13</f>
        <v>DICIEMBRE</v>
      </c>
    </row>
    <row r="27" spans="2:16" ht="15.5" x14ac:dyDescent="0.35">
      <c r="B27" s="670" t="str">
        <f>B7</f>
        <v xml:space="preserve">PALMITO ENTERO 800 </v>
      </c>
      <c r="C27" s="665">
        <f>CP!D417</f>
        <v>0</v>
      </c>
      <c r="D27" s="665">
        <f>CP!D433</f>
        <v>0</v>
      </c>
      <c r="E27" s="665">
        <f>CP!D449</f>
        <v>0</v>
      </c>
      <c r="F27" s="665">
        <f>CP!D465</f>
        <v>0</v>
      </c>
      <c r="G27" s="665">
        <f>CP!D481</f>
        <v>0</v>
      </c>
      <c r="H27" s="665">
        <f>CP!D497</f>
        <v>0</v>
      </c>
      <c r="I27" s="665">
        <f>CP!D513</f>
        <v>0</v>
      </c>
      <c r="J27" s="665">
        <f>CP!D529</f>
        <v>0</v>
      </c>
      <c r="K27" s="665">
        <f>CP!D545</f>
        <v>0</v>
      </c>
      <c r="L27" s="665">
        <f>CP!D561</f>
        <v>0</v>
      </c>
      <c r="M27" s="665">
        <f>CP!D577</f>
        <v>0</v>
      </c>
      <c r="N27" s="671">
        <f>CP!D593</f>
        <v>0</v>
      </c>
    </row>
    <row r="28" spans="2:16" ht="15.5" x14ac:dyDescent="0.35">
      <c r="B28" s="301" t="str">
        <f t="shared" ref="B28:B42" si="0">B8</f>
        <v>PALMITO RODAJA 800</v>
      </c>
      <c r="C28" s="637">
        <f>CP!D418</f>
        <v>0</v>
      </c>
      <c r="D28" s="637">
        <f>CP!D434</f>
        <v>0</v>
      </c>
      <c r="E28" s="637">
        <f>CP!D450</f>
        <v>0</v>
      </c>
      <c r="F28" s="637">
        <f>CP!D466</f>
        <v>0</v>
      </c>
      <c r="G28" s="637">
        <f>CP!D482</f>
        <v>0</v>
      </c>
      <c r="H28" s="637">
        <f>CP!D498</f>
        <v>0</v>
      </c>
      <c r="I28" s="637">
        <f>CP!D514</f>
        <v>0</v>
      </c>
      <c r="J28" s="637">
        <f>CP!D530</f>
        <v>0</v>
      </c>
      <c r="K28" s="637">
        <f>CP!D546</f>
        <v>0</v>
      </c>
      <c r="L28" s="637">
        <f>CP!D562</f>
        <v>0</v>
      </c>
      <c r="M28" s="637">
        <f>CP!D578</f>
        <v>0</v>
      </c>
      <c r="N28" s="672">
        <f>CP!D594</f>
        <v>0</v>
      </c>
    </row>
    <row r="29" spans="2:16" ht="15.5" x14ac:dyDescent="0.35">
      <c r="B29" s="301" t="str">
        <f t="shared" si="0"/>
        <v>PALMITO TROZO 800</v>
      </c>
      <c r="C29" s="637">
        <f>CP!D419</f>
        <v>0</v>
      </c>
      <c r="D29" s="637">
        <f>CP!D435</f>
        <v>0</v>
      </c>
      <c r="E29" s="637">
        <f>CP!D451</f>
        <v>0</v>
      </c>
      <c r="F29" s="637">
        <f>CP!D467</f>
        <v>0</v>
      </c>
      <c r="G29" s="637">
        <f>CP!D483</f>
        <v>0</v>
      </c>
      <c r="H29" s="637">
        <f>CP!D499</f>
        <v>0</v>
      </c>
      <c r="I29" s="637">
        <f>CP!D515</f>
        <v>0</v>
      </c>
      <c r="J29" s="637">
        <f>CP!D531</f>
        <v>0</v>
      </c>
      <c r="K29" s="637">
        <f>CP!D547</f>
        <v>0</v>
      </c>
      <c r="L29" s="637">
        <f>CP!D563</f>
        <v>0</v>
      </c>
      <c r="M29" s="637">
        <f>CP!D579</f>
        <v>0</v>
      </c>
      <c r="N29" s="672">
        <f>CP!D595</f>
        <v>0</v>
      </c>
    </row>
    <row r="30" spans="2:16" ht="15.5" x14ac:dyDescent="0.35">
      <c r="B30" s="301" t="str">
        <f t="shared" si="0"/>
        <v>PALMITO ENTERO 400</v>
      </c>
      <c r="C30" s="637">
        <f>CP!D420</f>
        <v>0</v>
      </c>
      <c r="D30" s="637">
        <f>CP!D436</f>
        <v>0</v>
      </c>
      <c r="E30" s="637">
        <f>CP!D452</f>
        <v>0</v>
      </c>
      <c r="F30" s="637">
        <f>CP!D468</f>
        <v>0</v>
      </c>
      <c r="G30" s="637">
        <f>CP!D484</f>
        <v>0</v>
      </c>
      <c r="H30" s="637">
        <f>CP!D500</f>
        <v>0</v>
      </c>
      <c r="I30" s="637">
        <f>CP!D516</f>
        <v>0</v>
      </c>
      <c r="J30" s="637">
        <f>CP!D532</f>
        <v>0</v>
      </c>
      <c r="K30" s="637">
        <f>CP!D548</f>
        <v>0</v>
      </c>
      <c r="L30" s="637">
        <f>CP!D564</f>
        <v>0</v>
      </c>
      <c r="M30" s="637">
        <f>CP!D580</f>
        <v>0</v>
      </c>
      <c r="N30" s="672">
        <f>CP!D596</f>
        <v>0</v>
      </c>
    </row>
    <row r="31" spans="2:16" ht="15.5" x14ac:dyDescent="0.35">
      <c r="B31" s="301" t="str">
        <f t="shared" si="0"/>
        <v>PALMITO RODAJA 400</v>
      </c>
      <c r="C31" s="637">
        <f>CP!D421</f>
        <v>0</v>
      </c>
      <c r="D31" s="637">
        <f>CP!D437</f>
        <v>0</v>
      </c>
      <c r="E31" s="637">
        <f>CP!D453</f>
        <v>0</v>
      </c>
      <c r="F31" s="637">
        <f>CP!D469</f>
        <v>0</v>
      </c>
      <c r="G31" s="637">
        <f>CP!D485</f>
        <v>0</v>
      </c>
      <c r="H31" s="637">
        <f>CP!D501</f>
        <v>0</v>
      </c>
      <c r="I31" s="637">
        <f>CP!D517</f>
        <v>0</v>
      </c>
      <c r="J31" s="637">
        <f>CP!D533</f>
        <v>0</v>
      </c>
      <c r="K31" s="637">
        <f>CP!D549</f>
        <v>0</v>
      </c>
      <c r="L31" s="637">
        <f>CP!D565</f>
        <v>0</v>
      </c>
      <c r="M31" s="637">
        <f>CP!D581</f>
        <v>0</v>
      </c>
      <c r="N31" s="672">
        <f>CP!D597</f>
        <v>0</v>
      </c>
    </row>
    <row r="32" spans="2:16" ht="15.5" x14ac:dyDescent="0.35">
      <c r="B32" s="301" t="str">
        <f t="shared" si="0"/>
        <v>PALMITO TROZO 400</v>
      </c>
      <c r="C32" s="637">
        <f>CP!D422</f>
        <v>0</v>
      </c>
      <c r="D32" s="637">
        <f>CP!D438</f>
        <v>0</v>
      </c>
      <c r="E32" s="637">
        <f>CP!D454</f>
        <v>0</v>
      </c>
      <c r="F32" s="637">
        <f>CP!D470</f>
        <v>0</v>
      </c>
      <c r="G32" s="637">
        <f>CP!D486</f>
        <v>0</v>
      </c>
      <c r="H32" s="637">
        <f>CP!D502</f>
        <v>0</v>
      </c>
      <c r="I32" s="637">
        <f>CP!D518</f>
        <v>0</v>
      </c>
      <c r="J32" s="637">
        <f>CP!D534</f>
        <v>0</v>
      </c>
      <c r="K32" s="637">
        <f>CP!D550</f>
        <v>0</v>
      </c>
      <c r="L32" s="637">
        <f>CP!D566</f>
        <v>0</v>
      </c>
      <c r="M32" s="637">
        <f>CP!D582</f>
        <v>0</v>
      </c>
      <c r="N32" s="672">
        <f>CP!D598</f>
        <v>0</v>
      </c>
    </row>
    <row r="33" spans="2:14" ht="15.5" x14ac:dyDescent="0.35">
      <c r="B33" s="301" t="str">
        <f t="shared" si="0"/>
        <v>PALMITO TROZO  A-10</v>
      </c>
      <c r="C33" s="637">
        <f>CP!D423</f>
        <v>0</v>
      </c>
      <c r="D33" s="637">
        <f>CP!D439</f>
        <v>0</v>
      </c>
      <c r="E33" s="637">
        <f>CP!D455</f>
        <v>0</v>
      </c>
      <c r="F33" s="637">
        <f>CP!D471</f>
        <v>0</v>
      </c>
      <c r="G33" s="637">
        <f>CP!D487</f>
        <v>0</v>
      </c>
      <c r="H33" s="637">
        <f>CP!D503</f>
        <v>0</v>
      </c>
      <c r="I33" s="637">
        <f>CP!D519</f>
        <v>0</v>
      </c>
      <c r="J33" s="637">
        <f>CP!D535</f>
        <v>0</v>
      </c>
      <c r="K33" s="637">
        <f>CP!D551</f>
        <v>0</v>
      </c>
      <c r="L33" s="637">
        <f>CP!D567</f>
        <v>0</v>
      </c>
      <c r="M33" s="637">
        <f>CP!D583</f>
        <v>0</v>
      </c>
      <c r="N33" s="672">
        <f>CP!D599</f>
        <v>0</v>
      </c>
    </row>
    <row r="34" spans="2:14" ht="15.5" x14ac:dyDescent="0.35">
      <c r="B34" s="301" t="str">
        <f t="shared" si="0"/>
        <v>PALMITO RODAJA  A-10</v>
      </c>
      <c r="C34" s="637">
        <f>CP!D424</f>
        <v>0</v>
      </c>
      <c r="D34" s="637">
        <f>CP!D440</f>
        <v>0</v>
      </c>
      <c r="E34" s="637">
        <f>CP!D456</f>
        <v>0</v>
      </c>
      <c r="F34" s="637">
        <f>CP!D472</f>
        <v>0</v>
      </c>
      <c r="G34" s="637">
        <f>CP!D488</f>
        <v>0</v>
      </c>
      <c r="H34" s="637">
        <f>CP!D504</f>
        <v>0</v>
      </c>
      <c r="I34" s="637">
        <f>CP!D520</f>
        <v>0</v>
      </c>
      <c r="J34" s="637">
        <f>CP!D536</f>
        <v>0</v>
      </c>
      <c r="K34" s="637">
        <f>CP!D552</f>
        <v>0</v>
      </c>
      <c r="L34" s="637">
        <f>CP!D568</f>
        <v>0</v>
      </c>
      <c r="M34" s="637">
        <f>CP!D584</f>
        <v>0</v>
      </c>
      <c r="N34" s="672">
        <f>CP!D600</f>
        <v>0</v>
      </c>
    </row>
    <row r="35" spans="2:14" ht="15.5" x14ac:dyDescent="0.35">
      <c r="B35" s="301" t="str">
        <f t="shared" si="0"/>
        <v>PIÑA RODAJA 850</v>
      </c>
      <c r="C35" s="637">
        <f>CP!D425</f>
        <v>0</v>
      </c>
      <c r="D35" s="637">
        <f>CP!D441</f>
        <v>0</v>
      </c>
      <c r="E35" s="637">
        <f>CP!D457</f>
        <v>0</v>
      </c>
      <c r="F35" s="637">
        <f>CP!D473</f>
        <v>0</v>
      </c>
      <c r="G35" s="637">
        <f>CP!D489</f>
        <v>0</v>
      </c>
      <c r="H35" s="637">
        <f>CP!D505</f>
        <v>0</v>
      </c>
      <c r="I35" s="637">
        <f>CP!D521</f>
        <v>0</v>
      </c>
      <c r="J35" s="637">
        <f>CP!D537</f>
        <v>0</v>
      </c>
      <c r="K35" s="637">
        <f>CP!D553</f>
        <v>0</v>
      </c>
      <c r="L35" s="637">
        <f>CP!D569</f>
        <v>0</v>
      </c>
      <c r="M35" s="637">
        <f>CP!D585</f>
        <v>0</v>
      </c>
      <c r="N35" s="672">
        <f>CP!D601</f>
        <v>0</v>
      </c>
    </row>
    <row r="36" spans="2:14" ht="15.5" x14ac:dyDescent="0.35">
      <c r="B36" s="301" t="str">
        <f t="shared" si="0"/>
        <v>PIÑA TROZO 850</v>
      </c>
      <c r="C36" s="637">
        <f>CP!D426</f>
        <v>0</v>
      </c>
      <c r="D36" s="637">
        <f>CP!D442</f>
        <v>0</v>
      </c>
      <c r="E36" s="637">
        <f>CP!D458</f>
        <v>0</v>
      </c>
      <c r="F36" s="637">
        <f>CP!D474</f>
        <v>0</v>
      </c>
      <c r="G36" s="637">
        <f>CP!D490</f>
        <v>0</v>
      </c>
      <c r="H36" s="637">
        <f>CP!D506</f>
        <v>0</v>
      </c>
      <c r="I36" s="637">
        <f>CP!D522</f>
        <v>0</v>
      </c>
      <c r="J36" s="637">
        <f>CP!D538</f>
        <v>0</v>
      </c>
      <c r="K36" s="637">
        <f>CP!D554</f>
        <v>0</v>
      </c>
      <c r="L36" s="637">
        <f>CP!D570</f>
        <v>0</v>
      </c>
      <c r="M36" s="637">
        <f>CP!D586</f>
        <v>0</v>
      </c>
      <c r="N36" s="672">
        <f>CP!D602</f>
        <v>0</v>
      </c>
    </row>
    <row r="37" spans="2:14" ht="15.5" x14ac:dyDescent="0.35">
      <c r="B37" s="301" t="str">
        <f t="shared" si="0"/>
        <v>PIÑA TROZO A-10</v>
      </c>
      <c r="C37" s="637">
        <f>CP!D427</f>
        <v>0</v>
      </c>
      <c r="D37" s="637">
        <f>CP!D443</f>
        <v>0</v>
      </c>
      <c r="E37" s="637">
        <f>CP!D459</f>
        <v>0</v>
      </c>
      <c r="F37" s="637">
        <f>CP!D475</f>
        <v>0</v>
      </c>
      <c r="G37" s="637">
        <f>CP!D491</f>
        <v>0</v>
      </c>
      <c r="H37" s="637">
        <f>CP!D507</f>
        <v>0</v>
      </c>
      <c r="I37" s="637">
        <f>CP!D523</f>
        <v>0</v>
      </c>
      <c r="J37" s="637">
        <f>CP!D539</f>
        <v>0</v>
      </c>
      <c r="K37" s="637">
        <f>CP!D555</f>
        <v>0</v>
      </c>
      <c r="L37" s="637">
        <f>CP!D571</f>
        <v>0</v>
      </c>
      <c r="M37" s="637">
        <f>CP!D587</f>
        <v>0</v>
      </c>
      <c r="N37" s="672">
        <f>CP!D603</f>
        <v>0</v>
      </c>
    </row>
    <row r="38" spans="2:14" ht="15.5" x14ac:dyDescent="0.35">
      <c r="B38" s="301" t="str">
        <f t="shared" si="0"/>
        <v>PIÑA RODAJA A-10</v>
      </c>
      <c r="C38" s="637">
        <f>CP!D428</f>
        <v>0</v>
      </c>
      <c r="D38" s="637">
        <f>CP!D444</f>
        <v>0</v>
      </c>
      <c r="E38" s="637">
        <f>CP!D460</f>
        <v>0</v>
      </c>
      <c r="F38" s="637">
        <f>CP!D476</f>
        <v>0</v>
      </c>
      <c r="G38" s="637">
        <f>CP!D492</f>
        <v>0</v>
      </c>
      <c r="H38" s="637">
        <f>CP!D508</f>
        <v>0</v>
      </c>
      <c r="I38" s="637">
        <f>CP!D524</f>
        <v>0</v>
      </c>
      <c r="J38" s="637">
        <f>CP!D540</f>
        <v>0</v>
      </c>
      <c r="K38" s="637">
        <f>CP!D556</f>
        <v>0</v>
      </c>
      <c r="L38" s="637">
        <f>CP!D572</f>
        <v>0</v>
      </c>
      <c r="M38" s="637">
        <f>CP!D588</f>
        <v>0</v>
      </c>
      <c r="N38" s="672">
        <f>CP!D604</f>
        <v>0</v>
      </c>
    </row>
    <row r="39" spans="2:14" ht="15.5" x14ac:dyDescent="0.35">
      <c r="B39" s="301" t="str">
        <f t="shared" si="0"/>
        <v>PIÑA RODAJA 567</v>
      </c>
      <c r="C39" s="637">
        <f>CP!D429</f>
        <v>270000</v>
      </c>
      <c r="D39" s="637">
        <f>CP!D445</f>
        <v>270000</v>
      </c>
      <c r="E39" s="637">
        <f>CP!D461</f>
        <v>270000</v>
      </c>
      <c r="F39" s="637">
        <f>CP!D477</f>
        <v>270000</v>
      </c>
      <c r="G39" s="637">
        <f>CP!D493</f>
        <v>270000</v>
      </c>
      <c r="H39" s="637">
        <f>CP!D509</f>
        <v>270000</v>
      </c>
      <c r="I39" s="637">
        <f>CP!D525</f>
        <v>270000</v>
      </c>
      <c r="J39" s="637">
        <f>CP!D541</f>
        <v>270000</v>
      </c>
      <c r="K39" s="637">
        <f>CP!D557</f>
        <v>270000</v>
      </c>
      <c r="L39" s="637">
        <f>CP!D573</f>
        <v>324000</v>
      </c>
      <c r="M39" s="637">
        <f>CP!D589</f>
        <v>324000</v>
      </c>
      <c r="N39" s="672">
        <f>CP!D605</f>
        <v>324000</v>
      </c>
    </row>
    <row r="40" spans="2:14" ht="15.5" x14ac:dyDescent="0.35">
      <c r="B40" s="301" t="str">
        <f t="shared" si="0"/>
        <v>PIÑA TROZO 567</v>
      </c>
      <c r="C40" s="637">
        <f>CP!D430</f>
        <v>108000</v>
      </c>
      <c r="D40" s="637">
        <f>CP!D446</f>
        <v>108000</v>
      </c>
      <c r="E40" s="637">
        <f>CP!D462</f>
        <v>108000</v>
      </c>
      <c r="F40" s="637">
        <f>CP!D478</f>
        <v>108000</v>
      </c>
      <c r="G40" s="637">
        <f>CP!D494</f>
        <v>108000</v>
      </c>
      <c r="H40" s="637">
        <f>CP!D510</f>
        <v>108000</v>
      </c>
      <c r="I40" s="637">
        <f>CP!D526</f>
        <v>108000</v>
      </c>
      <c r="J40" s="637">
        <f>CP!D542</f>
        <v>108000</v>
      </c>
      <c r="K40" s="637">
        <f>CP!D558</f>
        <v>108000</v>
      </c>
      <c r="L40" s="637">
        <f>CP!D574</f>
        <v>162000</v>
      </c>
      <c r="M40" s="637">
        <f>CP!D590</f>
        <v>162000</v>
      </c>
      <c r="N40" s="672">
        <f>CP!D606</f>
        <v>162000</v>
      </c>
    </row>
    <row r="41" spans="2:14" ht="15.5" x14ac:dyDescent="0.35">
      <c r="B41" s="301" t="str">
        <f t="shared" si="0"/>
        <v>PIÑA RODAJA 822</v>
      </c>
      <c r="C41" s="637">
        <f>CP!D431</f>
        <v>73440</v>
      </c>
      <c r="D41" s="637">
        <f>CP!D447</f>
        <v>73440</v>
      </c>
      <c r="E41" s="637">
        <f>CP!D463</f>
        <v>73440</v>
      </c>
      <c r="F41" s="637">
        <f>CP!D479</f>
        <v>73440</v>
      </c>
      <c r="G41" s="637">
        <f>CP!D495</f>
        <v>73440</v>
      </c>
      <c r="H41" s="637">
        <f>CP!D511</f>
        <v>73440</v>
      </c>
      <c r="I41" s="637">
        <f>CP!D527</f>
        <v>73440</v>
      </c>
      <c r="J41" s="637">
        <f>CP!D543</f>
        <v>73440</v>
      </c>
      <c r="K41" s="637">
        <f>CP!D559</f>
        <v>73440</v>
      </c>
      <c r="L41" s="637">
        <f>CP!D575</f>
        <v>36720</v>
      </c>
      <c r="M41" s="637">
        <f>CP!D591</f>
        <v>36720</v>
      </c>
      <c r="N41" s="672">
        <f>CP!D607</f>
        <v>36720</v>
      </c>
    </row>
    <row r="42" spans="2:14" ht="16" thickBot="1" x14ac:dyDescent="0.4">
      <c r="B42" s="673" t="str">
        <f t="shared" si="0"/>
        <v>PIÑA TROZO 822</v>
      </c>
      <c r="C42" s="674">
        <f>CP!D432</f>
        <v>36720</v>
      </c>
      <c r="D42" s="674">
        <f>CP!D448</f>
        <v>36720</v>
      </c>
      <c r="E42" s="674">
        <f>CP!D464</f>
        <v>36720</v>
      </c>
      <c r="F42" s="674">
        <f>CP!D480</f>
        <v>36720</v>
      </c>
      <c r="G42" s="674">
        <f>CP!D496</f>
        <v>36720</v>
      </c>
      <c r="H42" s="674">
        <f>CP!D512</f>
        <v>36720</v>
      </c>
      <c r="I42" s="674">
        <f>CP!D528</f>
        <v>36720</v>
      </c>
      <c r="J42" s="674">
        <f>CP!D544</f>
        <v>36720</v>
      </c>
      <c r="K42" s="674">
        <f>CP!D560</f>
        <v>36720</v>
      </c>
      <c r="L42" s="674">
        <f>CP!D576</f>
        <v>0</v>
      </c>
      <c r="M42" s="674">
        <f>CP!D592</f>
        <v>0</v>
      </c>
      <c r="N42" s="305"/>
    </row>
    <row r="46" spans="2:14" ht="15" thickBot="1" x14ac:dyDescent="0.4"/>
    <row r="47" spans="2:14" x14ac:dyDescent="0.35">
      <c r="B47" s="1043" t="s">
        <v>81</v>
      </c>
      <c r="C47" s="1037" t="s">
        <v>533</v>
      </c>
      <c r="D47" s="1038"/>
      <c r="E47" s="1039"/>
    </row>
    <row r="48" spans="2:14" ht="15" thickBot="1" x14ac:dyDescent="0.4">
      <c r="B48" s="1044"/>
      <c r="C48" s="1040"/>
      <c r="D48" s="1041"/>
      <c r="E48" s="1042"/>
    </row>
    <row r="49" spans="2:5" ht="15.5" thickBot="1" x14ac:dyDescent="0.4">
      <c r="B49" s="1045"/>
      <c r="C49" s="772" t="s">
        <v>213</v>
      </c>
      <c r="D49" s="772" t="s">
        <v>180</v>
      </c>
      <c r="E49" s="773" t="s">
        <v>524</v>
      </c>
    </row>
    <row r="50" spans="2:5" ht="15.5" x14ac:dyDescent="0.35">
      <c r="B50" s="769" t="s">
        <v>182</v>
      </c>
      <c r="C50" s="770">
        <f>CP!S31+CP!V31+CP!Y31+CP!BJ31+CP!BM31+CP!BP31</f>
        <v>207479.41991999999</v>
      </c>
      <c r="D50" s="770">
        <f>CP!AC31+CP!AF31+CP!AI31+CP!AL31+CP!BV31+CP!BY31+CP!CB31+CP!CE31</f>
        <v>171629.36155862067</v>
      </c>
      <c r="E50" s="771">
        <f>CP!AO31+CP!AP31+CP!AQ31+CP!CH31+CP!CI31+CP!CJ31</f>
        <v>80594.068965517246</v>
      </c>
    </row>
    <row r="51" spans="2:5" ht="15.5" x14ac:dyDescent="0.35">
      <c r="B51" s="390" t="s">
        <v>183</v>
      </c>
      <c r="C51" s="149">
        <f>CP!S64+CP!V64+CP!Y64+CP!BJ64+CP!BM64+CP!BP64</f>
        <v>207479.41991999999</v>
      </c>
      <c r="D51" s="149">
        <f>CP!AC64+CP!AF64+CP!AI64+CP!AL64+CP!BV64+CP!BY64+CP!CB64+CP!CE64</f>
        <v>171629.36155862067</v>
      </c>
      <c r="E51" s="150">
        <f>CP!AO64+CP!AP64+CP!AQ64+CP!CH64+CP!CI64+CP!CJ64</f>
        <v>80594.068965517246</v>
      </c>
    </row>
    <row r="52" spans="2:5" ht="15.5" x14ac:dyDescent="0.35">
      <c r="B52" s="390" t="s">
        <v>184</v>
      </c>
      <c r="C52" s="149">
        <f>CP!S97+CP!V97+CP!Y97+CP!BJ97+CP!BM97+CP!BP97</f>
        <v>207479.41991999999</v>
      </c>
      <c r="D52" s="149">
        <f>CP!AC97+CP!AF97+CP!AI97+CP!AL97+CP!BV97+CP!BY97+CP!CB97+CP!CE97</f>
        <v>171629.36155862067</v>
      </c>
      <c r="E52" s="150">
        <f>CP!AO97+CP!AP97+CP!AQ97+CP!CH97+CP!CI97+CP!CJ97</f>
        <v>80594.068965517246</v>
      </c>
    </row>
    <row r="53" spans="2:5" ht="15.5" x14ac:dyDescent="0.35">
      <c r="B53" s="390" t="s">
        <v>185</v>
      </c>
      <c r="C53" s="149">
        <f>CP!S130+CP!V130+CP!Y130+CP!BJ130+CP!BM130+CP!BP130</f>
        <v>207479.41991999999</v>
      </c>
      <c r="D53" s="149">
        <f>CP!AC130+CP!AF130+CP!AI130+CP!AL130+CP!BV130+CP!BY130+CP!CB130+CP!CE130</f>
        <v>171629.36155862067</v>
      </c>
      <c r="E53" s="150">
        <f>CP!AO130+CP!AP130+CP!AQ130+CP!CH130+CP!CI130+CP!CJ130</f>
        <v>80594.068965517246</v>
      </c>
    </row>
    <row r="54" spans="2:5" ht="15.5" x14ac:dyDescent="0.35">
      <c r="B54" s="390" t="s">
        <v>186</v>
      </c>
      <c r="C54" s="149">
        <f>CP!S163+CP!V163+CP!Y163+CP!BJ163+CP!BM163+CP!BP163</f>
        <v>207479.41991999999</v>
      </c>
      <c r="D54" s="149">
        <f>CP!AC163+CP!AF163+CP!AI163+CP!AL163+CP!BV163+CP!BY163+CP!CB163+CP!CE163</f>
        <v>171629.36155862067</v>
      </c>
      <c r="E54" s="150">
        <f>CP!AO163+CP!AP163+CP!AQ163+CP!CH163+CP!CI163+CP!CJ163</f>
        <v>80594.068965517246</v>
      </c>
    </row>
    <row r="55" spans="2:5" ht="15.5" x14ac:dyDescent="0.35">
      <c r="B55" s="390" t="s">
        <v>187</v>
      </c>
      <c r="C55" s="149">
        <f>CP!S196+CP!V196+CP!Y196+CP!BJ196+CP!BM196+CP!BP196</f>
        <v>207479.41991999999</v>
      </c>
      <c r="D55" s="149">
        <f>CP!AC196+CP!AF196+CP!AI196+CP!AL196+CP!BV196+CP!BY196+CP!CB196+CP!CE196</f>
        <v>171629.36155862067</v>
      </c>
      <c r="E55" s="150">
        <f>CP!AO196+CP!AP196+CP!AQ196+CP!CH196+CP!CI196+CP!CJ196</f>
        <v>80594.068965517246</v>
      </c>
    </row>
    <row r="56" spans="2:5" ht="15.5" x14ac:dyDescent="0.35">
      <c r="B56" s="390" t="s">
        <v>188</v>
      </c>
      <c r="C56" s="149">
        <f>CP!S229+CP!V229+CP!Y229+CP!BJ229+CP!BM229+CP!BP229</f>
        <v>207479.41991999999</v>
      </c>
      <c r="D56" s="149">
        <f>CP!AC229+CP!AF229+CP!AI229+CP!AL229+CP!BV229+CP!BY229+CP!CB229+CP!CE229</f>
        <v>171629.36155862067</v>
      </c>
      <c r="E56" s="150">
        <f>CP!AO229+CP!AP229+CP!AQ229+CP!CH229+CP!CI229+CP!CJ229</f>
        <v>80594.068965517246</v>
      </c>
    </row>
    <row r="57" spans="2:5" ht="15.5" x14ac:dyDescent="0.35">
      <c r="B57" s="390" t="s">
        <v>189</v>
      </c>
      <c r="C57" s="149">
        <f>CP!S262+CP!V262+CP!Y262+CP!BJ262+CP!BM262+CP!BP262</f>
        <v>207479.41991999999</v>
      </c>
      <c r="D57" s="149">
        <f>CP!AC262+CP!AF262+CP!AI262+CP!AL262+CP!BV262+CP!BY262+CP!CB262+CP!CE262</f>
        <v>171629.36155862067</v>
      </c>
      <c r="E57" s="150">
        <f>CP!AO262+CP!AP262+CP!AQ262+CP!CH262+CP!CI262+CP!CJ262</f>
        <v>80594.068965517246</v>
      </c>
    </row>
    <row r="58" spans="2:5" ht="15.5" x14ac:dyDescent="0.35">
      <c r="B58" s="390" t="s">
        <v>190</v>
      </c>
      <c r="C58" s="149">
        <f>CP!S295+CP!V295+CP!Y295+CP!BJ295+CP!BM295+CP!BP295</f>
        <v>207479.41991999999</v>
      </c>
      <c r="D58" s="149">
        <f>CP!AC295+CP!AF295+CP!AI295+CP!AL295+CP!BV295+CP!BY295+CP!CB295+CP!CE295</f>
        <v>171629.36155862067</v>
      </c>
      <c r="E58" s="150">
        <f>CP!AO295+CP!AP295+CP!AQ295+CP!CH295+CP!CI295+CP!CJ295</f>
        <v>80594.068965517246</v>
      </c>
    </row>
    <row r="59" spans="2:5" ht="15.5" x14ac:dyDescent="0.35">
      <c r="B59" s="390" t="s">
        <v>191</v>
      </c>
      <c r="C59" s="149">
        <f>CP!S328+CP!V328+CP!Y328+CP!BJ328+CP!BM328+CP!BP328</f>
        <v>207479.41991999999</v>
      </c>
      <c r="D59" s="149">
        <f>CP!AC328+CP!AF328+CP!AI328+CP!AL328+CP!BV328+CP!BY328+CP!CB328+CP!CE328</f>
        <v>179997.2216689655</v>
      </c>
      <c r="E59" s="150">
        <f>CP!AO328+CP!AP328+CP!AQ328+CP!CH328+CP!CI328+CP!CJ328</f>
        <v>80594.068965517246</v>
      </c>
    </row>
    <row r="60" spans="2:5" ht="15.5" x14ac:dyDescent="0.35">
      <c r="B60" s="390" t="s">
        <v>192</v>
      </c>
      <c r="C60" s="149">
        <f>CP!S361+CP!V361+CP!Y361+CP!BJ361+CP!BM361+CP!BP361</f>
        <v>207479.41991999999</v>
      </c>
      <c r="D60" s="149">
        <f>CP!AC361+CP!AF361+CP!AI361+CP!AL361+CP!BV361+CP!BY361+CP!CB361+CP!CE361</f>
        <v>179997.2216689655</v>
      </c>
      <c r="E60" s="150">
        <f>CP!AO361+CP!AP361+CP!AQ361+CP!CH361+CP!CI361+CP!CJ361</f>
        <v>80594.068965517246</v>
      </c>
    </row>
    <row r="61" spans="2:5" ht="16" thickBot="1" x14ac:dyDescent="0.4">
      <c r="B61" s="763" t="s">
        <v>193</v>
      </c>
      <c r="C61" s="764">
        <f>CP!S394+CP!V394+CP!Y394+CP!BJ394+CP!BM394+CP!BP394</f>
        <v>207479.41991999999</v>
      </c>
      <c r="D61" s="764">
        <f>CP!AC394+CP!AF394+CP!AI394+CP!AL394+CP!BV394+CP!BY394+CP!CB394+CP!CE394</f>
        <v>179997.2216689655</v>
      </c>
      <c r="E61" s="765">
        <f>CP!AO394+CP!AP394+CP!AQ394+CP!CH394+CP!CI394+CP!CJ394</f>
        <v>80594.068965517246</v>
      </c>
    </row>
    <row r="62" spans="2:5" ht="16" thickBot="1" x14ac:dyDescent="0.4">
      <c r="B62" s="766" t="s">
        <v>532</v>
      </c>
      <c r="C62" s="767">
        <f>SUM(C50:C61)</f>
        <v>2489753.0390399997</v>
      </c>
      <c r="D62" s="767">
        <f>SUM(D50:D61)</f>
        <v>2084655.9190344822</v>
      </c>
      <c r="E62" s="768">
        <f>SUM(E50:E61)</f>
        <v>967128.82758620672</v>
      </c>
    </row>
  </sheetData>
  <mergeCells count="7">
    <mergeCell ref="B2:D2"/>
    <mergeCell ref="C47:E48"/>
    <mergeCell ref="B47:B49"/>
    <mergeCell ref="B24:B26"/>
    <mergeCell ref="C24:N25"/>
    <mergeCell ref="B4:B6"/>
    <mergeCell ref="C4:N5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DBDE9-B1E3-4947-8369-F81DBB4C0B79}">
  <sheetPr codeName="Hoja19">
    <tabColor theme="8" tint="0.79998168889431442"/>
  </sheetPr>
  <dimension ref="B1:AD290"/>
  <sheetViews>
    <sheetView showGridLines="0" zoomScale="41" zoomScaleNormal="52" workbookViewId="0">
      <selection activeCell="Y19" sqref="Y19"/>
    </sheetView>
  </sheetViews>
  <sheetFormatPr baseColWidth="10" defaultRowHeight="15.5" x14ac:dyDescent="0.35"/>
  <cols>
    <col min="2" max="2" width="12.6328125" style="6" customWidth="1"/>
    <col min="3" max="3" width="34.6328125" style="6" bestFit="1" customWidth="1"/>
    <col min="4" max="4" width="12.81640625" style="6" customWidth="1"/>
    <col min="5" max="5" width="27.7265625" style="171" customWidth="1"/>
    <col min="6" max="6" width="24.26953125" style="262" customWidth="1"/>
    <col min="7" max="7" width="21" style="262" customWidth="1"/>
    <col min="8" max="8" width="16.08984375" style="262" customWidth="1"/>
    <col min="9" max="9" width="29.36328125" style="171" customWidth="1"/>
    <col min="10" max="10" width="8" style="6" customWidth="1"/>
    <col min="11" max="12" width="17.7265625" style="6" customWidth="1"/>
    <col min="13" max="13" width="40.26953125" style="6" customWidth="1"/>
    <col min="14" max="14" width="21.08984375" style="253" customWidth="1"/>
    <col min="15" max="15" width="19.36328125" style="39" customWidth="1"/>
    <col min="16" max="16" width="21.08984375" style="171" customWidth="1"/>
    <col min="17" max="17" width="10.90625" customWidth="1"/>
    <col min="18" max="18" width="17" customWidth="1"/>
    <col min="19" max="19" width="15.54296875" bestFit="1" customWidth="1"/>
    <col min="20" max="20" width="42.26953125" customWidth="1"/>
    <col min="21" max="21" width="18.1796875" style="590" customWidth="1"/>
    <col min="22" max="22" width="28.54296875" customWidth="1"/>
    <col min="23" max="23" width="40.81640625" style="39" customWidth="1"/>
    <col min="24" max="24" width="25.90625" style="39" bestFit="1" customWidth="1"/>
    <col min="25" max="25" width="35.81640625" bestFit="1" customWidth="1"/>
    <col min="26" max="26" width="35.7265625" bestFit="1" customWidth="1"/>
    <col min="27" max="27" width="16.08984375" bestFit="1" customWidth="1"/>
  </cols>
  <sheetData>
    <row r="1" spans="2:27" ht="16" thickBot="1" x14ac:dyDescent="0.4"/>
    <row r="2" spans="2:27" ht="28" thickBot="1" x14ac:dyDescent="0.4">
      <c r="B2" s="1034" t="s">
        <v>451</v>
      </c>
      <c r="C2" s="1035"/>
      <c r="D2" s="1036"/>
    </row>
    <row r="4" spans="2:27" ht="16" thickBot="1" x14ac:dyDescent="0.4">
      <c r="C4" s="223"/>
      <c r="D4" s="223"/>
      <c r="E4" s="257"/>
      <c r="F4" s="258"/>
      <c r="G4" s="258"/>
      <c r="H4" s="258"/>
      <c r="O4" s="171"/>
    </row>
    <row r="5" spans="2:27" ht="15.5" customHeight="1" x14ac:dyDescent="0.35">
      <c r="B5" s="1056" t="s">
        <v>254</v>
      </c>
      <c r="C5" s="1057"/>
      <c r="D5" s="1057"/>
      <c r="E5" s="1057"/>
      <c r="F5" s="1057"/>
      <c r="G5" s="1057"/>
      <c r="H5" s="1058"/>
      <c r="I5" s="254" t="s">
        <v>200</v>
      </c>
      <c r="K5" s="1062" t="s">
        <v>255</v>
      </c>
      <c r="L5" s="1063"/>
      <c r="M5" s="1063"/>
      <c r="N5" s="1063"/>
      <c r="O5" s="1064"/>
      <c r="P5" s="254" t="s">
        <v>253</v>
      </c>
      <c r="R5" s="1056" t="s">
        <v>256</v>
      </c>
      <c r="S5" s="1057"/>
      <c r="T5" s="1057"/>
      <c r="U5" s="1057"/>
      <c r="V5" s="1057"/>
      <c r="W5" s="1058"/>
      <c r="X5" s="285" t="s">
        <v>200</v>
      </c>
      <c r="Y5" s="287" t="s">
        <v>272</v>
      </c>
      <c r="Z5" s="288" t="s">
        <v>273</v>
      </c>
    </row>
    <row r="6" spans="2:27" ht="15.5" customHeight="1" thickBot="1" x14ac:dyDescent="0.4">
      <c r="B6" s="1059"/>
      <c r="C6" s="1060"/>
      <c r="D6" s="1060"/>
      <c r="E6" s="1060"/>
      <c r="F6" s="1060"/>
      <c r="G6" s="1060"/>
      <c r="H6" s="1061"/>
      <c r="I6" s="231">
        <f>SUBTOTAL(9,PT[[#All],[VALOR ACTUAL DE INVENTARIO DE M.P.]])</f>
        <v>0</v>
      </c>
      <c r="K6" s="1065"/>
      <c r="L6" s="1066"/>
      <c r="M6" s="1066"/>
      <c r="N6" s="1066"/>
      <c r="O6" s="1067"/>
      <c r="P6" s="231">
        <f>SUBTOTAL(9,ENTRADA_PT[[#All],[COSTO TOTAL]])</f>
        <v>6097949.709018508</v>
      </c>
      <c r="R6" s="1059"/>
      <c r="S6" s="1060"/>
      <c r="T6" s="1060"/>
      <c r="U6" s="1060"/>
      <c r="V6" s="1060"/>
      <c r="W6" s="1061"/>
      <c r="X6" s="286">
        <f>SUBTOTAL(9,SALIDA_PT[[#All],[TOTAL]])</f>
        <v>6097949.709018508</v>
      </c>
      <c r="Y6" s="290">
        <f>SUM(X8:X15)+SUM(X24:X31)+SUM(X40:X47)+SUM(X56:X63)+SUM(X72:X79)+SUM(X88:X95)+SUM(X184:X191)+SUM(X104:X111)+SUM(X168:X175)+SUM(X120:X127)+SUM(X152:X159)+SUM(X136:X143)</f>
        <v>0</v>
      </c>
      <c r="Z6" s="291">
        <f>SUM(X16:X23)+SUM(X32:X39)+SUM(X48:X55)+SUM(X64:X71)+SUM(X192:X199)+SUM(X80:X87)+SUM(X97:X103)+SUM(X160:X167)+SUM(X112:X119)+SUM(X128:X135)+SUM(X144:X151)+SUM(X176:X183)</f>
        <v>6097949.709018508</v>
      </c>
      <c r="AA6" s="282"/>
    </row>
    <row r="7" spans="2:27" ht="31.5" thickBot="1" x14ac:dyDescent="0.4">
      <c r="B7" s="228" t="s">
        <v>244</v>
      </c>
      <c r="C7" s="228" t="s">
        <v>245</v>
      </c>
      <c r="D7" s="228" t="s">
        <v>269</v>
      </c>
      <c r="E7" s="255" t="s">
        <v>246</v>
      </c>
      <c r="F7" s="229" t="s">
        <v>247</v>
      </c>
      <c r="G7" s="229" t="s">
        <v>248</v>
      </c>
      <c r="H7" s="229" t="s">
        <v>249</v>
      </c>
      <c r="I7" s="256" t="s">
        <v>250</v>
      </c>
      <c r="J7" s="127"/>
      <c r="K7" s="242" t="s">
        <v>244</v>
      </c>
      <c r="L7" s="242" t="s">
        <v>251</v>
      </c>
      <c r="M7" s="242" t="s">
        <v>245</v>
      </c>
      <c r="N7" s="263" t="s">
        <v>252</v>
      </c>
      <c r="O7" s="264" t="s">
        <v>246</v>
      </c>
      <c r="P7" s="264" t="s">
        <v>6</v>
      </c>
      <c r="Q7" s="230"/>
      <c r="R7" s="270" t="s">
        <v>244</v>
      </c>
      <c r="S7" s="271" t="s">
        <v>251</v>
      </c>
      <c r="T7" s="271" t="s">
        <v>245</v>
      </c>
      <c r="U7" s="272" t="s">
        <v>270</v>
      </c>
      <c r="V7" s="271" t="s">
        <v>252</v>
      </c>
      <c r="W7" s="273" t="s">
        <v>246</v>
      </c>
      <c r="X7" s="274" t="s">
        <v>200</v>
      </c>
    </row>
    <row r="8" spans="2:27" x14ac:dyDescent="0.35">
      <c r="B8" s="554" t="s">
        <v>257</v>
      </c>
      <c r="C8" s="555" t="str">
        <f>DP!T18</f>
        <v xml:space="preserve">PALMITO ENTERO 800 </v>
      </c>
      <c r="D8" s="556">
        <f>DP!U18</f>
        <v>800</v>
      </c>
      <c r="E8" s="93">
        <f>IFERROR(AVERAGEIFS(ENTRADA_PT[COSTO UNITARIO],ENTRADA_PT[CÓDIGO],PT[CÓDIGO],ENTRADA_PT[COSTO UNITARIO],"&gt;0"),0)</f>
        <v>0</v>
      </c>
      <c r="F8" s="259">
        <f>SUMIF(ENTRADA_PT[[#All],[CÓDIGO]],PT[[#All],[CÓDIGO]],ENTRADA_PT[[#All],[CANTIDAD]])</f>
        <v>0</v>
      </c>
      <c r="G8" s="259">
        <f>SUMIF(SALIDA_PT[[#All],[CÓDIGO]],PT[[#All],[CÓDIGO]],SALIDA_PT[[#All],[CANTIDAD]])</f>
        <v>0</v>
      </c>
      <c r="H8" s="259">
        <f>PT[[#This Row],[ENTRADA ]]-PT[[#This Row],[SALIDAS]]</f>
        <v>0</v>
      </c>
      <c r="I8" s="225">
        <f>PT[[#This Row],[COSTO UNITARIO]]*PT[[#This Row],[STOCK]]</f>
        <v>0</v>
      </c>
      <c r="K8" s="95" t="str">
        <f>CP!A417</f>
        <v>PT01</v>
      </c>
      <c r="L8" s="95" t="str">
        <f>CP!B417</f>
        <v>ENERO</v>
      </c>
      <c r="M8" s="95" t="str">
        <f>IFERROR(VLOOKUP(K8,PT[],2,FALSE),"NO EXISTE")</f>
        <v xml:space="preserve">PALMITO ENTERO 800 </v>
      </c>
      <c r="N8" s="441">
        <f>CP!D417</f>
        <v>0</v>
      </c>
      <c r="O8" s="94">
        <f>IFERROR(CP!E417,0*1)</f>
        <v>0</v>
      </c>
      <c r="P8" s="94">
        <f>ENTRADA_PT[[#This Row],[CANTIDAD]]*ENTRADA_PT[[#This Row],[COSTO UNITARIO]]</f>
        <v>0</v>
      </c>
      <c r="R8" s="265" t="s">
        <v>257</v>
      </c>
      <c r="S8" s="266" t="str">
        <f>ENTRADA_PT[[#This Row],[FECHA]]</f>
        <v>ENERO</v>
      </c>
      <c r="T8" s="278" t="str">
        <f>IFERROR(VLOOKUP(R8,PT[],2,FALSE),"NO EXISTE")</f>
        <v xml:space="preserve">PALMITO ENTERO 800 </v>
      </c>
      <c r="U8" s="631">
        <f>IFERROR(SALIDA_PT[[#This Row],[CANTIDAD]]/ENTRADA_PT[[#This Row],[CANTIDAD]],0%)</f>
        <v>0</v>
      </c>
      <c r="V8" s="413">
        <f>VPN!F6+VPE!F7</f>
        <v>0</v>
      </c>
      <c r="W8" s="140">
        <f>ENTRADA_PT[[#This Row],[COSTO UNITARIO]]</f>
        <v>0</v>
      </c>
      <c r="X8" s="142">
        <f>V8*W8</f>
        <v>0</v>
      </c>
    </row>
    <row r="9" spans="2:27" x14ac:dyDescent="0.35">
      <c r="B9" s="554" t="s">
        <v>258</v>
      </c>
      <c r="C9" s="555" t="str">
        <f>DP!T19</f>
        <v>PALMITO RODAJA 800</v>
      </c>
      <c r="D9" s="556">
        <f>DP!U19</f>
        <v>800</v>
      </c>
      <c r="E9" s="93">
        <f>IFERROR(AVERAGEIFS(ENTRADA_PT[COSTO UNITARIO],ENTRADA_PT[CÓDIGO],PT[CÓDIGO],ENTRADA_PT[COSTO UNITARIO],"&gt;0"),0)</f>
        <v>0</v>
      </c>
      <c r="F9" s="259">
        <f>SUMIF(ENTRADA_PT[[#All],[CÓDIGO]],PT[[#All],[CÓDIGO]],ENTRADA_PT[[#All],[CANTIDAD]])</f>
        <v>0</v>
      </c>
      <c r="G9" s="259">
        <f>SUMIF(SALIDA_PT[[#All],[CÓDIGO]],PT[[#All],[CÓDIGO]],SALIDA_PT[[#All],[CANTIDAD]])</f>
        <v>0</v>
      </c>
      <c r="H9" s="259">
        <f>PT[[#This Row],[ENTRADA ]]-PT[[#This Row],[SALIDAS]]</f>
        <v>0</v>
      </c>
      <c r="I9" s="225">
        <f>PT[[#This Row],[COSTO UNITARIO]]*PT[[#This Row],[STOCK]]</f>
        <v>0</v>
      </c>
      <c r="K9" s="95" t="str">
        <f>CP!A418</f>
        <v>PT02</v>
      </c>
      <c r="L9" s="95" t="str">
        <f>CP!B418</f>
        <v>ENERO</v>
      </c>
      <c r="M9" s="95" t="str">
        <f>IFERROR(VLOOKUP(K9,PT[],2,FALSE),"NO EXISTE")</f>
        <v>PALMITO RODAJA 800</v>
      </c>
      <c r="N9" s="441">
        <f>CP!D418</f>
        <v>0</v>
      </c>
      <c r="O9" s="94">
        <f>IFERROR(CP!E418,0*1)</f>
        <v>0</v>
      </c>
      <c r="P9" s="94">
        <f>ENTRADA_PT[[#This Row],[CANTIDAD]]*ENTRADA_PT[[#This Row],[COSTO UNITARIO]]</f>
        <v>0</v>
      </c>
      <c r="R9" s="267" t="s">
        <v>258</v>
      </c>
      <c r="S9" s="95" t="str">
        <f>ENTRADA_PT[[#This Row],[FECHA]]</f>
        <v>ENERO</v>
      </c>
      <c r="T9" s="1" t="str">
        <f>IFERROR(VLOOKUP(R9,PT[],2,FALSE),"NO EXISTE")</f>
        <v>PALMITO RODAJA 800</v>
      </c>
      <c r="U9" s="591">
        <f>IFERROR(SALIDA_PT[[#This Row],[CANTIDAD]]/ENTRADA_PT[[#This Row],[CANTIDAD]],0%)</f>
        <v>0</v>
      </c>
      <c r="V9" s="412">
        <f>VPN!F7+VPE!F8</f>
        <v>0</v>
      </c>
      <c r="W9" s="93">
        <f>ENTRADA_PT[[#This Row],[COSTO UNITARIO]]</f>
        <v>0</v>
      </c>
      <c r="X9" s="147">
        <f>V9*W9</f>
        <v>0</v>
      </c>
    </row>
    <row r="10" spans="2:27" x14ac:dyDescent="0.35">
      <c r="B10" s="554" t="s">
        <v>259</v>
      </c>
      <c r="C10" s="555" t="str">
        <f>DP!T20</f>
        <v>PALMITO TROZO 800</v>
      </c>
      <c r="D10" s="556">
        <f>DP!U20</f>
        <v>800</v>
      </c>
      <c r="E10" s="93">
        <f>IFERROR(AVERAGEIFS(ENTRADA_PT[COSTO UNITARIO],ENTRADA_PT[CÓDIGO],PT[CÓDIGO],ENTRADA_PT[COSTO UNITARIO],"&gt;0"),0)</f>
        <v>0</v>
      </c>
      <c r="F10" s="259">
        <f>SUMIF(ENTRADA_PT[[#All],[CÓDIGO]],PT[[#All],[CÓDIGO]],ENTRADA_PT[[#All],[CANTIDAD]])</f>
        <v>0</v>
      </c>
      <c r="G10" s="259">
        <f>SUMIF(SALIDA_PT[[#All],[CÓDIGO]],PT[[#All],[CÓDIGO]],SALIDA_PT[[#All],[CANTIDAD]])</f>
        <v>0</v>
      </c>
      <c r="H10" s="259">
        <f>PT[[#This Row],[ENTRADA ]]-PT[[#This Row],[SALIDAS]]</f>
        <v>0</v>
      </c>
      <c r="I10" s="225">
        <f>PT[[#This Row],[COSTO UNITARIO]]*PT[[#This Row],[STOCK]]</f>
        <v>0</v>
      </c>
      <c r="K10" s="95" t="str">
        <f>CP!A419</f>
        <v>PT03</v>
      </c>
      <c r="L10" s="95" t="str">
        <f>CP!B419</f>
        <v>ENERO</v>
      </c>
      <c r="M10" s="95" t="str">
        <f>IFERROR(VLOOKUP(K10,PT[],2,FALSE),"NO EXISTE")</f>
        <v>PALMITO TROZO 800</v>
      </c>
      <c r="N10" s="441">
        <f>CP!D419</f>
        <v>0</v>
      </c>
      <c r="O10" s="94">
        <f>IFERROR(CP!E419,0*1)</f>
        <v>0</v>
      </c>
      <c r="P10" s="94">
        <f>ENTRADA_PT[[#This Row],[CANTIDAD]]*ENTRADA_PT[[#This Row],[COSTO UNITARIO]]</f>
        <v>0</v>
      </c>
      <c r="R10" s="267" t="s">
        <v>259</v>
      </c>
      <c r="S10" s="95" t="str">
        <f>ENTRADA_PT[[#This Row],[FECHA]]</f>
        <v>ENERO</v>
      </c>
      <c r="T10" s="1" t="str">
        <f>IFERROR(VLOOKUP(R10,PT[],2,FALSE),"NO EXISTE")</f>
        <v>PALMITO TROZO 800</v>
      </c>
      <c r="U10" s="591">
        <f>IFERROR(SALIDA_PT[[#This Row],[CANTIDAD]]/ENTRADA_PT[[#This Row],[CANTIDAD]],0%)</f>
        <v>0</v>
      </c>
      <c r="V10" s="412">
        <f>VPN!F8+VPE!F9</f>
        <v>0</v>
      </c>
      <c r="W10" s="93">
        <f>ENTRADA_PT[[#This Row],[COSTO UNITARIO]]</f>
        <v>0</v>
      </c>
      <c r="X10" s="147">
        <f>V10*W10</f>
        <v>0</v>
      </c>
    </row>
    <row r="11" spans="2:27" x14ac:dyDescent="0.35">
      <c r="B11" s="554" t="s">
        <v>260</v>
      </c>
      <c r="C11" s="555" t="str">
        <f>DP!T21</f>
        <v>PALMITO ENTERO 400</v>
      </c>
      <c r="D11" s="556">
        <f>DP!U21</f>
        <v>400</v>
      </c>
      <c r="E11" s="93">
        <f>IFERROR(AVERAGEIFS(ENTRADA_PT[COSTO UNITARIO],ENTRADA_PT[CÓDIGO],PT[CÓDIGO],ENTRADA_PT[COSTO UNITARIO],"&gt;0"),0)</f>
        <v>0</v>
      </c>
      <c r="F11" s="259">
        <f>SUMIF(ENTRADA_PT[[#All],[CÓDIGO]],PT[[#All],[CÓDIGO]],ENTRADA_PT[[#All],[CANTIDAD]])</f>
        <v>0</v>
      </c>
      <c r="G11" s="259">
        <f>SUMIF(SALIDA_PT[[#All],[CÓDIGO]],PT[[#All],[CÓDIGO]],SALIDA_PT[[#All],[CANTIDAD]])</f>
        <v>0</v>
      </c>
      <c r="H11" s="259">
        <f>PT[[#This Row],[ENTRADA ]]-PT[[#This Row],[SALIDAS]]</f>
        <v>0</v>
      </c>
      <c r="I11" s="225">
        <f>PT[[#This Row],[COSTO UNITARIO]]*PT[[#This Row],[STOCK]]</f>
        <v>0</v>
      </c>
      <c r="K11" s="95" t="str">
        <f>CP!A420</f>
        <v>PT04</v>
      </c>
      <c r="L11" s="95" t="str">
        <f>CP!B420</f>
        <v>ENERO</v>
      </c>
      <c r="M11" s="95" t="str">
        <f>IFERROR(VLOOKUP(K11,PT[],2,FALSE),"NO EXISTE")</f>
        <v>PALMITO ENTERO 400</v>
      </c>
      <c r="N11" s="441">
        <f>CP!D420</f>
        <v>0</v>
      </c>
      <c r="O11" s="94">
        <f>IFERROR(CP!E420,0*1)</f>
        <v>0</v>
      </c>
      <c r="P11" s="94">
        <f>ENTRADA_PT[[#This Row],[CANTIDAD]]*ENTRADA_PT[[#This Row],[COSTO UNITARIO]]</f>
        <v>0</v>
      </c>
      <c r="R11" s="267" t="s">
        <v>260</v>
      </c>
      <c r="S11" s="95" t="str">
        <f>ENTRADA_PT[[#This Row],[FECHA]]</f>
        <v>ENERO</v>
      </c>
      <c r="T11" s="1" t="str">
        <f>IFERROR(VLOOKUP(R11,PT[],2,FALSE),"NO EXISTE")</f>
        <v>PALMITO ENTERO 400</v>
      </c>
      <c r="U11" s="591">
        <f>IFERROR(SALIDA_PT[[#This Row],[CANTIDAD]]/ENTRADA_PT[[#This Row],[CANTIDAD]],0%)</f>
        <v>0</v>
      </c>
      <c r="V11" s="412">
        <f>VPN!F9+VPE!F10</f>
        <v>0</v>
      </c>
      <c r="W11" s="93">
        <f>ENTRADA_PT[[#This Row],[COSTO UNITARIO]]</f>
        <v>0</v>
      </c>
      <c r="X11" s="147">
        <f>V11*W11</f>
        <v>0</v>
      </c>
    </row>
    <row r="12" spans="2:27" x14ac:dyDescent="0.35">
      <c r="B12" s="554" t="s">
        <v>261</v>
      </c>
      <c r="C12" s="555" t="str">
        <f>DP!T22</f>
        <v>PALMITO RODAJA 400</v>
      </c>
      <c r="D12" s="556">
        <f>DP!U22</f>
        <v>400</v>
      </c>
      <c r="E12" s="93">
        <f>IFERROR(AVERAGEIFS(ENTRADA_PT[COSTO UNITARIO],ENTRADA_PT[CÓDIGO],PT[CÓDIGO],ENTRADA_PT[COSTO UNITARIO],"&gt;0"),0)</f>
        <v>0</v>
      </c>
      <c r="F12" s="259">
        <f>SUMIF(ENTRADA_PT[[#All],[CÓDIGO]],PT[[#All],[CÓDIGO]],ENTRADA_PT[[#All],[CANTIDAD]])</f>
        <v>0</v>
      </c>
      <c r="G12" s="259">
        <f>SUMIF(SALIDA_PT[[#All],[CÓDIGO]],PT[[#All],[CÓDIGO]],SALIDA_PT[[#All],[CANTIDAD]])</f>
        <v>0</v>
      </c>
      <c r="H12" s="259">
        <f>PT[[#This Row],[ENTRADA ]]-PT[[#This Row],[SALIDAS]]</f>
        <v>0</v>
      </c>
      <c r="I12" s="225">
        <f>PT[[#This Row],[COSTO UNITARIO]]*PT[[#This Row],[STOCK]]</f>
        <v>0</v>
      </c>
      <c r="K12" s="95" t="str">
        <f>CP!A421</f>
        <v>PT05</v>
      </c>
      <c r="L12" s="95" t="str">
        <f>CP!B421</f>
        <v>ENERO</v>
      </c>
      <c r="M12" s="95" t="str">
        <f>IFERROR(VLOOKUP(K12,PT[],2,FALSE),"NO EXISTE")</f>
        <v>PALMITO RODAJA 400</v>
      </c>
      <c r="N12" s="441">
        <f>CP!D421</f>
        <v>0</v>
      </c>
      <c r="O12" s="94">
        <f>IFERROR(CP!E421,0*1)</f>
        <v>0</v>
      </c>
      <c r="P12" s="94">
        <f>ENTRADA_PT[[#This Row],[CANTIDAD]]*ENTRADA_PT[[#This Row],[COSTO UNITARIO]]</f>
        <v>0</v>
      </c>
      <c r="R12" s="267" t="s">
        <v>261</v>
      </c>
      <c r="S12" s="95" t="str">
        <f>ENTRADA_PT[[#This Row],[FECHA]]</f>
        <v>ENERO</v>
      </c>
      <c r="T12" s="1" t="str">
        <f>IFERROR(VLOOKUP(R12,PT[],2,FALSE),"NO EXISTE")</f>
        <v>PALMITO RODAJA 400</v>
      </c>
      <c r="U12" s="591">
        <f>IFERROR(SALIDA_PT[[#This Row],[CANTIDAD]]/ENTRADA_PT[[#This Row],[CANTIDAD]],0%)</f>
        <v>0</v>
      </c>
      <c r="V12" s="412">
        <f>VPN!F10+VPE!F11</f>
        <v>0</v>
      </c>
      <c r="W12" s="93">
        <f>ENTRADA_PT[[#This Row],[COSTO UNITARIO]]</f>
        <v>0</v>
      </c>
      <c r="X12" s="147">
        <f t="shared" ref="X12:X26" si="0">V12*W12</f>
        <v>0</v>
      </c>
    </row>
    <row r="13" spans="2:27" x14ac:dyDescent="0.35">
      <c r="B13" s="554" t="s">
        <v>262</v>
      </c>
      <c r="C13" s="555" t="str">
        <f>DP!T23</f>
        <v>PALMITO TROZO 400</v>
      </c>
      <c r="D13" s="556">
        <f>DP!U23</f>
        <v>400</v>
      </c>
      <c r="E13" s="93">
        <f>IFERROR(AVERAGEIFS(ENTRADA_PT[COSTO UNITARIO],ENTRADA_PT[CÓDIGO],PT[CÓDIGO],ENTRADA_PT[COSTO UNITARIO],"&gt;0"),0)</f>
        <v>0</v>
      </c>
      <c r="F13" s="259">
        <f>SUMIF(ENTRADA_PT[[#All],[CÓDIGO]],PT[[#All],[CÓDIGO]],ENTRADA_PT[[#All],[CANTIDAD]])</f>
        <v>0</v>
      </c>
      <c r="G13" s="259">
        <f>SUMIF(SALIDA_PT[[#All],[CÓDIGO]],PT[[#All],[CÓDIGO]],SALIDA_PT[[#All],[CANTIDAD]])</f>
        <v>0</v>
      </c>
      <c r="H13" s="259">
        <f>PT[[#This Row],[ENTRADA ]]-PT[[#This Row],[SALIDAS]]</f>
        <v>0</v>
      </c>
      <c r="I13" s="225">
        <f>PT[[#This Row],[COSTO UNITARIO]]*PT[[#This Row],[STOCK]]</f>
        <v>0</v>
      </c>
      <c r="K13" s="95" t="str">
        <f>CP!A422</f>
        <v>PT06</v>
      </c>
      <c r="L13" s="95" t="str">
        <f>CP!B422</f>
        <v>ENERO</v>
      </c>
      <c r="M13" s="95" t="str">
        <f>IFERROR(VLOOKUP(K13,PT[],2,FALSE),"NO EXISTE")</f>
        <v>PALMITO TROZO 400</v>
      </c>
      <c r="N13" s="441">
        <f>CP!D422</f>
        <v>0</v>
      </c>
      <c r="O13" s="94">
        <f>IFERROR(CP!E422,0*1)</f>
        <v>0</v>
      </c>
      <c r="P13" s="94">
        <f>ENTRADA_PT[[#This Row],[CANTIDAD]]*ENTRADA_PT[[#This Row],[COSTO UNITARIO]]</f>
        <v>0</v>
      </c>
      <c r="R13" s="267" t="s">
        <v>262</v>
      </c>
      <c r="S13" s="95" t="str">
        <f>ENTRADA_PT[[#This Row],[FECHA]]</f>
        <v>ENERO</v>
      </c>
      <c r="T13" s="1" t="str">
        <f>IFERROR(VLOOKUP(R13,PT[],2,FALSE),"NO EXISTE")</f>
        <v>PALMITO TROZO 400</v>
      </c>
      <c r="U13" s="591">
        <f>IFERROR(SALIDA_PT[[#This Row],[CANTIDAD]]/ENTRADA_PT[[#This Row],[CANTIDAD]],0%)</f>
        <v>0</v>
      </c>
      <c r="V13" s="412">
        <f>VPN!F11+VPE!F12</f>
        <v>0</v>
      </c>
      <c r="W13" s="93">
        <f>ENTRADA_PT[[#This Row],[COSTO UNITARIO]]</f>
        <v>0</v>
      </c>
      <c r="X13" s="147">
        <f t="shared" si="0"/>
        <v>0</v>
      </c>
    </row>
    <row r="14" spans="2:27" x14ac:dyDescent="0.35">
      <c r="B14" s="554" t="s">
        <v>263</v>
      </c>
      <c r="C14" s="555" t="str">
        <f>DP!T24</f>
        <v>PALMITO TROZO  A-10</v>
      </c>
      <c r="D14" s="556">
        <f>DP!U24</f>
        <v>2920</v>
      </c>
      <c r="E14" s="93">
        <f>IFERROR(AVERAGEIFS(ENTRADA_PT[COSTO UNITARIO],ENTRADA_PT[CÓDIGO],PT[CÓDIGO],ENTRADA_PT[COSTO UNITARIO],"&gt;0"),0)</f>
        <v>0</v>
      </c>
      <c r="F14" s="259">
        <f>SUMIF(ENTRADA_PT[[#All],[CÓDIGO]],PT[[#All],[CÓDIGO]],ENTRADA_PT[[#All],[CANTIDAD]])</f>
        <v>0</v>
      </c>
      <c r="G14" s="259">
        <f>SUMIF(SALIDA_PT[[#All],[CÓDIGO]],PT[[#All],[CÓDIGO]],SALIDA_PT[[#All],[CANTIDAD]])</f>
        <v>0</v>
      </c>
      <c r="H14" s="259">
        <f>PT[[#This Row],[ENTRADA ]]-PT[[#This Row],[SALIDAS]]</f>
        <v>0</v>
      </c>
      <c r="I14" s="225">
        <f>PT[[#This Row],[COSTO UNITARIO]]*PT[[#This Row],[STOCK]]</f>
        <v>0</v>
      </c>
      <c r="K14" s="95" t="str">
        <f>CP!A423</f>
        <v>PT07</v>
      </c>
      <c r="L14" s="95" t="str">
        <f>CP!B423</f>
        <v>ENERO</v>
      </c>
      <c r="M14" s="95" t="str">
        <f>IFERROR(VLOOKUP(K14,PT[],2,FALSE),"NO EXISTE")</f>
        <v>PALMITO TROZO  A-10</v>
      </c>
      <c r="N14" s="441">
        <f>CP!D423</f>
        <v>0</v>
      </c>
      <c r="O14" s="94">
        <f>IFERROR(CP!E423,0*1)</f>
        <v>0</v>
      </c>
      <c r="P14" s="94">
        <f>ENTRADA_PT[[#This Row],[CANTIDAD]]*ENTRADA_PT[[#This Row],[COSTO UNITARIO]]</f>
        <v>0</v>
      </c>
      <c r="R14" s="267" t="s">
        <v>263</v>
      </c>
      <c r="S14" s="95" t="str">
        <f>ENTRADA_PT[[#This Row],[FECHA]]</f>
        <v>ENERO</v>
      </c>
      <c r="T14" s="1" t="str">
        <f>IFERROR(VLOOKUP(R14,PT[],2,FALSE),"NO EXISTE")</f>
        <v>PALMITO TROZO  A-10</v>
      </c>
      <c r="U14" s="591">
        <f>IFERROR(SALIDA_PT[[#This Row],[CANTIDAD]]/ENTRADA_PT[[#This Row],[CANTIDAD]],0%)</f>
        <v>0</v>
      </c>
      <c r="V14" s="412">
        <f>VPN!F12+VPE!F13</f>
        <v>0</v>
      </c>
      <c r="W14" s="93">
        <f>ENTRADA_PT[[#This Row],[COSTO UNITARIO]]</f>
        <v>0</v>
      </c>
      <c r="X14" s="147">
        <f t="shared" si="0"/>
        <v>0</v>
      </c>
    </row>
    <row r="15" spans="2:27" x14ac:dyDescent="0.35">
      <c r="B15" s="554" t="s">
        <v>264</v>
      </c>
      <c r="C15" s="555" t="str">
        <f>DP!T25</f>
        <v>PALMITO RODAJA  A-10</v>
      </c>
      <c r="D15" s="556">
        <f>DP!U25</f>
        <v>2920</v>
      </c>
      <c r="E15" s="93">
        <f>IFERROR(AVERAGEIFS(ENTRADA_PT[COSTO UNITARIO],ENTRADA_PT[CÓDIGO],PT[CÓDIGO],ENTRADA_PT[COSTO UNITARIO],"&gt;0"),0)</f>
        <v>0</v>
      </c>
      <c r="F15" s="259">
        <f>SUMIF(ENTRADA_PT[[#All],[CÓDIGO]],PT[[#All],[CÓDIGO]],ENTRADA_PT[[#All],[CANTIDAD]])</f>
        <v>0</v>
      </c>
      <c r="G15" s="259">
        <f>SUMIF(SALIDA_PT[[#All],[CÓDIGO]],PT[[#All],[CÓDIGO]],SALIDA_PT[[#All],[CANTIDAD]])</f>
        <v>0</v>
      </c>
      <c r="H15" s="259">
        <f>PT[[#This Row],[ENTRADA ]]-PT[[#This Row],[SALIDAS]]</f>
        <v>0</v>
      </c>
      <c r="I15" s="225">
        <f>PT[[#This Row],[COSTO UNITARIO]]*PT[[#This Row],[STOCK]]</f>
        <v>0</v>
      </c>
      <c r="K15" s="95" t="str">
        <f>CP!A424</f>
        <v>PT08</v>
      </c>
      <c r="L15" s="95" t="str">
        <f>CP!B424</f>
        <v>ENERO</v>
      </c>
      <c r="M15" s="95" t="str">
        <f>IFERROR(VLOOKUP(K15,PT[],2,FALSE),"NO EXISTE")</f>
        <v>PALMITO RODAJA  A-10</v>
      </c>
      <c r="N15" s="441">
        <f>CP!D424</f>
        <v>0</v>
      </c>
      <c r="O15" s="94">
        <f>IFERROR(CP!E424,0*1)</f>
        <v>0</v>
      </c>
      <c r="P15" s="94">
        <f>ENTRADA_PT[[#This Row],[CANTIDAD]]*ENTRADA_PT[[#This Row],[COSTO UNITARIO]]</f>
        <v>0</v>
      </c>
      <c r="R15" s="267" t="s">
        <v>264</v>
      </c>
      <c r="S15" s="95" t="str">
        <f>ENTRADA_PT[[#This Row],[FECHA]]</f>
        <v>ENERO</v>
      </c>
      <c r="T15" s="1" t="str">
        <f>IFERROR(VLOOKUP(R15,PT[],2,FALSE),"NO EXISTE")</f>
        <v>PALMITO RODAJA  A-10</v>
      </c>
      <c r="U15" s="591">
        <f>IFERROR(SALIDA_PT[[#This Row],[CANTIDAD]]/ENTRADA_PT[[#This Row],[CANTIDAD]],0%)</f>
        <v>0</v>
      </c>
      <c r="V15" s="412">
        <f>VPN!F13+VPE!F14</f>
        <v>0</v>
      </c>
      <c r="W15" s="93">
        <f>ENTRADA_PT[[#This Row],[COSTO UNITARIO]]</f>
        <v>0</v>
      </c>
      <c r="X15" s="147">
        <f t="shared" si="0"/>
        <v>0</v>
      </c>
      <c r="Z15" s="282"/>
    </row>
    <row r="16" spans="2:27" x14ac:dyDescent="0.35">
      <c r="B16" s="557" t="s">
        <v>265</v>
      </c>
      <c r="C16" s="558" t="str">
        <f>DP!AV18</f>
        <v>PIÑA RODAJA 850</v>
      </c>
      <c r="D16" s="559">
        <f>DP!AW18</f>
        <v>850</v>
      </c>
      <c r="E16" s="226">
        <f>IFERROR(AVERAGEIFS(ENTRADA_PT[COSTO UNITARIO],ENTRADA_PT[CÓDIGO],PT[CÓDIGO],ENTRADA_PT[COSTO UNITARIO],"&gt;0"),0)</f>
        <v>0</v>
      </c>
      <c r="F16" s="260">
        <f>SUMIF(ENTRADA_PT[[#All],[CÓDIGO]],PT[[#All],[CÓDIGO]],ENTRADA_PT[[#All],[CANTIDAD]])</f>
        <v>0</v>
      </c>
      <c r="G16" s="260">
        <f>SUMIF(SALIDA_PT[[#All],[CÓDIGO]],PT[[#All],[CÓDIGO]],SALIDA_PT[[#All],[CANTIDAD]])</f>
        <v>0</v>
      </c>
      <c r="H16" s="260">
        <f>PT[[#This Row],[ENTRADA ]]-PT[[#This Row],[SALIDAS]]</f>
        <v>0</v>
      </c>
      <c r="I16" s="227">
        <f>PT[[#This Row],[COSTO UNITARIO]]*PT[[#This Row],[STOCK]]</f>
        <v>0</v>
      </c>
      <c r="K16" s="95" t="str">
        <f>CP!A425</f>
        <v>PT09</v>
      </c>
      <c r="L16" s="95" t="str">
        <f>CP!B425</f>
        <v>ENERO</v>
      </c>
      <c r="M16" s="95" t="str">
        <f>IFERROR(VLOOKUP(K16,PT[],2,FALSE),"NO EXISTE")</f>
        <v>PIÑA RODAJA 850</v>
      </c>
      <c r="N16" s="441">
        <f>CP!D425</f>
        <v>0</v>
      </c>
      <c r="O16" s="94">
        <f>IFERROR(CP!E425,0*1)</f>
        <v>0</v>
      </c>
      <c r="P16" s="94">
        <f>ENTRADA_PT[[#This Row],[CANTIDAD]]*ENTRADA_PT[[#This Row],[COSTO UNITARIO]]</f>
        <v>0</v>
      </c>
      <c r="R16" s="267" t="s">
        <v>265</v>
      </c>
      <c r="S16" s="95" t="str">
        <f>ENTRADA_PT[[#This Row],[FECHA]]</f>
        <v>ENERO</v>
      </c>
      <c r="T16" s="1" t="str">
        <f>IFERROR(VLOOKUP(R16,PT[],2,FALSE),"NO EXISTE")</f>
        <v>PIÑA RODAJA 850</v>
      </c>
      <c r="U16" s="591">
        <f>IFERROR(SALIDA_PT[[#This Row],[CANTIDAD]]/ENTRADA_PT[[#This Row],[CANTIDAD]],0%)</f>
        <v>0</v>
      </c>
      <c r="V16" s="412">
        <f>VPN!F16+VPE!F17</f>
        <v>0</v>
      </c>
      <c r="W16" s="93">
        <f>ENTRADA_PT[[#This Row],[COSTO UNITARIO]]</f>
        <v>0</v>
      </c>
      <c r="X16" s="147">
        <f t="shared" si="0"/>
        <v>0</v>
      </c>
    </row>
    <row r="17" spans="2:30" x14ac:dyDescent="0.35">
      <c r="B17" s="557" t="s">
        <v>266</v>
      </c>
      <c r="C17" s="558" t="str">
        <f>DP!AV19</f>
        <v>PIÑA TROZO 850</v>
      </c>
      <c r="D17" s="559">
        <f>DP!AW19</f>
        <v>850</v>
      </c>
      <c r="E17" s="226">
        <f>IFERROR(AVERAGEIFS(ENTRADA_PT[COSTO UNITARIO],ENTRADA_PT[CÓDIGO],PT[CÓDIGO],ENTRADA_PT[COSTO UNITARIO],"&gt;0"),0)</f>
        <v>0</v>
      </c>
      <c r="F17" s="260">
        <f>SUMIF(ENTRADA_PT[[#All],[CÓDIGO]],PT[[#All],[CÓDIGO]],ENTRADA_PT[[#All],[CANTIDAD]])</f>
        <v>0</v>
      </c>
      <c r="G17" s="260">
        <f>SUMIF(SALIDA_PT[[#All],[CÓDIGO]],PT[[#All],[CÓDIGO]],SALIDA_PT[[#All],[CANTIDAD]])</f>
        <v>0</v>
      </c>
      <c r="H17" s="260">
        <f>PT[[#This Row],[ENTRADA ]]-PT[[#This Row],[SALIDAS]]</f>
        <v>0</v>
      </c>
      <c r="I17" s="227">
        <f>PT[[#This Row],[COSTO UNITARIO]]*PT[[#This Row],[STOCK]]</f>
        <v>0</v>
      </c>
      <c r="K17" s="95" t="str">
        <f>CP!A426</f>
        <v>PT10</v>
      </c>
      <c r="L17" s="95" t="str">
        <f>CP!B426</f>
        <v>ENERO</v>
      </c>
      <c r="M17" s="95" t="str">
        <f>IFERROR(VLOOKUP(K17,PT[],2,FALSE),"NO EXISTE")</f>
        <v>PIÑA TROZO 850</v>
      </c>
      <c r="N17" s="441">
        <f>CP!D426</f>
        <v>0</v>
      </c>
      <c r="O17" s="94">
        <f>IFERROR(CP!E426,0*1)</f>
        <v>0</v>
      </c>
      <c r="P17" s="94">
        <f>ENTRADA_PT[[#This Row],[CANTIDAD]]*ENTRADA_PT[[#This Row],[COSTO UNITARIO]]</f>
        <v>0</v>
      </c>
      <c r="R17" s="267" t="s">
        <v>266</v>
      </c>
      <c r="S17" s="95" t="str">
        <f>ENTRADA_PT[[#This Row],[FECHA]]</f>
        <v>ENERO</v>
      </c>
      <c r="T17" s="1" t="str">
        <f>IFERROR(VLOOKUP(R17,PT[],2,FALSE),"NO EXISTE")</f>
        <v>PIÑA TROZO 850</v>
      </c>
      <c r="U17" s="591">
        <f>IFERROR(SALIDA_PT[[#This Row],[CANTIDAD]]/ENTRADA_PT[[#This Row],[CANTIDAD]],0%)</f>
        <v>0</v>
      </c>
      <c r="V17" s="412">
        <f>VPN!F17+VPE!F18</f>
        <v>0</v>
      </c>
      <c r="W17" s="93">
        <f>ENTRADA_PT[[#This Row],[COSTO UNITARIO]]</f>
        <v>0</v>
      </c>
      <c r="X17" s="147">
        <f t="shared" si="0"/>
        <v>0</v>
      </c>
    </row>
    <row r="18" spans="2:30" x14ac:dyDescent="0.35">
      <c r="B18" s="557" t="s">
        <v>267</v>
      </c>
      <c r="C18" s="558" t="str">
        <f>DP!AV20</f>
        <v>PIÑA TROZO A-10</v>
      </c>
      <c r="D18" s="559">
        <f>DP!AW20</f>
        <v>2920</v>
      </c>
      <c r="E18" s="226">
        <f>IFERROR(AVERAGEIFS(ENTRADA_PT[COSTO UNITARIO],ENTRADA_PT[CÓDIGO],PT[CÓDIGO],ENTRADA_PT[COSTO UNITARIO],"&gt;0"),0)</f>
        <v>0</v>
      </c>
      <c r="F18" s="260">
        <f>SUMIF(ENTRADA_PT[[#All],[CÓDIGO]],PT[[#All],[CÓDIGO]],ENTRADA_PT[[#All],[CANTIDAD]])</f>
        <v>0</v>
      </c>
      <c r="G18" s="260">
        <f>SUMIF(SALIDA_PT[[#All],[CÓDIGO]],PT[[#All],[CÓDIGO]],SALIDA_PT[[#All],[CANTIDAD]])</f>
        <v>0</v>
      </c>
      <c r="H18" s="260">
        <f>PT[[#This Row],[ENTRADA ]]-PT[[#This Row],[SALIDAS]]</f>
        <v>0</v>
      </c>
      <c r="I18" s="227">
        <f>PT[[#This Row],[COSTO UNITARIO]]*PT[[#This Row],[STOCK]]</f>
        <v>0</v>
      </c>
      <c r="K18" s="95" t="str">
        <f>CP!A427</f>
        <v>PT11</v>
      </c>
      <c r="L18" s="95" t="str">
        <f>CP!B427</f>
        <v>ENERO</v>
      </c>
      <c r="M18" s="95" t="str">
        <f>IFERROR(VLOOKUP(K18,PT[],2,FALSE),"NO EXISTE")</f>
        <v>PIÑA TROZO A-10</v>
      </c>
      <c r="N18" s="441">
        <f>CP!D427</f>
        <v>0</v>
      </c>
      <c r="O18" s="94">
        <f>IFERROR(CP!E427,0*1)</f>
        <v>0</v>
      </c>
      <c r="P18" s="94">
        <f>ENTRADA_PT[[#This Row],[CANTIDAD]]*ENTRADA_PT[[#This Row],[COSTO UNITARIO]]</f>
        <v>0</v>
      </c>
      <c r="R18" s="267" t="s">
        <v>267</v>
      </c>
      <c r="S18" s="95" t="str">
        <f>ENTRADA_PT[[#This Row],[FECHA]]</f>
        <v>ENERO</v>
      </c>
      <c r="T18" s="1" t="str">
        <f>IFERROR(VLOOKUP(R18,PT[],2,FALSE),"NO EXISTE")</f>
        <v>PIÑA TROZO A-10</v>
      </c>
      <c r="U18" s="591">
        <f>IFERROR(SALIDA_PT[[#This Row],[CANTIDAD]]/ENTRADA_PT[[#This Row],[CANTIDAD]],0%)</f>
        <v>0</v>
      </c>
      <c r="V18" s="412">
        <f>VPN!F18+VPE!F19</f>
        <v>0</v>
      </c>
      <c r="W18" s="93">
        <f>ENTRADA_PT[[#This Row],[COSTO UNITARIO]]</f>
        <v>0</v>
      </c>
      <c r="X18" s="147">
        <f t="shared" si="0"/>
        <v>0</v>
      </c>
      <c r="Z18" s="39"/>
    </row>
    <row r="19" spans="2:30" x14ac:dyDescent="0.35">
      <c r="B19" s="557" t="s">
        <v>268</v>
      </c>
      <c r="C19" s="558" t="str">
        <f>DP!AV21</f>
        <v>PIÑA RODAJA A-10</v>
      </c>
      <c r="D19" s="559">
        <f>DP!AW21</f>
        <v>2920</v>
      </c>
      <c r="E19" s="226">
        <f>IFERROR(AVERAGEIFS(ENTRADA_PT[COSTO UNITARIO],ENTRADA_PT[CÓDIGO],PT[CÓDIGO],ENTRADA_PT[COSTO UNITARIO],"&gt;0"),0)</f>
        <v>0</v>
      </c>
      <c r="F19" s="260">
        <f>SUMIF(ENTRADA_PT[[#All],[CÓDIGO]],PT[[#All],[CÓDIGO]],ENTRADA_PT[[#All],[CANTIDAD]])</f>
        <v>0</v>
      </c>
      <c r="G19" s="260">
        <f>SUMIF(SALIDA_PT[[#All],[CÓDIGO]],PT[[#All],[CÓDIGO]],SALIDA_PT[[#All],[CANTIDAD]])</f>
        <v>0</v>
      </c>
      <c r="H19" s="261">
        <f>PT[[#This Row],[ENTRADA ]]-PT[[#This Row],[SALIDAS]]</f>
        <v>0</v>
      </c>
      <c r="I19" s="227">
        <f>PT[[#This Row],[COSTO UNITARIO]]*PT[[#This Row],[STOCK]]</f>
        <v>0</v>
      </c>
      <c r="K19" s="95" t="str">
        <f>CP!A428</f>
        <v>PT12</v>
      </c>
      <c r="L19" s="95" t="str">
        <f>CP!B428</f>
        <v>ENERO</v>
      </c>
      <c r="M19" s="95" t="str">
        <f>IFERROR(VLOOKUP(K19,PT[],2,FALSE),"NO EXISTE")</f>
        <v>PIÑA RODAJA A-10</v>
      </c>
      <c r="N19" s="441">
        <f>CP!D428</f>
        <v>0</v>
      </c>
      <c r="O19" s="94">
        <f>IFERROR(CP!E428,0*1)</f>
        <v>0</v>
      </c>
      <c r="P19" s="94">
        <f>ENTRADA_PT[[#This Row],[CANTIDAD]]*ENTRADA_PT[[#This Row],[COSTO UNITARIO]]</f>
        <v>0</v>
      </c>
      <c r="R19" s="267" t="s">
        <v>268</v>
      </c>
      <c r="S19" s="95" t="str">
        <f>ENTRADA_PT[[#This Row],[FECHA]]</f>
        <v>ENERO</v>
      </c>
      <c r="T19" s="1" t="str">
        <f>IFERROR(VLOOKUP(R19,PT[],2,FALSE),"NO EXISTE")</f>
        <v>PIÑA RODAJA A-10</v>
      </c>
      <c r="U19" s="591">
        <f>IFERROR(SALIDA_PT[[#This Row],[CANTIDAD]]/ENTRADA_PT[[#This Row],[CANTIDAD]],0%)</f>
        <v>0</v>
      </c>
      <c r="V19" s="412">
        <f>VPN!F19+VPE!F20</f>
        <v>0</v>
      </c>
      <c r="W19" s="93">
        <f>ENTRADA_PT[[#This Row],[COSTO UNITARIO]]</f>
        <v>0</v>
      </c>
      <c r="X19" s="147">
        <f t="shared" si="0"/>
        <v>0</v>
      </c>
    </row>
    <row r="20" spans="2:30" x14ac:dyDescent="0.35">
      <c r="B20" s="557" t="s">
        <v>409</v>
      </c>
      <c r="C20" s="558" t="str">
        <f>DP!AV22</f>
        <v>PIÑA RODAJA 567</v>
      </c>
      <c r="D20" s="559">
        <f>DP!AW22</f>
        <v>567</v>
      </c>
      <c r="E20" s="498">
        <f>IFERROR(AVERAGEIFS(ENTRADA_PT[COSTO UNITARIO],ENTRADA_PT[CÓDIGO],PT[CÓDIGO],ENTRADA_PT[COSTO UNITARIO],"&gt;0"),0)</f>
        <v>0.96041166831383984</v>
      </c>
      <c r="F20" s="259">
        <f>SUMIF(ENTRADA_PT[[#All],[CÓDIGO]],PT[[#All],[CÓDIGO]],ENTRADA_PT[[#All],[CANTIDAD]])</f>
        <v>3402000</v>
      </c>
      <c r="G20" s="259">
        <f>SUMIF(SALIDA_PT[[#All],[CÓDIGO]],PT[[#All],[CÓDIGO]],SALIDA_PT[[#All],[CANTIDAD]])</f>
        <v>3402000</v>
      </c>
      <c r="H20" s="259">
        <f>PT[[#This Row],[ENTRADA ]]-PT[[#This Row],[SALIDAS]]</f>
        <v>0</v>
      </c>
      <c r="I20" s="225">
        <f>PT[[#This Row],[COSTO UNITARIO]]*PT[[#This Row],[STOCK]]</f>
        <v>0</v>
      </c>
      <c r="K20" s="95" t="str">
        <f>CP!A429</f>
        <v>PT13</v>
      </c>
      <c r="L20" s="95" t="str">
        <f>CP!B429</f>
        <v>ENERO</v>
      </c>
      <c r="M20" s="95" t="str">
        <f>IFERROR(VLOOKUP(K20,PT[],2,FALSE),"NO EXISTE")</f>
        <v>PIÑA RODAJA 567</v>
      </c>
      <c r="N20" s="441">
        <f>CP!D429</f>
        <v>270000</v>
      </c>
      <c r="O20" s="94">
        <f>IFERROR(CP!E429,0*1)</f>
        <v>0.96041166831383962</v>
      </c>
      <c r="P20" s="94">
        <f>ENTRADA_PT[[#This Row],[CANTIDAD]]*ENTRADA_PT[[#This Row],[COSTO UNITARIO]]</f>
        <v>259311.1504447367</v>
      </c>
      <c r="R20" s="267" t="str">
        <f>ENTRADA_PT[[#This Row],[CÓDIGO]]</f>
        <v>PT13</v>
      </c>
      <c r="S20" s="95" t="str">
        <f>ENTRADA_PT[[#This Row],[FECHA]]</f>
        <v>ENERO</v>
      </c>
      <c r="T20" s="1" t="str">
        <f>IFERROR(VLOOKUP(R20,PT[],2,FALSE),"NO EXISTE")</f>
        <v>PIÑA RODAJA 567</v>
      </c>
      <c r="U20" s="591">
        <f>IFERROR(SALIDA_PT[[#This Row],[CANTIDAD]]/ENTRADA_PT[[#This Row],[CANTIDAD]],0%)</f>
        <v>1</v>
      </c>
      <c r="V20" s="412">
        <f>VPN!F20+VPE!F21</f>
        <v>270000</v>
      </c>
      <c r="W20" s="93">
        <f>ENTRADA_PT[[#This Row],[COSTO UNITARIO]]</f>
        <v>0.96041166831383962</v>
      </c>
      <c r="X20" s="147">
        <f t="shared" si="0"/>
        <v>259311.1504447367</v>
      </c>
    </row>
    <row r="21" spans="2:30" x14ac:dyDescent="0.35">
      <c r="B21" s="557" t="s">
        <v>410</v>
      </c>
      <c r="C21" s="558" t="str">
        <f>DP!AV23</f>
        <v>PIÑA TROZO 567</v>
      </c>
      <c r="D21" s="559">
        <f>DP!AW23</f>
        <v>567</v>
      </c>
      <c r="E21" s="498">
        <f>IFERROR(AVERAGEIFS(ENTRADA_PT[COSTO UNITARIO],ENTRADA_PT[CÓDIGO],PT[CÓDIGO],ENTRADA_PT[COSTO UNITARIO],"&gt;0"),0)</f>
        <v>0.96041166831383962</v>
      </c>
      <c r="F21" s="259">
        <f>SUMIF(ENTRADA_PT[[#All],[CÓDIGO]],PT[[#All],[CÓDIGO]],ENTRADA_PT[[#All],[CANTIDAD]])</f>
        <v>1458000</v>
      </c>
      <c r="G21" s="259">
        <f>SUMIF(SALIDA_PT[[#All],[CÓDIGO]],PT[[#All],[CÓDIGO]],SALIDA_PT[[#All],[CANTIDAD]])</f>
        <v>1458000</v>
      </c>
      <c r="H21" s="259">
        <f>PT[[#This Row],[ENTRADA ]]-PT[[#This Row],[SALIDAS]]</f>
        <v>0</v>
      </c>
      <c r="I21" s="225">
        <f>PT[[#This Row],[COSTO UNITARIO]]*PT[[#This Row],[STOCK]]</f>
        <v>0</v>
      </c>
      <c r="K21" s="95" t="str">
        <f>CP!A430</f>
        <v>PT14</v>
      </c>
      <c r="L21" s="95" t="str">
        <f>CP!B430</f>
        <v>ENERO</v>
      </c>
      <c r="M21" s="95" t="str">
        <f>IFERROR(VLOOKUP(K21,PT[],2,FALSE),"NO EXISTE")</f>
        <v>PIÑA TROZO 567</v>
      </c>
      <c r="N21" s="441">
        <f>CP!D430</f>
        <v>108000</v>
      </c>
      <c r="O21" s="94">
        <f>IFERROR(CP!E430,0*1)</f>
        <v>0.9604116683138394</v>
      </c>
      <c r="P21" s="94">
        <f>ENTRADA_PT[[#This Row],[CANTIDAD]]*ENTRADA_PT[[#This Row],[COSTO UNITARIO]]</f>
        <v>103724.46017789465</v>
      </c>
      <c r="R21" s="267" t="str">
        <f>ENTRADA_PT[[#This Row],[CÓDIGO]]</f>
        <v>PT14</v>
      </c>
      <c r="S21" s="95" t="str">
        <f>ENTRADA_PT[[#This Row],[FECHA]]</f>
        <v>ENERO</v>
      </c>
      <c r="T21" s="1" t="str">
        <f>IFERROR(VLOOKUP(R21,PT[],2,FALSE),"NO EXISTE")</f>
        <v>PIÑA TROZO 567</v>
      </c>
      <c r="U21" s="591">
        <f>IFERROR(SALIDA_PT[[#This Row],[CANTIDAD]]/ENTRADA_PT[[#This Row],[CANTIDAD]],0%)</f>
        <v>1</v>
      </c>
      <c r="V21" s="412">
        <f>VPN!F21+VPE!F22</f>
        <v>108000</v>
      </c>
      <c r="W21" s="93">
        <f>ENTRADA_PT[[#This Row],[COSTO UNITARIO]]</f>
        <v>0.9604116683138394</v>
      </c>
      <c r="X21" s="147">
        <f t="shared" si="0"/>
        <v>103724.46017789465</v>
      </c>
    </row>
    <row r="22" spans="2:30" x14ac:dyDescent="0.35">
      <c r="B22" s="557" t="s">
        <v>411</v>
      </c>
      <c r="C22" s="558" t="str">
        <f>DP!AV24</f>
        <v>PIÑA RODAJA 822</v>
      </c>
      <c r="D22" s="559">
        <f>DP!AW24</f>
        <v>822</v>
      </c>
      <c r="E22" s="498">
        <f>IFERROR(AVERAGEIFS(ENTRADA_PT[COSTO UNITARIO],ENTRADA_PT[CÓDIGO],PT[CÓDIGO],ENTRADA_PT[COSTO UNITARIO],"&gt;0"),0)</f>
        <v>1.2984286501572695</v>
      </c>
      <c r="F22" s="259">
        <f>SUMIF(ENTRADA_PT[[#All],[CÓDIGO]],PT[[#All],[CÓDIGO]],ENTRADA_PT[[#All],[CANTIDAD]])</f>
        <v>771120</v>
      </c>
      <c r="G22" s="259">
        <f>SUMIF(SALIDA_PT[[#All],[CÓDIGO]],PT[[#All],[CÓDIGO]],SALIDA_PT[[#All],[CANTIDAD]])</f>
        <v>771120</v>
      </c>
      <c r="H22" s="259">
        <f>PT[[#This Row],[ENTRADA ]]-PT[[#This Row],[SALIDAS]]</f>
        <v>0</v>
      </c>
      <c r="I22" s="225">
        <f>PT[[#This Row],[COSTO UNITARIO]]*PT[[#This Row],[STOCK]]</f>
        <v>0</v>
      </c>
      <c r="K22" s="95" t="str">
        <f>CP!A431</f>
        <v>PT15</v>
      </c>
      <c r="L22" s="95" t="str">
        <f>CP!B431</f>
        <v>ENERO</v>
      </c>
      <c r="M22" s="95" t="str">
        <f>IFERROR(VLOOKUP(K22,PT[],2,FALSE),"NO EXISTE")</f>
        <v>PIÑA RODAJA 822</v>
      </c>
      <c r="N22" s="441">
        <f>CP!D431</f>
        <v>73440</v>
      </c>
      <c r="O22" s="94">
        <f>IFERROR(CP!E431,0*1)</f>
        <v>1.2984286501572693</v>
      </c>
      <c r="P22" s="94">
        <f>ENTRADA_PT[[#This Row],[CANTIDAD]]*ENTRADA_PT[[#This Row],[COSTO UNITARIO]]</f>
        <v>95356.600067549851</v>
      </c>
      <c r="R22" s="267" t="str">
        <f>ENTRADA_PT[[#This Row],[CÓDIGO]]</f>
        <v>PT15</v>
      </c>
      <c r="S22" s="95" t="str">
        <f>ENTRADA_PT[[#This Row],[FECHA]]</f>
        <v>ENERO</v>
      </c>
      <c r="T22" s="1" t="str">
        <f>IFERROR(VLOOKUP(R22,PT[],2,FALSE),"NO EXISTE")</f>
        <v>PIÑA RODAJA 822</v>
      </c>
      <c r="U22" s="591">
        <f>IFERROR(SALIDA_PT[[#This Row],[CANTIDAD]]/ENTRADA_PT[[#This Row],[CANTIDAD]],0%)</f>
        <v>1</v>
      </c>
      <c r="V22" s="412">
        <f>VPN!F22+VPE!F23</f>
        <v>73440</v>
      </c>
      <c r="W22" s="93">
        <f>ENTRADA_PT[[#This Row],[COSTO UNITARIO]]</f>
        <v>1.2984286501572693</v>
      </c>
      <c r="X22" s="147">
        <f t="shared" si="0"/>
        <v>95356.600067549851</v>
      </c>
    </row>
    <row r="23" spans="2:30" ht="16" thickBot="1" x14ac:dyDescent="0.4">
      <c r="B23" s="557" t="s">
        <v>412</v>
      </c>
      <c r="C23" s="558" t="str">
        <f>DP!AV25</f>
        <v>PIÑA TROZO 822</v>
      </c>
      <c r="D23" s="559">
        <f>DP!AW25</f>
        <v>822</v>
      </c>
      <c r="E23" s="498">
        <f>IFERROR(AVERAGEIFS(ENTRADA_PT[COSTO UNITARIO],ENTRADA_PT[CÓDIGO],PT[CÓDIGO],ENTRADA_PT[COSTO UNITARIO],"&gt;0"),0)</f>
        <v>1.2984286501572695</v>
      </c>
      <c r="F23" s="259">
        <f>SUMIF(ENTRADA_PT[[#All],[CÓDIGO]],PT[[#All],[CÓDIGO]],ENTRADA_PT[[#All],[CANTIDAD]])</f>
        <v>330480</v>
      </c>
      <c r="G23" s="259">
        <f>SUMIF(SALIDA_PT[[#All],[CÓDIGO]],PT[[#All],[CÓDIGO]],SALIDA_PT[[#All],[CANTIDAD]])</f>
        <v>330480</v>
      </c>
      <c r="H23" s="259">
        <f>PT[[#This Row],[ENTRADA ]]-PT[[#This Row],[SALIDAS]]</f>
        <v>0</v>
      </c>
      <c r="I23" s="225">
        <f>PT[[#This Row],[COSTO UNITARIO]]*PT[[#This Row],[STOCK]]</f>
        <v>0</v>
      </c>
      <c r="K23" s="95" t="str">
        <f>CP!A432</f>
        <v>PT16</v>
      </c>
      <c r="L23" s="95" t="str">
        <f>CP!B432</f>
        <v>ENERO</v>
      </c>
      <c r="M23" s="95" t="str">
        <f>IFERROR(VLOOKUP(K23,PT[],2,FALSE),"NO EXISTE")</f>
        <v>PIÑA TROZO 822</v>
      </c>
      <c r="N23" s="441">
        <f>CP!D432</f>
        <v>36720</v>
      </c>
      <c r="O23" s="94">
        <f>IFERROR(CP!E432,0*1)</f>
        <v>1.2984286501572693</v>
      </c>
      <c r="P23" s="94">
        <f>ENTRADA_PT[[#This Row],[CANTIDAD]]*ENTRADA_PT[[#This Row],[COSTO UNITARIO]]</f>
        <v>47678.300033774925</v>
      </c>
      <c r="R23" s="268" t="str">
        <f>ENTRADA_PT[[#This Row],[CÓDIGO]]</f>
        <v>PT16</v>
      </c>
      <c r="S23" s="126" t="str">
        <f>ENTRADA_PT[[#This Row],[FECHA]]</f>
        <v>ENERO</v>
      </c>
      <c r="T23" s="77" t="str">
        <f>IFERROR(VLOOKUP(R23,PT[],2,FALSE),"NO EXISTE")</f>
        <v>PIÑA TROZO 822</v>
      </c>
      <c r="U23" s="632">
        <f>IFERROR(SALIDA_PT[[#This Row],[CANTIDAD]]/ENTRADA_PT[[#This Row],[CANTIDAD]],0%)</f>
        <v>1</v>
      </c>
      <c r="V23" s="414">
        <f>VPN!F23+VPE!F24</f>
        <v>36720</v>
      </c>
      <c r="W23" s="560">
        <f>ENTRADA_PT[[#This Row],[COSTO UNITARIO]]</f>
        <v>1.2984286501572693</v>
      </c>
      <c r="X23" s="281">
        <f t="shared" si="0"/>
        <v>47678.300033774925</v>
      </c>
    </row>
    <row r="24" spans="2:30" s="6" customFormat="1" x14ac:dyDescent="0.35">
      <c r="K24" s="95" t="str">
        <f>CP!A433</f>
        <v>PT01</v>
      </c>
      <c r="L24" s="95" t="str">
        <f>CP!B433</f>
        <v>FEBRERO</v>
      </c>
      <c r="M24" s="95" t="str">
        <f>IFERROR(VLOOKUP(K24,PT[],2,FALSE),"NO EXISTE")</f>
        <v xml:space="preserve">PALMITO ENTERO 800 </v>
      </c>
      <c r="N24" s="441">
        <f>CP!D433</f>
        <v>0</v>
      </c>
      <c r="O24" s="94">
        <f>IFERROR(CP!E433,0*1)</f>
        <v>0</v>
      </c>
      <c r="P24" s="94">
        <f>ENTRADA_PT[[#This Row],[CANTIDAD]]*ENTRADA_PT[[#This Row],[COSTO UNITARIO]]</f>
        <v>0</v>
      </c>
      <c r="Q24"/>
      <c r="R24" s="265" t="str">
        <f>ENTRADA_PT[[#This Row],[CÓDIGO]]</f>
        <v>PT01</v>
      </c>
      <c r="S24" s="266" t="str">
        <f>ENTRADA_PT[[#This Row],[FECHA]]</f>
        <v>FEBRERO</v>
      </c>
      <c r="T24" s="278" t="str">
        <f>IFERROR(VLOOKUP(R24,PT[],2,FALSE),"NO EXISTE")</f>
        <v xml:space="preserve">PALMITO ENTERO 800 </v>
      </c>
      <c r="U24" s="631">
        <f>IFERROR(SALIDA_PT[[#This Row],[CANTIDAD]]/ENTRADA_PT[[#This Row],[CANTIDAD]],0%)</f>
        <v>0</v>
      </c>
      <c r="V24" s="413">
        <f>VPN!G6+VPE!G7</f>
        <v>0</v>
      </c>
      <c r="W24" s="140">
        <f>ENTRADA_PT[[#This Row],[COSTO UNITARIO]]</f>
        <v>0</v>
      </c>
      <c r="X24" s="142">
        <f t="shared" si="0"/>
        <v>0</v>
      </c>
    </row>
    <row r="25" spans="2:30" s="6" customFormat="1" x14ac:dyDescent="0.35">
      <c r="K25" s="95" t="str">
        <f>CP!A434</f>
        <v>PT02</v>
      </c>
      <c r="L25" s="95" t="str">
        <f>CP!B434</f>
        <v>FEBRERO</v>
      </c>
      <c r="M25" s="95" t="str">
        <f>IFERROR(VLOOKUP(K25,PT[],2,FALSE),"NO EXISTE")</f>
        <v>PALMITO RODAJA 800</v>
      </c>
      <c r="N25" s="441">
        <f>CP!D434</f>
        <v>0</v>
      </c>
      <c r="O25" s="94">
        <f>IFERROR(CP!E434,0*1)</f>
        <v>0</v>
      </c>
      <c r="P25" s="94">
        <f>ENTRADA_PT[[#This Row],[CANTIDAD]]*ENTRADA_PT[[#This Row],[COSTO UNITARIO]]</f>
        <v>0</v>
      </c>
      <c r="Q25"/>
      <c r="R25" s="267" t="str">
        <f>ENTRADA_PT[[#This Row],[CÓDIGO]]</f>
        <v>PT02</v>
      </c>
      <c r="S25" s="95" t="str">
        <f>ENTRADA_PT[[#This Row],[FECHA]]</f>
        <v>FEBRERO</v>
      </c>
      <c r="T25" s="1" t="str">
        <f>IFERROR(VLOOKUP(R25,PT[],2,FALSE),"NO EXISTE")</f>
        <v>PALMITO RODAJA 800</v>
      </c>
      <c r="U25" s="591">
        <f>IFERROR(SALIDA_PT[[#This Row],[CANTIDAD]]/ENTRADA_PT[[#This Row],[CANTIDAD]],0%)</f>
        <v>0</v>
      </c>
      <c r="V25" s="633">
        <f>VPN!G7+VPE!G8</f>
        <v>0</v>
      </c>
      <c r="W25" s="93">
        <f>ENTRADA_PT[[#This Row],[COSTO UNITARIO]]</f>
        <v>0</v>
      </c>
      <c r="X25" s="147">
        <f t="shared" si="0"/>
        <v>0</v>
      </c>
    </row>
    <row r="26" spans="2:30" s="6" customFormat="1" x14ac:dyDescent="0.35">
      <c r="K26" s="95" t="str">
        <f>CP!A435</f>
        <v>PT03</v>
      </c>
      <c r="L26" s="95" t="str">
        <f>CP!B435</f>
        <v>FEBRERO</v>
      </c>
      <c r="M26" s="95" t="str">
        <f>IFERROR(VLOOKUP(K26,PT[],2,FALSE),"NO EXISTE")</f>
        <v>PALMITO TROZO 800</v>
      </c>
      <c r="N26" s="441">
        <f>CP!D435</f>
        <v>0</v>
      </c>
      <c r="O26" s="94">
        <f>IFERROR(CP!E435,0*1)</f>
        <v>0</v>
      </c>
      <c r="P26" s="94">
        <f>ENTRADA_PT[[#This Row],[CANTIDAD]]*ENTRADA_PT[[#This Row],[COSTO UNITARIO]]</f>
        <v>0</v>
      </c>
      <c r="Q26"/>
      <c r="R26" s="267" t="str">
        <f>ENTRADA_PT[[#This Row],[CÓDIGO]]</f>
        <v>PT03</v>
      </c>
      <c r="S26" s="95" t="str">
        <f>ENTRADA_PT[[#This Row],[FECHA]]</f>
        <v>FEBRERO</v>
      </c>
      <c r="T26" s="1" t="str">
        <f>IFERROR(VLOOKUP(R26,PT[],2,FALSE),"NO EXISTE")</f>
        <v>PALMITO TROZO 800</v>
      </c>
      <c r="U26" s="591">
        <f>IFERROR(SALIDA_PT[[#This Row],[CANTIDAD]]/ENTRADA_PT[[#This Row],[CANTIDAD]],0%)</f>
        <v>0</v>
      </c>
      <c r="V26" s="633">
        <f>VPN!G8+VPE!G9</f>
        <v>0</v>
      </c>
      <c r="W26" s="93">
        <f>ENTRADA_PT[[#This Row],[COSTO UNITARIO]]</f>
        <v>0</v>
      </c>
      <c r="X26" s="147">
        <f t="shared" si="0"/>
        <v>0</v>
      </c>
      <c r="AD26" s="8"/>
    </row>
    <row r="27" spans="2:30" x14ac:dyDescent="0.35">
      <c r="K27" s="95" t="str">
        <f>CP!A436</f>
        <v>PT04</v>
      </c>
      <c r="L27" s="95" t="str">
        <f>CP!B436</f>
        <v>FEBRERO</v>
      </c>
      <c r="M27" s="95" t="str">
        <f>IFERROR(VLOOKUP(K27,PT[],2,FALSE),"NO EXISTE")</f>
        <v>PALMITO ENTERO 400</v>
      </c>
      <c r="N27" s="441">
        <f>CP!D436</f>
        <v>0</v>
      </c>
      <c r="O27" s="94">
        <f>IFERROR(CP!E436,0*1)</f>
        <v>0</v>
      </c>
      <c r="P27" s="94">
        <f>ENTRADA_PT[[#This Row],[CANTIDAD]]*ENTRADA_PT[[#This Row],[COSTO UNITARIO]]</f>
        <v>0</v>
      </c>
      <c r="R27" s="267" t="str">
        <f>ENTRADA_PT[[#This Row],[CÓDIGO]]</f>
        <v>PT04</v>
      </c>
      <c r="S27" s="95" t="str">
        <f>ENTRADA_PT[[#This Row],[FECHA]]</f>
        <v>FEBRERO</v>
      </c>
      <c r="T27" s="1" t="str">
        <f>IFERROR(VLOOKUP(R27,PT[],2,FALSE),"NO EXISTE")</f>
        <v>PALMITO ENTERO 400</v>
      </c>
      <c r="U27" s="591">
        <f>IFERROR(SALIDA_PT[[#This Row],[CANTIDAD]]/ENTRADA_PT[[#This Row],[CANTIDAD]],0%)</f>
        <v>0</v>
      </c>
      <c r="V27" s="633">
        <f>VPN!G9+VPE!G10</f>
        <v>0</v>
      </c>
      <c r="W27" s="93">
        <f>ENTRADA_PT[[#This Row],[COSTO UNITARIO]]</f>
        <v>0</v>
      </c>
      <c r="X27" s="147">
        <f t="shared" ref="X27:X90" si="1">V27*W27</f>
        <v>0</v>
      </c>
    </row>
    <row r="28" spans="2:30" x14ac:dyDescent="0.35">
      <c r="K28" s="95" t="str">
        <f>CP!A437</f>
        <v>PT05</v>
      </c>
      <c r="L28" s="95" t="str">
        <f>CP!B437</f>
        <v>FEBRERO</v>
      </c>
      <c r="M28" s="95" t="str">
        <f>IFERROR(VLOOKUP(K28,PT[],2,FALSE),"NO EXISTE")</f>
        <v>PALMITO RODAJA 400</v>
      </c>
      <c r="N28" s="441">
        <f>CP!D437</f>
        <v>0</v>
      </c>
      <c r="O28" s="94">
        <f>IFERROR(CP!E437,0*1)</f>
        <v>0</v>
      </c>
      <c r="P28" s="94">
        <f>ENTRADA_PT[[#This Row],[CANTIDAD]]*ENTRADA_PT[[#This Row],[COSTO UNITARIO]]</f>
        <v>0</v>
      </c>
      <c r="R28" s="267" t="str">
        <f>ENTRADA_PT[[#This Row],[CÓDIGO]]</f>
        <v>PT05</v>
      </c>
      <c r="S28" s="95" t="str">
        <f>ENTRADA_PT[[#This Row],[FECHA]]</f>
        <v>FEBRERO</v>
      </c>
      <c r="T28" s="1" t="str">
        <f>IFERROR(VLOOKUP(R28,PT[],2,FALSE),"NO EXISTE")</f>
        <v>PALMITO RODAJA 400</v>
      </c>
      <c r="U28" s="591">
        <f>IFERROR(SALIDA_PT[[#This Row],[CANTIDAD]]/ENTRADA_PT[[#This Row],[CANTIDAD]],0%)</f>
        <v>0</v>
      </c>
      <c r="V28" s="633">
        <f>VPN!G10+VPE!G11</f>
        <v>0</v>
      </c>
      <c r="W28" s="93">
        <f>ENTRADA_PT[[#This Row],[COSTO UNITARIO]]</f>
        <v>0</v>
      </c>
      <c r="X28" s="147">
        <f t="shared" si="1"/>
        <v>0</v>
      </c>
    </row>
    <row r="29" spans="2:30" x14ac:dyDescent="0.35">
      <c r="K29" s="95" t="str">
        <f>CP!A438</f>
        <v>PT06</v>
      </c>
      <c r="L29" s="95" t="str">
        <f>CP!B438</f>
        <v>FEBRERO</v>
      </c>
      <c r="M29" s="95" t="str">
        <f>IFERROR(VLOOKUP(K29,PT[],2,FALSE),"NO EXISTE")</f>
        <v>PALMITO TROZO 400</v>
      </c>
      <c r="N29" s="441">
        <f>CP!D438</f>
        <v>0</v>
      </c>
      <c r="O29" s="94">
        <f>IFERROR(CP!E438,0*1)</f>
        <v>0</v>
      </c>
      <c r="P29" s="94">
        <f>ENTRADA_PT[[#This Row],[CANTIDAD]]*ENTRADA_PT[[#This Row],[COSTO UNITARIO]]</f>
        <v>0</v>
      </c>
      <c r="R29" s="267" t="str">
        <f>ENTRADA_PT[[#This Row],[CÓDIGO]]</f>
        <v>PT06</v>
      </c>
      <c r="S29" s="95" t="str">
        <f>ENTRADA_PT[[#This Row],[FECHA]]</f>
        <v>FEBRERO</v>
      </c>
      <c r="T29" s="1" t="str">
        <f>IFERROR(VLOOKUP(R29,PT[],2,FALSE),"NO EXISTE")</f>
        <v>PALMITO TROZO 400</v>
      </c>
      <c r="U29" s="591">
        <f>IFERROR(SALIDA_PT[[#This Row],[CANTIDAD]]/ENTRADA_PT[[#This Row],[CANTIDAD]],0%)</f>
        <v>0</v>
      </c>
      <c r="V29" s="633">
        <f>VPN!G11+VPE!G12</f>
        <v>0</v>
      </c>
      <c r="W29" s="93">
        <f>ENTRADA_PT[[#This Row],[COSTO UNITARIO]]</f>
        <v>0</v>
      </c>
      <c r="X29" s="147">
        <f t="shared" si="1"/>
        <v>0</v>
      </c>
    </row>
    <row r="30" spans="2:30" x14ac:dyDescent="0.35">
      <c r="K30" s="95" t="str">
        <f>CP!A439</f>
        <v>PT07</v>
      </c>
      <c r="L30" s="95" t="str">
        <f>CP!B439</f>
        <v>FEBRERO</v>
      </c>
      <c r="M30" s="95" t="str">
        <f>IFERROR(VLOOKUP(K30,PT[],2,FALSE),"NO EXISTE")</f>
        <v>PALMITO TROZO  A-10</v>
      </c>
      <c r="N30" s="441">
        <f>CP!D439</f>
        <v>0</v>
      </c>
      <c r="O30" s="94">
        <f>IFERROR(CP!E439,0*1)</f>
        <v>0</v>
      </c>
      <c r="P30" s="94">
        <f>ENTRADA_PT[[#This Row],[CANTIDAD]]*ENTRADA_PT[[#This Row],[COSTO UNITARIO]]</f>
        <v>0</v>
      </c>
      <c r="R30" s="267" t="str">
        <f>ENTRADA_PT[[#This Row],[CÓDIGO]]</f>
        <v>PT07</v>
      </c>
      <c r="S30" s="95" t="str">
        <f>ENTRADA_PT[[#This Row],[FECHA]]</f>
        <v>FEBRERO</v>
      </c>
      <c r="T30" s="1" t="str">
        <f>IFERROR(VLOOKUP(R30,PT[],2,FALSE),"NO EXISTE")</f>
        <v>PALMITO TROZO  A-10</v>
      </c>
      <c r="U30" s="591">
        <f>IFERROR(SALIDA_PT[[#This Row],[CANTIDAD]]/ENTRADA_PT[[#This Row],[CANTIDAD]],0%)</f>
        <v>0</v>
      </c>
      <c r="V30" s="633">
        <f>VPN!G12+VPE!G13</f>
        <v>0</v>
      </c>
      <c r="W30" s="93">
        <f>ENTRADA_PT[[#This Row],[COSTO UNITARIO]]</f>
        <v>0</v>
      </c>
      <c r="X30" s="147">
        <f t="shared" si="1"/>
        <v>0</v>
      </c>
    </row>
    <row r="31" spans="2:30" x14ac:dyDescent="0.35">
      <c r="C31" s="91"/>
      <c r="K31" s="95" t="str">
        <f>CP!A440</f>
        <v>PT08</v>
      </c>
      <c r="L31" s="95" t="str">
        <f>CP!B440</f>
        <v>FEBRERO</v>
      </c>
      <c r="M31" s="95" t="str">
        <f>IFERROR(VLOOKUP(K31,PT[],2,FALSE),"NO EXISTE")</f>
        <v>PALMITO RODAJA  A-10</v>
      </c>
      <c r="N31" s="441">
        <f>CP!D440</f>
        <v>0</v>
      </c>
      <c r="O31" s="94">
        <f>IFERROR(CP!E440,0*1)</f>
        <v>0</v>
      </c>
      <c r="P31" s="94">
        <f>ENTRADA_PT[[#This Row],[CANTIDAD]]*ENTRADA_PT[[#This Row],[COSTO UNITARIO]]</f>
        <v>0</v>
      </c>
      <c r="R31" s="267" t="str">
        <f>ENTRADA_PT[[#This Row],[CÓDIGO]]</f>
        <v>PT08</v>
      </c>
      <c r="S31" s="95" t="str">
        <f>ENTRADA_PT[[#This Row],[FECHA]]</f>
        <v>FEBRERO</v>
      </c>
      <c r="T31" s="1" t="str">
        <f>IFERROR(VLOOKUP(R31,PT[],2,FALSE),"NO EXISTE")</f>
        <v>PALMITO RODAJA  A-10</v>
      </c>
      <c r="U31" s="591">
        <f>IFERROR(SALIDA_PT[[#This Row],[CANTIDAD]]/ENTRADA_PT[[#This Row],[CANTIDAD]],0%)</f>
        <v>0</v>
      </c>
      <c r="V31" s="633">
        <f>VPN!G13+VPE!G14</f>
        <v>0</v>
      </c>
      <c r="W31" s="93">
        <f>ENTRADA_PT[[#This Row],[COSTO UNITARIO]]</f>
        <v>0</v>
      </c>
      <c r="X31" s="147">
        <f t="shared" si="1"/>
        <v>0</v>
      </c>
    </row>
    <row r="32" spans="2:30" x14ac:dyDescent="0.35">
      <c r="K32" s="95" t="str">
        <f>CP!A441</f>
        <v>PT09</v>
      </c>
      <c r="L32" s="95" t="str">
        <f>CP!B441</f>
        <v>FEBRERO</v>
      </c>
      <c r="M32" s="95" t="str">
        <f>IFERROR(VLOOKUP(K32,PT[],2,FALSE),"NO EXISTE")</f>
        <v>PIÑA RODAJA 850</v>
      </c>
      <c r="N32" s="441">
        <f>CP!D441</f>
        <v>0</v>
      </c>
      <c r="O32" s="94">
        <f>IFERROR(CP!E441,0*1)</f>
        <v>0</v>
      </c>
      <c r="P32" s="94">
        <f>ENTRADA_PT[[#This Row],[CANTIDAD]]*ENTRADA_PT[[#This Row],[COSTO UNITARIO]]</f>
        <v>0</v>
      </c>
      <c r="R32" s="267" t="str">
        <f>ENTRADA_PT[[#This Row],[CÓDIGO]]</f>
        <v>PT09</v>
      </c>
      <c r="S32" s="95" t="str">
        <f>ENTRADA_PT[[#This Row],[FECHA]]</f>
        <v>FEBRERO</v>
      </c>
      <c r="T32" s="1" t="str">
        <f>IFERROR(VLOOKUP(R32,PT[],2,FALSE),"NO EXISTE")</f>
        <v>PIÑA RODAJA 850</v>
      </c>
      <c r="U32" s="591">
        <f>IFERROR(SALIDA_PT[[#This Row],[CANTIDAD]]/ENTRADA_PT[[#This Row],[CANTIDAD]],0%)</f>
        <v>0</v>
      </c>
      <c r="V32" s="412">
        <f>VPN!G16+VPE!G17</f>
        <v>0</v>
      </c>
      <c r="W32" s="93">
        <f>ENTRADA_PT[[#This Row],[COSTO UNITARIO]]</f>
        <v>0</v>
      </c>
      <c r="X32" s="147">
        <f t="shared" si="1"/>
        <v>0</v>
      </c>
    </row>
    <row r="33" spans="11:24" x14ac:dyDescent="0.35">
      <c r="K33" s="95" t="str">
        <f>CP!A442</f>
        <v>PT10</v>
      </c>
      <c r="L33" s="95" t="str">
        <f>CP!B442</f>
        <v>FEBRERO</v>
      </c>
      <c r="M33" s="95" t="str">
        <f>IFERROR(VLOOKUP(K33,PT[],2,FALSE),"NO EXISTE")</f>
        <v>PIÑA TROZO 850</v>
      </c>
      <c r="N33" s="441">
        <f>CP!D442</f>
        <v>0</v>
      </c>
      <c r="O33" s="94">
        <f>IFERROR(CP!E442,0*1)</f>
        <v>0</v>
      </c>
      <c r="P33" s="94">
        <f>ENTRADA_PT[[#This Row],[CANTIDAD]]*ENTRADA_PT[[#This Row],[COSTO UNITARIO]]</f>
        <v>0</v>
      </c>
      <c r="R33" s="267" t="str">
        <f>ENTRADA_PT[[#This Row],[CÓDIGO]]</f>
        <v>PT10</v>
      </c>
      <c r="S33" s="95" t="str">
        <f>ENTRADA_PT[[#This Row],[FECHA]]</f>
        <v>FEBRERO</v>
      </c>
      <c r="T33" s="1" t="str">
        <f>IFERROR(VLOOKUP(R33,PT[],2,FALSE),"NO EXISTE")</f>
        <v>PIÑA TROZO 850</v>
      </c>
      <c r="U33" s="591">
        <f>IFERROR(SALIDA_PT[[#This Row],[CANTIDAD]]/ENTRADA_PT[[#This Row],[CANTIDAD]],0%)</f>
        <v>0</v>
      </c>
      <c r="V33" s="412">
        <f>VPN!G17+VPE!G18</f>
        <v>0</v>
      </c>
      <c r="W33" s="93">
        <f>ENTRADA_PT[[#This Row],[COSTO UNITARIO]]</f>
        <v>0</v>
      </c>
      <c r="X33" s="147">
        <f t="shared" si="1"/>
        <v>0</v>
      </c>
    </row>
    <row r="34" spans="11:24" x14ac:dyDescent="0.35">
      <c r="K34" s="95" t="str">
        <f>CP!A443</f>
        <v>PT11</v>
      </c>
      <c r="L34" s="95" t="str">
        <f>CP!B443</f>
        <v>FEBRERO</v>
      </c>
      <c r="M34" s="95" t="str">
        <f>IFERROR(VLOOKUP(K34,PT[],2,FALSE),"NO EXISTE")</f>
        <v>PIÑA TROZO A-10</v>
      </c>
      <c r="N34" s="441">
        <f>CP!D443</f>
        <v>0</v>
      </c>
      <c r="O34" s="94">
        <f>IFERROR(CP!E443,0*1)</f>
        <v>0</v>
      </c>
      <c r="P34" s="94">
        <f>ENTRADA_PT[[#This Row],[CANTIDAD]]*ENTRADA_PT[[#This Row],[COSTO UNITARIO]]</f>
        <v>0</v>
      </c>
      <c r="R34" s="267" t="str">
        <f>ENTRADA_PT[[#This Row],[CÓDIGO]]</f>
        <v>PT11</v>
      </c>
      <c r="S34" s="95" t="str">
        <f>ENTRADA_PT[[#This Row],[FECHA]]</f>
        <v>FEBRERO</v>
      </c>
      <c r="T34" s="1" t="str">
        <f>IFERROR(VLOOKUP(R34,PT[],2,FALSE),"NO EXISTE")</f>
        <v>PIÑA TROZO A-10</v>
      </c>
      <c r="U34" s="591">
        <f>IFERROR(SALIDA_PT[[#This Row],[CANTIDAD]]/ENTRADA_PT[[#This Row],[CANTIDAD]],0%)</f>
        <v>0</v>
      </c>
      <c r="V34" s="412">
        <f>VPN!G18+VPE!G19</f>
        <v>0</v>
      </c>
      <c r="W34" s="93">
        <f>ENTRADA_PT[[#This Row],[COSTO UNITARIO]]</f>
        <v>0</v>
      </c>
      <c r="X34" s="147">
        <f t="shared" si="1"/>
        <v>0</v>
      </c>
    </row>
    <row r="35" spans="11:24" x14ac:dyDescent="0.35">
      <c r="K35" s="95" t="str">
        <f>CP!A444</f>
        <v>PT12</v>
      </c>
      <c r="L35" s="95" t="str">
        <f>CP!B444</f>
        <v>FEBRERO</v>
      </c>
      <c r="M35" s="95" t="str">
        <f>IFERROR(VLOOKUP(K35,PT[],2,FALSE),"NO EXISTE")</f>
        <v>PIÑA RODAJA A-10</v>
      </c>
      <c r="N35" s="441">
        <f>CP!D444</f>
        <v>0</v>
      </c>
      <c r="O35" s="94">
        <f>IFERROR(CP!E444,0*1)</f>
        <v>0</v>
      </c>
      <c r="P35" s="94">
        <f>ENTRADA_PT[[#This Row],[CANTIDAD]]*ENTRADA_PT[[#This Row],[COSTO UNITARIO]]</f>
        <v>0</v>
      </c>
      <c r="R35" s="267" t="str">
        <f>ENTRADA_PT[[#This Row],[CÓDIGO]]</f>
        <v>PT12</v>
      </c>
      <c r="S35" s="95" t="str">
        <f>ENTRADA_PT[[#This Row],[FECHA]]</f>
        <v>FEBRERO</v>
      </c>
      <c r="T35" s="1" t="str">
        <f>IFERROR(VLOOKUP(R35,PT[],2,FALSE),"NO EXISTE")</f>
        <v>PIÑA RODAJA A-10</v>
      </c>
      <c r="U35" s="591">
        <f>IFERROR(SALIDA_PT[[#This Row],[CANTIDAD]]/ENTRADA_PT[[#This Row],[CANTIDAD]],0%)</f>
        <v>0</v>
      </c>
      <c r="V35" s="412">
        <f>VPN!G19+VPE!G20</f>
        <v>0</v>
      </c>
      <c r="W35" s="93">
        <f>ENTRADA_PT[[#This Row],[COSTO UNITARIO]]</f>
        <v>0</v>
      </c>
      <c r="X35" s="147">
        <f t="shared" si="1"/>
        <v>0</v>
      </c>
    </row>
    <row r="36" spans="11:24" x14ac:dyDescent="0.35">
      <c r="K36" s="95" t="str">
        <f>CP!A445</f>
        <v>PT13</v>
      </c>
      <c r="L36" s="95" t="str">
        <f>CP!B445</f>
        <v>FEBRERO</v>
      </c>
      <c r="M36" s="95" t="str">
        <f>IFERROR(VLOOKUP(K36,PT[],2,FALSE),"NO EXISTE")</f>
        <v>PIÑA RODAJA 567</v>
      </c>
      <c r="N36" s="441">
        <f>CP!D445</f>
        <v>270000</v>
      </c>
      <c r="O36" s="94">
        <f>IFERROR(CP!E445,0*1)</f>
        <v>0.96041166831383962</v>
      </c>
      <c r="P36" s="94">
        <f>ENTRADA_PT[[#This Row],[CANTIDAD]]*ENTRADA_PT[[#This Row],[COSTO UNITARIO]]</f>
        <v>259311.1504447367</v>
      </c>
      <c r="R36" s="267" t="str">
        <f>ENTRADA_PT[[#This Row],[CÓDIGO]]</f>
        <v>PT13</v>
      </c>
      <c r="S36" s="95" t="str">
        <f>ENTRADA_PT[[#This Row],[FECHA]]</f>
        <v>FEBRERO</v>
      </c>
      <c r="T36" s="1" t="str">
        <f>IFERROR(VLOOKUP(R36,PT[],2,FALSE),"NO EXISTE")</f>
        <v>PIÑA RODAJA 567</v>
      </c>
      <c r="U36" s="591">
        <f>IFERROR(SALIDA_PT[[#This Row],[CANTIDAD]]/ENTRADA_PT[[#This Row],[CANTIDAD]],0%)</f>
        <v>1</v>
      </c>
      <c r="V36" s="412">
        <f>VPN!G20+VPE!G21</f>
        <v>270000</v>
      </c>
      <c r="W36" s="93">
        <f>ENTRADA_PT[[#This Row],[COSTO UNITARIO]]</f>
        <v>0.96041166831383962</v>
      </c>
      <c r="X36" s="147">
        <f t="shared" si="1"/>
        <v>259311.1504447367</v>
      </c>
    </row>
    <row r="37" spans="11:24" x14ac:dyDescent="0.35">
      <c r="K37" s="95" t="str">
        <f>CP!A446</f>
        <v>PT14</v>
      </c>
      <c r="L37" s="95" t="str">
        <f>CP!B446</f>
        <v>FEBRERO</v>
      </c>
      <c r="M37" s="95" t="str">
        <f>IFERROR(VLOOKUP(K37,PT[],2,FALSE),"NO EXISTE")</f>
        <v>PIÑA TROZO 567</v>
      </c>
      <c r="N37" s="441">
        <f>CP!D446</f>
        <v>108000</v>
      </c>
      <c r="O37" s="94">
        <f>IFERROR(CP!E446,0*1)</f>
        <v>0.9604116683138394</v>
      </c>
      <c r="P37" s="94">
        <f>ENTRADA_PT[[#This Row],[CANTIDAD]]*ENTRADA_PT[[#This Row],[COSTO UNITARIO]]</f>
        <v>103724.46017789465</v>
      </c>
      <c r="R37" s="267" t="str">
        <f>ENTRADA_PT[[#This Row],[CÓDIGO]]</f>
        <v>PT14</v>
      </c>
      <c r="S37" s="95" t="str">
        <f>ENTRADA_PT[[#This Row],[FECHA]]</f>
        <v>FEBRERO</v>
      </c>
      <c r="T37" s="1" t="str">
        <f>IFERROR(VLOOKUP(R37,PT[],2,FALSE),"NO EXISTE")</f>
        <v>PIÑA TROZO 567</v>
      </c>
      <c r="U37" s="591">
        <f>IFERROR(SALIDA_PT[[#This Row],[CANTIDAD]]/ENTRADA_PT[[#This Row],[CANTIDAD]],0%)</f>
        <v>1</v>
      </c>
      <c r="V37" s="412">
        <f>VPN!G21+VPE!G22</f>
        <v>108000</v>
      </c>
      <c r="W37" s="93">
        <f>ENTRADA_PT[[#This Row],[COSTO UNITARIO]]</f>
        <v>0.9604116683138394</v>
      </c>
      <c r="X37" s="147">
        <f t="shared" si="1"/>
        <v>103724.46017789465</v>
      </c>
    </row>
    <row r="38" spans="11:24" x14ac:dyDescent="0.35">
      <c r="K38" s="95" t="str">
        <f>CP!A447</f>
        <v>PT15</v>
      </c>
      <c r="L38" s="95" t="str">
        <f>CP!B447</f>
        <v>FEBRERO</v>
      </c>
      <c r="M38" s="95" t="str">
        <f>IFERROR(VLOOKUP(K38,PT[],2,FALSE),"NO EXISTE")</f>
        <v>PIÑA RODAJA 822</v>
      </c>
      <c r="N38" s="441">
        <f>CP!D447</f>
        <v>73440</v>
      </c>
      <c r="O38" s="94">
        <f>IFERROR(CP!E447,0*1)</f>
        <v>1.2984286501572693</v>
      </c>
      <c r="P38" s="94">
        <f>ENTRADA_PT[[#This Row],[CANTIDAD]]*ENTRADA_PT[[#This Row],[COSTO UNITARIO]]</f>
        <v>95356.600067549851</v>
      </c>
      <c r="R38" s="267" t="str">
        <f>ENTRADA_PT[[#This Row],[CÓDIGO]]</f>
        <v>PT15</v>
      </c>
      <c r="S38" s="95" t="str">
        <f>ENTRADA_PT[[#This Row],[FECHA]]</f>
        <v>FEBRERO</v>
      </c>
      <c r="T38" s="1" t="str">
        <f>IFERROR(VLOOKUP(R38,PT[],2,FALSE),"NO EXISTE")</f>
        <v>PIÑA RODAJA 822</v>
      </c>
      <c r="U38" s="591">
        <f>IFERROR(SALIDA_PT[[#This Row],[CANTIDAD]]/ENTRADA_PT[[#This Row],[CANTIDAD]],0%)</f>
        <v>1</v>
      </c>
      <c r="V38" s="412">
        <f>VPN!G22+VPE!G23</f>
        <v>73440</v>
      </c>
      <c r="W38" s="93">
        <f>ENTRADA_PT[[#This Row],[COSTO UNITARIO]]</f>
        <v>1.2984286501572693</v>
      </c>
      <c r="X38" s="147">
        <f t="shared" si="1"/>
        <v>95356.600067549851</v>
      </c>
    </row>
    <row r="39" spans="11:24" ht="16" thickBot="1" x14ac:dyDescent="0.4">
      <c r="K39" s="95" t="str">
        <f>CP!A448</f>
        <v>PT16</v>
      </c>
      <c r="L39" s="95" t="str">
        <f>CP!B448</f>
        <v>FEBRERO</v>
      </c>
      <c r="M39" s="95" t="str">
        <f>IFERROR(VLOOKUP(K39,PT[],2,FALSE),"NO EXISTE")</f>
        <v>PIÑA TROZO 822</v>
      </c>
      <c r="N39" s="441">
        <f>CP!D448</f>
        <v>36720</v>
      </c>
      <c r="O39" s="94">
        <f>IFERROR(CP!E448,0*1)</f>
        <v>1.2984286501572693</v>
      </c>
      <c r="P39" s="94">
        <f>ENTRADA_PT[[#This Row],[CANTIDAD]]*ENTRADA_PT[[#This Row],[COSTO UNITARIO]]</f>
        <v>47678.300033774925</v>
      </c>
      <c r="R39" s="268" t="str">
        <f>ENTRADA_PT[[#This Row],[CÓDIGO]]</f>
        <v>PT16</v>
      </c>
      <c r="S39" s="126" t="str">
        <f>ENTRADA_PT[[#This Row],[FECHA]]</f>
        <v>FEBRERO</v>
      </c>
      <c r="T39" s="77" t="str">
        <f>IFERROR(VLOOKUP(R39,PT[],2,FALSE),"NO EXISTE")</f>
        <v>PIÑA TROZO 822</v>
      </c>
      <c r="U39" s="632">
        <f>IFERROR(SALIDA_PT[[#This Row],[CANTIDAD]]/ENTRADA_PT[[#This Row],[CANTIDAD]],0%)</f>
        <v>1</v>
      </c>
      <c r="V39" s="414">
        <f>VPN!G23+VPE!G24</f>
        <v>36720</v>
      </c>
      <c r="W39" s="560">
        <f>ENTRADA_PT[[#This Row],[COSTO UNITARIO]]</f>
        <v>1.2984286501572693</v>
      </c>
      <c r="X39" s="281">
        <f t="shared" si="1"/>
        <v>47678.300033774925</v>
      </c>
    </row>
    <row r="40" spans="11:24" x14ac:dyDescent="0.35">
      <c r="K40" s="95" t="str">
        <f>CP!A449</f>
        <v>PT01</v>
      </c>
      <c r="L40" s="95" t="str">
        <f>CP!B449</f>
        <v>MARZO</v>
      </c>
      <c r="M40" s="95" t="str">
        <f>IFERROR(VLOOKUP(K40,PT[],2,FALSE),"NO EXISTE")</f>
        <v xml:space="preserve">PALMITO ENTERO 800 </v>
      </c>
      <c r="N40" s="441">
        <f>CP!D449</f>
        <v>0</v>
      </c>
      <c r="O40" s="94">
        <f>IFERROR(CP!E449,0*1)</f>
        <v>0</v>
      </c>
      <c r="P40" s="94">
        <f>ENTRADA_PT[[#This Row],[CANTIDAD]]*ENTRADA_PT[[#This Row],[COSTO UNITARIO]]</f>
        <v>0</v>
      </c>
      <c r="R40" s="265" t="str">
        <f>ENTRADA_PT[[#This Row],[CÓDIGO]]</f>
        <v>PT01</v>
      </c>
      <c r="S40" s="266" t="str">
        <f>ENTRADA_PT[[#This Row],[FECHA]]</f>
        <v>MARZO</v>
      </c>
      <c r="T40" s="278" t="str">
        <f>IFERROR(VLOOKUP(R40,PT[],2,FALSE),"NO EXISTE")</f>
        <v xml:space="preserve">PALMITO ENTERO 800 </v>
      </c>
      <c r="U40" s="631">
        <f>IFERROR(SALIDA_PT[[#This Row],[CANTIDAD]]/ENTRADA_PT[[#This Row],[CANTIDAD]],0%)</f>
        <v>0</v>
      </c>
      <c r="V40" s="413">
        <f>VPN!H6+VPE!H7</f>
        <v>0</v>
      </c>
      <c r="W40" s="140">
        <f>ENTRADA_PT[[#This Row],[COSTO UNITARIO]]</f>
        <v>0</v>
      </c>
      <c r="X40" s="142">
        <f t="shared" si="1"/>
        <v>0</v>
      </c>
    </row>
    <row r="41" spans="11:24" x14ac:dyDescent="0.35">
      <c r="K41" s="95" t="str">
        <f>CP!A450</f>
        <v>PT02</v>
      </c>
      <c r="L41" s="95" t="str">
        <f>CP!B450</f>
        <v>MARZO</v>
      </c>
      <c r="M41" s="95" t="str">
        <f>IFERROR(VLOOKUP(K41,PT[],2,FALSE),"NO EXISTE")</f>
        <v>PALMITO RODAJA 800</v>
      </c>
      <c r="N41" s="441">
        <f>CP!D450</f>
        <v>0</v>
      </c>
      <c r="O41" s="94">
        <f>IFERROR(CP!E450,0*1)</f>
        <v>0</v>
      </c>
      <c r="P41" s="94">
        <f>ENTRADA_PT[[#This Row],[CANTIDAD]]*ENTRADA_PT[[#This Row],[COSTO UNITARIO]]</f>
        <v>0</v>
      </c>
      <c r="R41" s="267" t="str">
        <f>ENTRADA_PT[[#This Row],[CÓDIGO]]</f>
        <v>PT02</v>
      </c>
      <c r="S41" s="95" t="str">
        <f>ENTRADA_PT[[#This Row],[FECHA]]</f>
        <v>MARZO</v>
      </c>
      <c r="T41" s="1" t="str">
        <f>IFERROR(VLOOKUP(R41,PT[],2,FALSE),"NO EXISTE")</f>
        <v>PALMITO RODAJA 800</v>
      </c>
      <c r="U41" s="591">
        <f>IFERROR(SALIDA_PT[[#This Row],[CANTIDAD]]/ENTRADA_PT[[#This Row],[CANTIDAD]],0%)</f>
        <v>0</v>
      </c>
      <c r="V41" s="633">
        <f>VPN!H7+VPE!H8</f>
        <v>0</v>
      </c>
      <c r="W41" s="93">
        <f>ENTRADA_PT[[#This Row],[COSTO UNITARIO]]</f>
        <v>0</v>
      </c>
      <c r="X41" s="147">
        <f t="shared" si="1"/>
        <v>0</v>
      </c>
    </row>
    <row r="42" spans="11:24" x14ac:dyDescent="0.35">
      <c r="K42" s="95" t="str">
        <f>CP!A451</f>
        <v>PT03</v>
      </c>
      <c r="L42" s="95" t="str">
        <f>CP!B451</f>
        <v>MARZO</v>
      </c>
      <c r="M42" s="95" t="str">
        <f>IFERROR(VLOOKUP(K42,PT[],2,FALSE),"NO EXISTE")</f>
        <v>PALMITO TROZO 800</v>
      </c>
      <c r="N42" s="441">
        <f>CP!D451</f>
        <v>0</v>
      </c>
      <c r="O42" s="94">
        <f>IFERROR(CP!E451,0*1)</f>
        <v>0</v>
      </c>
      <c r="P42" s="94">
        <f>ENTRADA_PT[[#This Row],[CANTIDAD]]*ENTRADA_PT[[#This Row],[COSTO UNITARIO]]</f>
        <v>0</v>
      </c>
      <c r="R42" s="267" t="str">
        <f>ENTRADA_PT[[#This Row],[CÓDIGO]]</f>
        <v>PT03</v>
      </c>
      <c r="S42" s="95" t="str">
        <f>ENTRADA_PT[[#This Row],[FECHA]]</f>
        <v>MARZO</v>
      </c>
      <c r="T42" s="1" t="str">
        <f>IFERROR(VLOOKUP(R42,PT[],2,FALSE),"NO EXISTE")</f>
        <v>PALMITO TROZO 800</v>
      </c>
      <c r="U42" s="591">
        <f>IFERROR(SALIDA_PT[[#This Row],[CANTIDAD]]/ENTRADA_PT[[#This Row],[CANTIDAD]],0%)</f>
        <v>0</v>
      </c>
      <c r="V42" s="633">
        <f>VPN!H8+VPE!H9</f>
        <v>0</v>
      </c>
      <c r="W42" s="93">
        <f>ENTRADA_PT[[#This Row],[COSTO UNITARIO]]</f>
        <v>0</v>
      </c>
      <c r="X42" s="147">
        <f t="shared" si="1"/>
        <v>0</v>
      </c>
    </row>
    <row r="43" spans="11:24" x14ac:dyDescent="0.35">
      <c r="K43" s="95" t="str">
        <f>CP!A452</f>
        <v>PT04</v>
      </c>
      <c r="L43" s="95" t="str">
        <f>CP!B452</f>
        <v>MARZO</v>
      </c>
      <c r="M43" s="95" t="str">
        <f>IFERROR(VLOOKUP(K43,PT[],2,FALSE),"NO EXISTE")</f>
        <v>PALMITO ENTERO 400</v>
      </c>
      <c r="N43" s="441">
        <f>CP!D452</f>
        <v>0</v>
      </c>
      <c r="O43" s="94">
        <f>IFERROR(CP!E452,0*1)</f>
        <v>0</v>
      </c>
      <c r="P43" s="94">
        <f>ENTRADA_PT[[#This Row],[CANTIDAD]]*ENTRADA_PT[[#This Row],[COSTO UNITARIO]]</f>
        <v>0</v>
      </c>
      <c r="R43" s="267" t="str">
        <f>ENTRADA_PT[[#This Row],[CÓDIGO]]</f>
        <v>PT04</v>
      </c>
      <c r="S43" s="95" t="str">
        <f>ENTRADA_PT[[#This Row],[FECHA]]</f>
        <v>MARZO</v>
      </c>
      <c r="T43" s="1" t="str">
        <f>IFERROR(VLOOKUP(R43,PT[],2,FALSE),"NO EXISTE")</f>
        <v>PALMITO ENTERO 400</v>
      </c>
      <c r="U43" s="591">
        <f>IFERROR(SALIDA_PT[[#This Row],[CANTIDAD]]/ENTRADA_PT[[#This Row],[CANTIDAD]],0%)</f>
        <v>0</v>
      </c>
      <c r="V43" s="633">
        <f>VPN!H9+VPE!H10</f>
        <v>0</v>
      </c>
      <c r="W43" s="93">
        <f>ENTRADA_PT[[#This Row],[COSTO UNITARIO]]</f>
        <v>0</v>
      </c>
      <c r="X43" s="147">
        <f t="shared" si="1"/>
        <v>0</v>
      </c>
    </row>
    <row r="44" spans="11:24" x14ac:dyDescent="0.35">
      <c r="K44" s="95" t="str">
        <f>CP!A453</f>
        <v>PT05</v>
      </c>
      <c r="L44" s="95" t="str">
        <f>CP!B453</f>
        <v>MARZO</v>
      </c>
      <c r="M44" s="95" t="str">
        <f>IFERROR(VLOOKUP(K44,PT[],2,FALSE),"NO EXISTE")</f>
        <v>PALMITO RODAJA 400</v>
      </c>
      <c r="N44" s="441">
        <f>CP!D453</f>
        <v>0</v>
      </c>
      <c r="O44" s="94">
        <f>IFERROR(CP!E453,0*1)</f>
        <v>0</v>
      </c>
      <c r="P44" s="94">
        <f>ENTRADA_PT[[#This Row],[CANTIDAD]]*ENTRADA_PT[[#This Row],[COSTO UNITARIO]]</f>
        <v>0</v>
      </c>
      <c r="R44" s="267" t="str">
        <f>ENTRADA_PT[[#This Row],[CÓDIGO]]</f>
        <v>PT05</v>
      </c>
      <c r="S44" s="95" t="str">
        <f>ENTRADA_PT[[#This Row],[FECHA]]</f>
        <v>MARZO</v>
      </c>
      <c r="T44" s="1" t="str">
        <f>IFERROR(VLOOKUP(R44,PT[],2,FALSE),"NO EXISTE")</f>
        <v>PALMITO RODAJA 400</v>
      </c>
      <c r="U44" s="591">
        <f>IFERROR(SALIDA_PT[[#This Row],[CANTIDAD]]/ENTRADA_PT[[#This Row],[CANTIDAD]],0%)</f>
        <v>0</v>
      </c>
      <c r="V44" s="633">
        <f>VPN!H10+VPE!H11</f>
        <v>0</v>
      </c>
      <c r="W44" s="93">
        <f>ENTRADA_PT[[#This Row],[COSTO UNITARIO]]</f>
        <v>0</v>
      </c>
      <c r="X44" s="147">
        <f t="shared" si="1"/>
        <v>0</v>
      </c>
    </row>
    <row r="45" spans="11:24" x14ac:dyDescent="0.35">
      <c r="K45" s="95" t="str">
        <f>CP!A454</f>
        <v>PT06</v>
      </c>
      <c r="L45" s="95" t="str">
        <f>CP!B454</f>
        <v>MARZO</v>
      </c>
      <c r="M45" s="95" t="str">
        <f>IFERROR(VLOOKUP(K45,PT[],2,FALSE),"NO EXISTE")</f>
        <v>PALMITO TROZO 400</v>
      </c>
      <c r="N45" s="441">
        <f>CP!D454</f>
        <v>0</v>
      </c>
      <c r="O45" s="94">
        <f>IFERROR(CP!E454,0*1)</f>
        <v>0</v>
      </c>
      <c r="P45" s="94">
        <f>ENTRADA_PT[[#This Row],[CANTIDAD]]*ENTRADA_PT[[#This Row],[COSTO UNITARIO]]</f>
        <v>0</v>
      </c>
      <c r="R45" s="267" t="str">
        <f>ENTRADA_PT[[#This Row],[CÓDIGO]]</f>
        <v>PT06</v>
      </c>
      <c r="S45" s="95" t="str">
        <f>ENTRADA_PT[[#This Row],[FECHA]]</f>
        <v>MARZO</v>
      </c>
      <c r="T45" s="1" t="str">
        <f>IFERROR(VLOOKUP(R45,PT[],2,FALSE),"NO EXISTE")</f>
        <v>PALMITO TROZO 400</v>
      </c>
      <c r="U45" s="591">
        <f>IFERROR(SALIDA_PT[[#This Row],[CANTIDAD]]/ENTRADA_PT[[#This Row],[CANTIDAD]],0%)</f>
        <v>0</v>
      </c>
      <c r="V45" s="633">
        <f>VPN!H11+VPE!H12</f>
        <v>0</v>
      </c>
      <c r="W45" s="93">
        <f>ENTRADA_PT[[#This Row],[COSTO UNITARIO]]</f>
        <v>0</v>
      </c>
      <c r="X45" s="147">
        <f t="shared" si="1"/>
        <v>0</v>
      </c>
    </row>
    <row r="46" spans="11:24" x14ac:dyDescent="0.35">
      <c r="K46" s="95" t="str">
        <f>CP!A455</f>
        <v>PT07</v>
      </c>
      <c r="L46" s="95" t="str">
        <f>CP!B455</f>
        <v>MARZO</v>
      </c>
      <c r="M46" s="95" t="str">
        <f>IFERROR(VLOOKUP(K46,PT[],2,FALSE),"NO EXISTE")</f>
        <v>PALMITO TROZO  A-10</v>
      </c>
      <c r="N46" s="441">
        <f>CP!D455</f>
        <v>0</v>
      </c>
      <c r="O46" s="94">
        <f>IFERROR(CP!E455,0*1)</f>
        <v>0</v>
      </c>
      <c r="P46" s="94">
        <f>ENTRADA_PT[[#This Row],[CANTIDAD]]*ENTRADA_PT[[#This Row],[COSTO UNITARIO]]</f>
        <v>0</v>
      </c>
      <c r="R46" s="267" t="str">
        <f>ENTRADA_PT[[#This Row],[CÓDIGO]]</f>
        <v>PT07</v>
      </c>
      <c r="S46" s="95" t="str">
        <f>ENTRADA_PT[[#This Row],[FECHA]]</f>
        <v>MARZO</v>
      </c>
      <c r="T46" s="1" t="str">
        <f>IFERROR(VLOOKUP(R46,PT[],2,FALSE),"NO EXISTE")</f>
        <v>PALMITO TROZO  A-10</v>
      </c>
      <c r="U46" s="591">
        <f>IFERROR(SALIDA_PT[[#This Row],[CANTIDAD]]/ENTRADA_PT[[#This Row],[CANTIDAD]],0%)</f>
        <v>0</v>
      </c>
      <c r="V46" s="633">
        <f>VPN!H12+VPE!H13</f>
        <v>0</v>
      </c>
      <c r="W46" s="93">
        <f>ENTRADA_PT[[#This Row],[COSTO UNITARIO]]</f>
        <v>0</v>
      </c>
      <c r="X46" s="147">
        <f t="shared" si="1"/>
        <v>0</v>
      </c>
    </row>
    <row r="47" spans="11:24" x14ac:dyDescent="0.35">
      <c r="K47" s="95" t="str">
        <f>CP!A456</f>
        <v>PT08</v>
      </c>
      <c r="L47" s="95" t="str">
        <f>CP!B456</f>
        <v>MARZO</v>
      </c>
      <c r="M47" s="95" t="str">
        <f>IFERROR(VLOOKUP(K47,PT[],2,FALSE),"NO EXISTE")</f>
        <v>PALMITO RODAJA  A-10</v>
      </c>
      <c r="N47" s="441">
        <f>CP!D456</f>
        <v>0</v>
      </c>
      <c r="O47" s="94">
        <f>IFERROR(CP!E456,0*1)</f>
        <v>0</v>
      </c>
      <c r="P47" s="94">
        <f>ENTRADA_PT[[#This Row],[CANTIDAD]]*ENTRADA_PT[[#This Row],[COSTO UNITARIO]]</f>
        <v>0</v>
      </c>
      <c r="R47" s="267" t="str">
        <f>ENTRADA_PT[[#This Row],[CÓDIGO]]</f>
        <v>PT08</v>
      </c>
      <c r="S47" s="95" t="str">
        <f>ENTRADA_PT[[#This Row],[FECHA]]</f>
        <v>MARZO</v>
      </c>
      <c r="T47" s="1" t="str">
        <f>IFERROR(VLOOKUP(R47,PT[],2,FALSE),"NO EXISTE")</f>
        <v>PALMITO RODAJA  A-10</v>
      </c>
      <c r="U47" s="591">
        <f>IFERROR(SALIDA_PT[[#This Row],[CANTIDAD]]/ENTRADA_PT[[#This Row],[CANTIDAD]],0%)</f>
        <v>0</v>
      </c>
      <c r="V47" s="633">
        <f>VPN!H13+VPE!H14</f>
        <v>0</v>
      </c>
      <c r="W47" s="93">
        <f>ENTRADA_PT[[#This Row],[COSTO UNITARIO]]</f>
        <v>0</v>
      </c>
      <c r="X47" s="147">
        <f t="shared" si="1"/>
        <v>0</v>
      </c>
    </row>
    <row r="48" spans="11:24" x14ac:dyDescent="0.35">
      <c r="K48" s="95" t="str">
        <f>CP!A457</f>
        <v>PT09</v>
      </c>
      <c r="L48" s="95" t="str">
        <f>CP!B457</f>
        <v>MARZO</v>
      </c>
      <c r="M48" s="95" t="str">
        <f>IFERROR(VLOOKUP(K48,PT[],2,FALSE),"NO EXISTE")</f>
        <v>PIÑA RODAJA 850</v>
      </c>
      <c r="N48" s="441">
        <f>CP!D457</f>
        <v>0</v>
      </c>
      <c r="O48" s="94">
        <f>IFERROR(CP!E457,0*1)</f>
        <v>0</v>
      </c>
      <c r="P48" s="94">
        <f>ENTRADA_PT[[#This Row],[CANTIDAD]]*ENTRADA_PT[[#This Row],[COSTO UNITARIO]]</f>
        <v>0</v>
      </c>
      <c r="R48" s="267" t="str">
        <f>ENTRADA_PT[[#This Row],[CÓDIGO]]</f>
        <v>PT09</v>
      </c>
      <c r="S48" s="95" t="str">
        <f>ENTRADA_PT[[#This Row],[FECHA]]</f>
        <v>MARZO</v>
      </c>
      <c r="T48" s="1" t="str">
        <f>IFERROR(VLOOKUP(R48,PT[],2,FALSE),"NO EXISTE")</f>
        <v>PIÑA RODAJA 850</v>
      </c>
      <c r="U48" s="591">
        <f>IFERROR(SALIDA_PT[[#This Row],[CANTIDAD]]/ENTRADA_PT[[#This Row],[CANTIDAD]],0%)</f>
        <v>0</v>
      </c>
      <c r="V48" s="633">
        <f>VPN!H16+VPE!H17</f>
        <v>0</v>
      </c>
      <c r="W48" s="93">
        <f>ENTRADA_PT[[#This Row],[COSTO UNITARIO]]</f>
        <v>0</v>
      </c>
      <c r="X48" s="147">
        <f t="shared" si="1"/>
        <v>0</v>
      </c>
    </row>
    <row r="49" spans="11:24" x14ac:dyDescent="0.35">
      <c r="K49" s="95" t="str">
        <f>CP!A458</f>
        <v>PT10</v>
      </c>
      <c r="L49" s="95" t="str">
        <f>CP!B458</f>
        <v>MARZO</v>
      </c>
      <c r="M49" s="95" t="str">
        <f>IFERROR(VLOOKUP(K49,PT[],2,FALSE),"NO EXISTE")</f>
        <v>PIÑA TROZO 850</v>
      </c>
      <c r="N49" s="441">
        <f>CP!D458</f>
        <v>0</v>
      </c>
      <c r="O49" s="94">
        <f>IFERROR(CP!E458,0*1)</f>
        <v>0</v>
      </c>
      <c r="P49" s="94">
        <f>ENTRADA_PT[[#This Row],[CANTIDAD]]*ENTRADA_PT[[#This Row],[COSTO UNITARIO]]</f>
        <v>0</v>
      </c>
      <c r="R49" s="267" t="str">
        <f>ENTRADA_PT[[#This Row],[CÓDIGO]]</f>
        <v>PT10</v>
      </c>
      <c r="S49" s="95" t="str">
        <f>ENTRADA_PT[[#This Row],[FECHA]]</f>
        <v>MARZO</v>
      </c>
      <c r="T49" s="1" t="str">
        <f>IFERROR(VLOOKUP(R49,PT[],2,FALSE),"NO EXISTE")</f>
        <v>PIÑA TROZO 850</v>
      </c>
      <c r="U49" s="591">
        <f>IFERROR(SALIDA_PT[[#This Row],[CANTIDAD]]/ENTRADA_PT[[#This Row],[CANTIDAD]],0%)</f>
        <v>0</v>
      </c>
      <c r="V49" s="633">
        <f>VPN!H17+VPE!H18</f>
        <v>0</v>
      </c>
      <c r="W49" s="93">
        <f>ENTRADA_PT[[#This Row],[COSTO UNITARIO]]</f>
        <v>0</v>
      </c>
      <c r="X49" s="147">
        <f t="shared" si="1"/>
        <v>0</v>
      </c>
    </row>
    <row r="50" spans="11:24" x14ac:dyDescent="0.35">
      <c r="K50" s="95" t="str">
        <f>CP!A459</f>
        <v>PT11</v>
      </c>
      <c r="L50" s="95" t="str">
        <f>CP!B459</f>
        <v>MARZO</v>
      </c>
      <c r="M50" s="95" t="str">
        <f>IFERROR(VLOOKUP(K50,PT[],2,FALSE),"NO EXISTE")</f>
        <v>PIÑA TROZO A-10</v>
      </c>
      <c r="N50" s="441">
        <f>CP!D459</f>
        <v>0</v>
      </c>
      <c r="O50" s="94">
        <f>IFERROR(CP!E459,0*1)</f>
        <v>0</v>
      </c>
      <c r="P50" s="94">
        <f>ENTRADA_PT[[#This Row],[CANTIDAD]]*ENTRADA_PT[[#This Row],[COSTO UNITARIO]]</f>
        <v>0</v>
      </c>
      <c r="R50" s="267" t="str">
        <f>ENTRADA_PT[[#This Row],[CÓDIGO]]</f>
        <v>PT11</v>
      </c>
      <c r="S50" s="95" t="str">
        <f>ENTRADA_PT[[#This Row],[FECHA]]</f>
        <v>MARZO</v>
      </c>
      <c r="T50" s="1" t="str">
        <f>IFERROR(VLOOKUP(R50,PT[],2,FALSE),"NO EXISTE")</f>
        <v>PIÑA TROZO A-10</v>
      </c>
      <c r="U50" s="591">
        <f>IFERROR(SALIDA_PT[[#This Row],[CANTIDAD]]/ENTRADA_PT[[#This Row],[CANTIDAD]],0%)</f>
        <v>0</v>
      </c>
      <c r="V50" s="633">
        <f>VPN!H18+VPE!H19</f>
        <v>0</v>
      </c>
      <c r="W50" s="93">
        <f>ENTRADA_PT[[#This Row],[COSTO UNITARIO]]</f>
        <v>0</v>
      </c>
      <c r="X50" s="147">
        <f t="shared" si="1"/>
        <v>0</v>
      </c>
    </row>
    <row r="51" spans="11:24" x14ac:dyDescent="0.35">
      <c r="K51" s="95" t="str">
        <f>CP!A460</f>
        <v>PT12</v>
      </c>
      <c r="L51" s="95" t="str">
        <f>CP!B460</f>
        <v>MARZO</v>
      </c>
      <c r="M51" s="95" t="str">
        <f>IFERROR(VLOOKUP(K51,PT[],2,FALSE),"NO EXISTE")</f>
        <v>PIÑA RODAJA A-10</v>
      </c>
      <c r="N51" s="441">
        <f>CP!D460</f>
        <v>0</v>
      </c>
      <c r="O51" s="94">
        <f>IFERROR(CP!E460,0*1)</f>
        <v>0</v>
      </c>
      <c r="P51" s="94">
        <f>ENTRADA_PT[[#This Row],[CANTIDAD]]*ENTRADA_PT[[#This Row],[COSTO UNITARIO]]</f>
        <v>0</v>
      </c>
      <c r="R51" s="267" t="str">
        <f>ENTRADA_PT[[#This Row],[CÓDIGO]]</f>
        <v>PT12</v>
      </c>
      <c r="S51" s="95" t="str">
        <f>ENTRADA_PT[[#This Row],[FECHA]]</f>
        <v>MARZO</v>
      </c>
      <c r="T51" s="1" t="str">
        <f>IFERROR(VLOOKUP(R51,PT[],2,FALSE),"NO EXISTE")</f>
        <v>PIÑA RODAJA A-10</v>
      </c>
      <c r="U51" s="591">
        <f>IFERROR(SALIDA_PT[[#This Row],[CANTIDAD]]/ENTRADA_PT[[#This Row],[CANTIDAD]],0%)</f>
        <v>0</v>
      </c>
      <c r="V51" s="633">
        <f>VPN!H19+VPE!H20</f>
        <v>0</v>
      </c>
      <c r="W51" s="93">
        <f>ENTRADA_PT[[#This Row],[COSTO UNITARIO]]</f>
        <v>0</v>
      </c>
      <c r="X51" s="147">
        <f t="shared" si="1"/>
        <v>0</v>
      </c>
    </row>
    <row r="52" spans="11:24" x14ac:dyDescent="0.35">
      <c r="K52" s="95" t="str">
        <f>CP!A461</f>
        <v>PT13</v>
      </c>
      <c r="L52" s="95" t="str">
        <f>CP!B461</f>
        <v>MARZO</v>
      </c>
      <c r="M52" s="95" t="str">
        <f>IFERROR(VLOOKUP(K52,PT[],2,FALSE),"NO EXISTE")</f>
        <v>PIÑA RODAJA 567</v>
      </c>
      <c r="N52" s="441">
        <f>CP!D461</f>
        <v>270000</v>
      </c>
      <c r="O52" s="94">
        <f>IFERROR(CP!E461,0*1)</f>
        <v>0.96041166831383962</v>
      </c>
      <c r="P52" s="94">
        <f>ENTRADA_PT[[#This Row],[CANTIDAD]]*ENTRADA_PT[[#This Row],[COSTO UNITARIO]]</f>
        <v>259311.1504447367</v>
      </c>
      <c r="R52" s="267" t="str">
        <f>ENTRADA_PT[[#This Row],[CÓDIGO]]</f>
        <v>PT13</v>
      </c>
      <c r="S52" s="95" t="str">
        <f>ENTRADA_PT[[#This Row],[FECHA]]</f>
        <v>MARZO</v>
      </c>
      <c r="T52" s="1" t="str">
        <f>IFERROR(VLOOKUP(R52,PT[],2,FALSE),"NO EXISTE")</f>
        <v>PIÑA RODAJA 567</v>
      </c>
      <c r="U52" s="591">
        <f>IFERROR(SALIDA_PT[[#This Row],[CANTIDAD]]/ENTRADA_PT[[#This Row],[CANTIDAD]],0%)</f>
        <v>1</v>
      </c>
      <c r="V52" s="633">
        <f>VPN!H20+VPE!H21</f>
        <v>270000</v>
      </c>
      <c r="W52" s="93">
        <f>ENTRADA_PT[[#This Row],[COSTO UNITARIO]]</f>
        <v>0.96041166831383962</v>
      </c>
      <c r="X52" s="147">
        <f t="shared" si="1"/>
        <v>259311.1504447367</v>
      </c>
    </row>
    <row r="53" spans="11:24" x14ac:dyDescent="0.35">
      <c r="K53" s="95" t="str">
        <f>CP!A462</f>
        <v>PT14</v>
      </c>
      <c r="L53" s="95" t="str">
        <f>CP!B462</f>
        <v>MARZO</v>
      </c>
      <c r="M53" s="95" t="str">
        <f>IFERROR(VLOOKUP(K53,PT[],2,FALSE),"NO EXISTE")</f>
        <v>PIÑA TROZO 567</v>
      </c>
      <c r="N53" s="441">
        <f>CP!D462</f>
        <v>108000</v>
      </c>
      <c r="O53" s="94">
        <f>IFERROR(CP!E462,0*1)</f>
        <v>0.9604116683138394</v>
      </c>
      <c r="P53" s="94">
        <f>ENTRADA_PT[[#This Row],[CANTIDAD]]*ENTRADA_PT[[#This Row],[COSTO UNITARIO]]</f>
        <v>103724.46017789465</v>
      </c>
      <c r="R53" s="267" t="str">
        <f>ENTRADA_PT[[#This Row],[CÓDIGO]]</f>
        <v>PT14</v>
      </c>
      <c r="S53" s="95" t="str">
        <f>ENTRADA_PT[[#This Row],[FECHA]]</f>
        <v>MARZO</v>
      </c>
      <c r="T53" s="1" t="str">
        <f>IFERROR(VLOOKUP(R53,PT[],2,FALSE),"NO EXISTE")</f>
        <v>PIÑA TROZO 567</v>
      </c>
      <c r="U53" s="591">
        <f>IFERROR(SALIDA_PT[[#This Row],[CANTIDAD]]/ENTRADA_PT[[#This Row],[CANTIDAD]],0%)</f>
        <v>1</v>
      </c>
      <c r="V53" s="633">
        <f>VPN!H21+VPE!H22</f>
        <v>108000</v>
      </c>
      <c r="W53" s="93">
        <f>ENTRADA_PT[[#This Row],[COSTO UNITARIO]]</f>
        <v>0.9604116683138394</v>
      </c>
      <c r="X53" s="147">
        <f t="shared" si="1"/>
        <v>103724.46017789465</v>
      </c>
    </row>
    <row r="54" spans="11:24" x14ac:dyDescent="0.35">
      <c r="K54" s="95" t="str">
        <f>CP!A463</f>
        <v>PT15</v>
      </c>
      <c r="L54" s="95" t="str">
        <f>CP!B463</f>
        <v>MARZO</v>
      </c>
      <c r="M54" s="95" t="str">
        <f>IFERROR(VLOOKUP(K54,PT[],2,FALSE),"NO EXISTE")</f>
        <v>PIÑA RODAJA 822</v>
      </c>
      <c r="N54" s="441">
        <f>CP!D463</f>
        <v>73440</v>
      </c>
      <c r="O54" s="94">
        <f>IFERROR(CP!E463,0*1)</f>
        <v>1.2984286501572693</v>
      </c>
      <c r="P54" s="94">
        <f>ENTRADA_PT[[#This Row],[CANTIDAD]]*ENTRADA_PT[[#This Row],[COSTO UNITARIO]]</f>
        <v>95356.600067549851</v>
      </c>
      <c r="R54" s="267" t="str">
        <f>ENTRADA_PT[[#This Row],[CÓDIGO]]</f>
        <v>PT15</v>
      </c>
      <c r="S54" s="95" t="str">
        <f>ENTRADA_PT[[#This Row],[FECHA]]</f>
        <v>MARZO</v>
      </c>
      <c r="T54" s="1" t="str">
        <f>IFERROR(VLOOKUP(R54,PT[],2,FALSE),"NO EXISTE")</f>
        <v>PIÑA RODAJA 822</v>
      </c>
      <c r="U54" s="591">
        <f>IFERROR(SALIDA_PT[[#This Row],[CANTIDAD]]/ENTRADA_PT[[#This Row],[CANTIDAD]],0%)</f>
        <v>1</v>
      </c>
      <c r="V54" s="633">
        <f>VPN!H22+VPE!H23</f>
        <v>73440</v>
      </c>
      <c r="W54" s="93">
        <f>ENTRADA_PT[[#This Row],[COSTO UNITARIO]]</f>
        <v>1.2984286501572693</v>
      </c>
      <c r="X54" s="147">
        <f t="shared" si="1"/>
        <v>95356.600067549851</v>
      </c>
    </row>
    <row r="55" spans="11:24" ht="16" thickBot="1" x14ac:dyDescent="0.4">
      <c r="K55" s="95" t="str">
        <f>CP!A464</f>
        <v>PT16</v>
      </c>
      <c r="L55" s="95" t="str">
        <f>CP!B464</f>
        <v>MARZO</v>
      </c>
      <c r="M55" s="95" t="str">
        <f>IFERROR(VLOOKUP(K55,PT[],2,FALSE),"NO EXISTE")</f>
        <v>PIÑA TROZO 822</v>
      </c>
      <c r="N55" s="441">
        <f>CP!D464</f>
        <v>36720</v>
      </c>
      <c r="O55" s="94">
        <f>IFERROR(CP!E464,0*1)</f>
        <v>1.2984286501572693</v>
      </c>
      <c r="P55" s="94">
        <f>ENTRADA_PT[[#This Row],[CANTIDAD]]*ENTRADA_PT[[#This Row],[COSTO UNITARIO]]</f>
        <v>47678.300033774925</v>
      </c>
      <c r="R55" s="268" t="str">
        <f>ENTRADA_PT[[#This Row],[CÓDIGO]]</f>
        <v>PT16</v>
      </c>
      <c r="S55" s="126" t="str">
        <f>ENTRADA_PT[[#This Row],[FECHA]]</f>
        <v>MARZO</v>
      </c>
      <c r="T55" s="77" t="str">
        <f>IFERROR(VLOOKUP(R55,PT[],2,FALSE),"NO EXISTE")</f>
        <v>PIÑA TROZO 822</v>
      </c>
      <c r="U55" s="632">
        <f>IFERROR(SALIDA_PT[[#This Row],[CANTIDAD]]/ENTRADA_PT[[#This Row],[CANTIDAD]],0%)</f>
        <v>1</v>
      </c>
      <c r="V55" s="634">
        <f>VPN!H23+VPE!H24</f>
        <v>36720</v>
      </c>
      <c r="W55" s="560">
        <f>ENTRADA_PT[[#This Row],[COSTO UNITARIO]]</f>
        <v>1.2984286501572693</v>
      </c>
      <c r="X55" s="281">
        <f t="shared" si="1"/>
        <v>47678.300033774925</v>
      </c>
    </row>
    <row r="56" spans="11:24" x14ac:dyDescent="0.35">
      <c r="K56" s="95" t="str">
        <f>CP!A465</f>
        <v>PT01</v>
      </c>
      <c r="L56" s="95" t="str">
        <f>CP!B465</f>
        <v>ABRIL</v>
      </c>
      <c r="M56" s="95" t="str">
        <f>IFERROR(VLOOKUP(K56,PT[],2,FALSE),"NO EXISTE")</f>
        <v xml:space="preserve">PALMITO ENTERO 800 </v>
      </c>
      <c r="N56" s="441">
        <f>CP!D465</f>
        <v>0</v>
      </c>
      <c r="O56" s="94">
        <f>IFERROR(CP!E465,0*1)</f>
        <v>0</v>
      </c>
      <c r="P56" s="94">
        <f>ENTRADA_PT[[#This Row],[CANTIDAD]]*ENTRADA_PT[[#This Row],[COSTO UNITARIO]]</f>
        <v>0</v>
      </c>
      <c r="R56" s="265" t="str">
        <f>ENTRADA_PT[[#This Row],[CÓDIGO]]</f>
        <v>PT01</v>
      </c>
      <c r="S56" s="266" t="str">
        <f>ENTRADA_PT[[#This Row],[FECHA]]</f>
        <v>ABRIL</v>
      </c>
      <c r="T56" s="278" t="str">
        <f>IFERROR(VLOOKUP(R56,PT[],2,FALSE),"NO EXISTE")</f>
        <v xml:space="preserve">PALMITO ENTERO 800 </v>
      </c>
      <c r="U56" s="631">
        <f>IFERROR(SALIDA_PT[[#This Row],[CANTIDAD]]/ENTRADA_PT[[#This Row],[CANTIDAD]],0%)</f>
        <v>0</v>
      </c>
      <c r="V56" s="413">
        <f>VPN!I6+VPE!I7</f>
        <v>0</v>
      </c>
      <c r="W56" s="140">
        <f>ENTRADA_PT[[#This Row],[COSTO UNITARIO]]</f>
        <v>0</v>
      </c>
      <c r="X56" s="142">
        <f t="shared" si="1"/>
        <v>0</v>
      </c>
    </row>
    <row r="57" spans="11:24" x14ac:dyDescent="0.35">
      <c r="K57" s="95" t="str">
        <f>CP!A466</f>
        <v>PT02</v>
      </c>
      <c r="L57" s="95" t="str">
        <f>CP!B466</f>
        <v>ABRIL</v>
      </c>
      <c r="M57" s="95" t="str">
        <f>IFERROR(VLOOKUP(K57,PT[],2,FALSE),"NO EXISTE")</f>
        <v>PALMITO RODAJA 800</v>
      </c>
      <c r="N57" s="441">
        <f>CP!D466</f>
        <v>0</v>
      </c>
      <c r="O57" s="94">
        <f>IFERROR(CP!E466,0*1)</f>
        <v>0</v>
      </c>
      <c r="P57" s="94">
        <f>ENTRADA_PT[[#This Row],[CANTIDAD]]*ENTRADA_PT[[#This Row],[COSTO UNITARIO]]</f>
        <v>0</v>
      </c>
      <c r="R57" s="267" t="str">
        <f>ENTRADA_PT[[#This Row],[CÓDIGO]]</f>
        <v>PT02</v>
      </c>
      <c r="S57" s="95" t="str">
        <f>ENTRADA_PT[[#This Row],[FECHA]]</f>
        <v>ABRIL</v>
      </c>
      <c r="T57" s="1" t="str">
        <f>IFERROR(VLOOKUP(R57,PT[],2,FALSE),"NO EXISTE")</f>
        <v>PALMITO RODAJA 800</v>
      </c>
      <c r="U57" s="591">
        <f>IFERROR(SALIDA_PT[[#This Row],[CANTIDAD]]/ENTRADA_PT[[#This Row],[CANTIDAD]],0%)</f>
        <v>0</v>
      </c>
      <c r="V57" s="633">
        <f>VPN!I7+VPE!I8</f>
        <v>0</v>
      </c>
      <c r="W57" s="93">
        <f>ENTRADA_PT[[#This Row],[COSTO UNITARIO]]</f>
        <v>0</v>
      </c>
      <c r="X57" s="147">
        <f t="shared" si="1"/>
        <v>0</v>
      </c>
    </row>
    <row r="58" spans="11:24" x14ac:dyDescent="0.35">
      <c r="K58" s="95" t="str">
        <f>CP!A467</f>
        <v>PT03</v>
      </c>
      <c r="L58" s="95" t="str">
        <f>CP!B467</f>
        <v>ABRIL</v>
      </c>
      <c r="M58" s="95" t="str">
        <f>IFERROR(VLOOKUP(K58,PT[],2,FALSE),"NO EXISTE")</f>
        <v>PALMITO TROZO 800</v>
      </c>
      <c r="N58" s="441">
        <f>CP!D467</f>
        <v>0</v>
      </c>
      <c r="O58" s="94">
        <f>IFERROR(CP!E467,0*1)</f>
        <v>0</v>
      </c>
      <c r="P58" s="94">
        <f>ENTRADA_PT[[#This Row],[CANTIDAD]]*ENTRADA_PT[[#This Row],[COSTO UNITARIO]]</f>
        <v>0</v>
      </c>
      <c r="R58" s="267" t="str">
        <f>ENTRADA_PT[[#This Row],[CÓDIGO]]</f>
        <v>PT03</v>
      </c>
      <c r="S58" s="95" t="str">
        <f>ENTRADA_PT[[#This Row],[FECHA]]</f>
        <v>ABRIL</v>
      </c>
      <c r="T58" s="1" t="str">
        <f>IFERROR(VLOOKUP(R58,PT[],2,FALSE),"NO EXISTE")</f>
        <v>PALMITO TROZO 800</v>
      </c>
      <c r="U58" s="591">
        <f>IFERROR(SALIDA_PT[[#This Row],[CANTIDAD]]/ENTRADA_PT[[#This Row],[CANTIDAD]],0%)</f>
        <v>0</v>
      </c>
      <c r="V58" s="633">
        <f>VPN!I8+VPE!I9</f>
        <v>0</v>
      </c>
      <c r="W58" s="93">
        <f>ENTRADA_PT[[#This Row],[COSTO UNITARIO]]</f>
        <v>0</v>
      </c>
      <c r="X58" s="147">
        <f t="shared" si="1"/>
        <v>0</v>
      </c>
    </row>
    <row r="59" spans="11:24" x14ac:dyDescent="0.35">
      <c r="K59" s="95" t="str">
        <f>CP!A468</f>
        <v>PT04</v>
      </c>
      <c r="L59" s="95" t="str">
        <f>CP!B468</f>
        <v>ABRIL</v>
      </c>
      <c r="M59" s="95" t="str">
        <f>IFERROR(VLOOKUP(K59,PT[],2,FALSE),"NO EXISTE")</f>
        <v>PALMITO ENTERO 400</v>
      </c>
      <c r="N59" s="441">
        <f>CP!D468</f>
        <v>0</v>
      </c>
      <c r="O59" s="94">
        <f>IFERROR(CP!E468,0*1)</f>
        <v>0</v>
      </c>
      <c r="P59" s="94">
        <f>ENTRADA_PT[[#This Row],[CANTIDAD]]*ENTRADA_PT[[#This Row],[COSTO UNITARIO]]</f>
        <v>0</v>
      </c>
      <c r="R59" s="267" t="str">
        <f>ENTRADA_PT[[#This Row],[CÓDIGO]]</f>
        <v>PT04</v>
      </c>
      <c r="S59" s="95" t="str">
        <f>ENTRADA_PT[[#This Row],[FECHA]]</f>
        <v>ABRIL</v>
      </c>
      <c r="T59" s="1" t="str">
        <f>IFERROR(VLOOKUP(R59,PT[],2,FALSE),"NO EXISTE")</f>
        <v>PALMITO ENTERO 400</v>
      </c>
      <c r="U59" s="591">
        <f>IFERROR(SALIDA_PT[[#This Row],[CANTIDAD]]/ENTRADA_PT[[#This Row],[CANTIDAD]],0%)</f>
        <v>0</v>
      </c>
      <c r="V59" s="633">
        <f>VPN!I9+VPE!I10</f>
        <v>0</v>
      </c>
      <c r="W59" s="93">
        <f>ENTRADA_PT[[#This Row],[COSTO UNITARIO]]</f>
        <v>0</v>
      </c>
      <c r="X59" s="147">
        <f t="shared" si="1"/>
        <v>0</v>
      </c>
    </row>
    <row r="60" spans="11:24" x14ac:dyDescent="0.35">
      <c r="K60" s="95" t="str">
        <f>CP!A469</f>
        <v>PT05</v>
      </c>
      <c r="L60" s="95" t="str">
        <f>CP!B469</f>
        <v>ABRIL</v>
      </c>
      <c r="M60" s="95" t="str">
        <f>IFERROR(VLOOKUP(K60,PT[],2,FALSE),"NO EXISTE")</f>
        <v>PALMITO RODAJA 400</v>
      </c>
      <c r="N60" s="441">
        <f>CP!D469</f>
        <v>0</v>
      </c>
      <c r="O60" s="94">
        <f>IFERROR(CP!E469,0*1)</f>
        <v>0</v>
      </c>
      <c r="P60" s="94">
        <f>ENTRADA_PT[[#This Row],[CANTIDAD]]*ENTRADA_PT[[#This Row],[COSTO UNITARIO]]</f>
        <v>0</v>
      </c>
      <c r="R60" s="267" t="str">
        <f>ENTRADA_PT[[#This Row],[CÓDIGO]]</f>
        <v>PT05</v>
      </c>
      <c r="S60" s="95" t="str">
        <f>ENTRADA_PT[[#This Row],[FECHA]]</f>
        <v>ABRIL</v>
      </c>
      <c r="T60" s="1" t="str">
        <f>IFERROR(VLOOKUP(R60,PT[],2,FALSE),"NO EXISTE")</f>
        <v>PALMITO RODAJA 400</v>
      </c>
      <c r="U60" s="591">
        <f>IFERROR(SALIDA_PT[[#This Row],[CANTIDAD]]/ENTRADA_PT[[#This Row],[CANTIDAD]],0%)</f>
        <v>0</v>
      </c>
      <c r="V60" s="633">
        <f>VPN!I10+VPE!I11</f>
        <v>0</v>
      </c>
      <c r="W60" s="93">
        <f>ENTRADA_PT[[#This Row],[COSTO UNITARIO]]</f>
        <v>0</v>
      </c>
      <c r="X60" s="147">
        <f t="shared" si="1"/>
        <v>0</v>
      </c>
    </row>
    <row r="61" spans="11:24" x14ac:dyDescent="0.35">
      <c r="K61" s="95" t="str">
        <f>CP!A470</f>
        <v>PT06</v>
      </c>
      <c r="L61" s="95" t="str">
        <f>CP!B470</f>
        <v>ABRIL</v>
      </c>
      <c r="M61" s="95" t="str">
        <f>IFERROR(VLOOKUP(K61,PT[],2,FALSE),"NO EXISTE")</f>
        <v>PALMITO TROZO 400</v>
      </c>
      <c r="N61" s="441">
        <f>CP!D470</f>
        <v>0</v>
      </c>
      <c r="O61" s="94">
        <f>IFERROR(CP!E470,0*1)</f>
        <v>0</v>
      </c>
      <c r="P61" s="94">
        <f>ENTRADA_PT[[#This Row],[CANTIDAD]]*ENTRADA_PT[[#This Row],[COSTO UNITARIO]]</f>
        <v>0</v>
      </c>
      <c r="R61" s="267" t="str">
        <f>ENTRADA_PT[[#This Row],[CÓDIGO]]</f>
        <v>PT06</v>
      </c>
      <c r="S61" s="95" t="str">
        <f>ENTRADA_PT[[#This Row],[FECHA]]</f>
        <v>ABRIL</v>
      </c>
      <c r="T61" s="1" t="str">
        <f>IFERROR(VLOOKUP(R61,PT[],2,FALSE),"NO EXISTE")</f>
        <v>PALMITO TROZO 400</v>
      </c>
      <c r="U61" s="591">
        <f>IFERROR(SALIDA_PT[[#This Row],[CANTIDAD]]/ENTRADA_PT[[#This Row],[CANTIDAD]],0%)</f>
        <v>0</v>
      </c>
      <c r="V61" s="633">
        <f>VPN!I11+VPE!I12</f>
        <v>0</v>
      </c>
      <c r="W61" s="93">
        <f>ENTRADA_PT[[#This Row],[COSTO UNITARIO]]</f>
        <v>0</v>
      </c>
      <c r="X61" s="147">
        <f t="shared" si="1"/>
        <v>0</v>
      </c>
    </row>
    <row r="62" spans="11:24" x14ac:dyDescent="0.35">
      <c r="K62" s="95" t="str">
        <f>CP!A471</f>
        <v>PT07</v>
      </c>
      <c r="L62" s="95" t="str">
        <f>CP!B471</f>
        <v>ABRIL</v>
      </c>
      <c r="M62" s="95" t="str">
        <f>IFERROR(VLOOKUP(K62,PT[],2,FALSE),"NO EXISTE")</f>
        <v>PALMITO TROZO  A-10</v>
      </c>
      <c r="N62" s="441">
        <f>CP!D471</f>
        <v>0</v>
      </c>
      <c r="O62" s="94">
        <f>IFERROR(CP!E471,0*1)</f>
        <v>0</v>
      </c>
      <c r="P62" s="94">
        <f>ENTRADA_PT[[#This Row],[CANTIDAD]]*ENTRADA_PT[[#This Row],[COSTO UNITARIO]]</f>
        <v>0</v>
      </c>
      <c r="R62" s="267" t="str">
        <f>ENTRADA_PT[[#This Row],[CÓDIGO]]</f>
        <v>PT07</v>
      </c>
      <c r="S62" s="95" t="str">
        <f>ENTRADA_PT[[#This Row],[FECHA]]</f>
        <v>ABRIL</v>
      </c>
      <c r="T62" s="1" t="str">
        <f>IFERROR(VLOOKUP(R62,PT[],2,FALSE),"NO EXISTE")</f>
        <v>PALMITO TROZO  A-10</v>
      </c>
      <c r="U62" s="591">
        <f>IFERROR(SALIDA_PT[[#This Row],[CANTIDAD]]/ENTRADA_PT[[#This Row],[CANTIDAD]],0%)</f>
        <v>0</v>
      </c>
      <c r="V62" s="633">
        <f>VPN!I12+VPE!I13</f>
        <v>0</v>
      </c>
      <c r="W62" s="93">
        <f>ENTRADA_PT[[#This Row],[COSTO UNITARIO]]</f>
        <v>0</v>
      </c>
      <c r="X62" s="147">
        <f t="shared" si="1"/>
        <v>0</v>
      </c>
    </row>
    <row r="63" spans="11:24" x14ac:dyDescent="0.35">
      <c r="K63" s="95" t="str">
        <f>CP!A472</f>
        <v>PT08</v>
      </c>
      <c r="L63" s="95" t="str">
        <f>CP!B472</f>
        <v>ABRIL</v>
      </c>
      <c r="M63" s="95" t="str">
        <f>IFERROR(VLOOKUP(K63,PT[],2,FALSE),"NO EXISTE")</f>
        <v>PALMITO RODAJA  A-10</v>
      </c>
      <c r="N63" s="441">
        <f>CP!D472</f>
        <v>0</v>
      </c>
      <c r="O63" s="94">
        <f>IFERROR(CP!E472,0*1)</f>
        <v>0</v>
      </c>
      <c r="P63" s="94">
        <f>ENTRADA_PT[[#This Row],[CANTIDAD]]*ENTRADA_PT[[#This Row],[COSTO UNITARIO]]</f>
        <v>0</v>
      </c>
      <c r="R63" s="267" t="str">
        <f>ENTRADA_PT[[#This Row],[CÓDIGO]]</f>
        <v>PT08</v>
      </c>
      <c r="S63" s="95" t="str">
        <f>ENTRADA_PT[[#This Row],[FECHA]]</f>
        <v>ABRIL</v>
      </c>
      <c r="T63" s="1" t="str">
        <f>IFERROR(VLOOKUP(R63,PT[],2,FALSE),"NO EXISTE")</f>
        <v>PALMITO RODAJA  A-10</v>
      </c>
      <c r="U63" s="591">
        <f>IFERROR(SALIDA_PT[[#This Row],[CANTIDAD]]/ENTRADA_PT[[#This Row],[CANTIDAD]],0%)</f>
        <v>0</v>
      </c>
      <c r="V63" s="633">
        <f>VPN!I13+VPE!I14</f>
        <v>0</v>
      </c>
      <c r="W63" s="93">
        <f>ENTRADA_PT[[#This Row],[COSTO UNITARIO]]</f>
        <v>0</v>
      </c>
      <c r="X63" s="147">
        <f t="shared" si="1"/>
        <v>0</v>
      </c>
    </row>
    <row r="64" spans="11:24" x14ac:dyDescent="0.35">
      <c r="K64" s="95" t="str">
        <f>CP!A473</f>
        <v>PT09</v>
      </c>
      <c r="L64" s="95" t="str">
        <f>CP!B473</f>
        <v>ABRIL</v>
      </c>
      <c r="M64" s="95" t="str">
        <f>IFERROR(VLOOKUP(K64,PT[],2,FALSE),"NO EXISTE")</f>
        <v>PIÑA RODAJA 850</v>
      </c>
      <c r="N64" s="441">
        <f>CP!D473</f>
        <v>0</v>
      </c>
      <c r="O64" s="94">
        <f>IFERROR(CP!E473,0*1)</f>
        <v>0</v>
      </c>
      <c r="P64" s="94">
        <f>ENTRADA_PT[[#This Row],[CANTIDAD]]*ENTRADA_PT[[#This Row],[COSTO UNITARIO]]</f>
        <v>0</v>
      </c>
      <c r="R64" s="267" t="str">
        <f>ENTRADA_PT[[#This Row],[CÓDIGO]]</f>
        <v>PT09</v>
      </c>
      <c r="S64" s="95" t="str">
        <f>ENTRADA_PT[[#This Row],[FECHA]]</f>
        <v>ABRIL</v>
      </c>
      <c r="T64" s="1" t="str">
        <f>IFERROR(VLOOKUP(R64,PT[],2,FALSE),"NO EXISTE")</f>
        <v>PIÑA RODAJA 850</v>
      </c>
      <c r="U64" s="591">
        <f>IFERROR(SALIDA_PT[[#This Row],[CANTIDAD]]/ENTRADA_PT[[#This Row],[CANTIDAD]],0%)</f>
        <v>0</v>
      </c>
      <c r="V64" s="633">
        <f>VPN!I16+VPE!I17</f>
        <v>0</v>
      </c>
      <c r="W64" s="93">
        <f>ENTRADA_PT[[#This Row],[COSTO UNITARIO]]</f>
        <v>0</v>
      </c>
      <c r="X64" s="147">
        <f t="shared" si="1"/>
        <v>0</v>
      </c>
    </row>
    <row r="65" spans="11:24" x14ac:dyDescent="0.35">
      <c r="K65" s="95" t="str">
        <f>CP!A474</f>
        <v>PT10</v>
      </c>
      <c r="L65" s="95" t="str">
        <f>CP!B474</f>
        <v>ABRIL</v>
      </c>
      <c r="M65" s="95" t="str">
        <f>IFERROR(VLOOKUP(K65,PT[],2,FALSE),"NO EXISTE")</f>
        <v>PIÑA TROZO 850</v>
      </c>
      <c r="N65" s="441">
        <f>CP!D474</f>
        <v>0</v>
      </c>
      <c r="O65" s="94">
        <f>IFERROR(CP!E474,0*1)</f>
        <v>0</v>
      </c>
      <c r="P65" s="94">
        <f>ENTRADA_PT[[#This Row],[CANTIDAD]]*ENTRADA_PT[[#This Row],[COSTO UNITARIO]]</f>
        <v>0</v>
      </c>
      <c r="R65" s="267" t="str">
        <f>ENTRADA_PT[[#This Row],[CÓDIGO]]</f>
        <v>PT10</v>
      </c>
      <c r="S65" s="95" t="str">
        <f>ENTRADA_PT[[#This Row],[FECHA]]</f>
        <v>ABRIL</v>
      </c>
      <c r="T65" s="1" t="str">
        <f>IFERROR(VLOOKUP(R65,PT[],2,FALSE),"NO EXISTE")</f>
        <v>PIÑA TROZO 850</v>
      </c>
      <c r="U65" s="591">
        <f>IFERROR(SALIDA_PT[[#This Row],[CANTIDAD]]/ENTRADA_PT[[#This Row],[CANTIDAD]],0%)</f>
        <v>0</v>
      </c>
      <c r="V65" s="633">
        <f>VPN!I17+VPE!I18</f>
        <v>0</v>
      </c>
      <c r="W65" s="93">
        <f>ENTRADA_PT[[#This Row],[COSTO UNITARIO]]</f>
        <v>0</v>
      </c>
      <c r="X65" s="147">
        <f t="shared" si="1"/>
        <v>0</v>
      </c>
    </row>
    <row r="66" spans="11:24" x14ac:dyDescent="0.35">
      <c r="K66" s="95" t="str">
        <f>CP!A475</f>
        <v>PT11</v>
      </c>
      <c r="L66" s="95" t="str">
        <f>CP!B475</f>
        <v>ABRIL</v>
      </c>
      <c r="M66" s="95" t="str">
        <f>IFERROR(VLOOKUP(K66,PT[],2,FALSE),"NO EXISTE")</f>
        <v>PIÑA TROZO A-10</v>
      </c>
      <c r="N66" s="441">
        <f>CP!D475</f>
        <v>0</v>
      </c>
      <c r="O66" s="94">
        <f>IFERROR(CP!E475,0*1)</f>
        <v>0</v>
      </c>
      <c r="P66" s="94">
        <f>ENTRADA_PT[[#This Row],[CANTIDAD]]*ENTRADA_PT[[#This Row],[COSTO UNITARIO]]</f>
        <v>0</v>
      </c>
      <c r="R66" s="267" t="str">
        <f>ENTRADA_PT[[#This Row],[CÓDIGO]]</f>
        <v>PT11</v>
      </c>
      <c r="S66" s="95" t="str">
        <f>ENTRADA_PT[[#This Row],[FECHA]]</f>
        <v>ABRIL</v>
      </c>
      <c r="T66" s="1" t="str">
        <f>IFERROR(VLOOKUP(R66,PT[],2,FALSE),"NO EXISTE")</f>
        <v>PIÑA TROZO A-10</v>
      </c>
      <c r="U66" s="591">
        <f>IFERROR(SALIDA_PT[[#This Row],[CANTIDAD]]/ENTRADA_PT[[#This Row],[CANTIDAD]],0%)</f>
        <v>0</v>
      </c>
      <c r="V66" s="633">
        <f>VPN!I18+VPE!I19</f>
        <v>0</v>
      </c>
      <c r="W66" s="93">
        <f>ENTRADA_PT[[#This Row],[COSTO UNITARIO]]</f>
        <v>0</v>
      </c>
      <c r="X66" s="147">
        <f t="shared" si="1"/>
        <v>0</v>
      </c>
    </row>
    <row r="67" spans="11:24" x14ac:dyDescent="0.35">
      <c r="K67" s="95" t="str">
        <f>CP!A476</f>
        <v>PT12</v>
      </c>
      <c r="L67" s="95" t="str">
        <f>CP!B476</f>
        <v>ABRIL</v>
      </c>
      <c r="M67" s="95" t="str">
        <f>IFERROR(VLOOKUP(K67,PT[],2,FALSE),"NO EXISTE")</f>
        <v>PIÑA RODAJA A-10</v>
      </c>
      <c r="N67" s="441">
        <f>CP!D476</f>
        <v>0</v>
      </c>
      <c r="O67" s="94">
        <f>IFERROR(CP!E476,0*1)</f>
        <v>0</v>
      </c>
      <c r="P67" s="94">
        <f>ENTRADA_PT[[#This Row],[CANTIDAD]]*ENTRADA_PT[[#This Row],[COSTO UNITARIO]]</f>
        <v>0</v>
      </c>
      <c r="R67" s="267" t="str">
        <f>ENTRADA_PT[[#This Row],[CÓDIGO]]</f>
        <v>PT12</v>
      </c>
      <c r="S67" s="95" t="str">
        <f>ENTRADA_PT[[#This Row],[FECHA]]</f>
        <v>ABRIL</v>
      </c>
      <c r="T67" s="1" t="str">
        <f>IFERROR(VLOOKUP(R67,PT[],2,FALSE),"NO EXISTE")</f>
        <v>PIÑA RODAJA A-10</v>
      </c>
      <c r="U67" s="591">
        <f>IFERROR(SALIDA_PT[[#This Row],[CANTIDAD]]/ENTRADA_PT[[#This Row],[CANTIDAD]],0%)</f>
        <v>0</v>
      </c>
      <c r="V67" s="633">
        <f>VPN!I19+VPE!I20</f>
        <v>0</v>
      </c>
      <c r="W67" s="93">
        <f>ENTRADA_PT[[#This Row],[COSTO UNITARIO]]</f>
        <v>0</v>
      </c>
      <c r="X67" s="147">
        <f t="shared" si="1"/>
        <v>0</v>
      </c>
    </row>
    <row r="68" spans="11:24" x14ac:dyDescent="0.35">
      <c r="K68" s="95" t="str">
        <f>CP!A477</f>
        <v>PT13</v>
      </c>
      <c r="L68" s="95" t="str">
        <f>CP!B477</f>
        <v>ABRIL</v>
      </c>
      <c r="M68" s="95" t="str">
        <f>IFERROR(VLOOKUP(K68,PT[],2,FALSE),"NO EXISTE")</f>
        <v>PIÑA RODAJA 567</v>
      </c>
      <c r="N68" s="441">
        <f>CP!D477</f>
        <v>270000</v>
      </c>
      <c r="O68" s="94">
        <f>IFERROR(CP!E477,0*1)</f>
        <v>0.96041166831383962</v>
      </c>
      <c r="P68" s="94">
        <f>ENTRADA_PT[[#This Row],[CANTIDAD]]*ENTRADA_PT[[#This Row],[COSTO UNITARIO]]</f>
        <v>259311.1504447367</v>
      </c>
      <c r="R68" s="267" t="str">
        <f>ENTRADA_PT[[#This Row],[CÓDIGO]]</f>
        <v>PT13</v>
      </c>
      <c r="S68" s="95" t="str">
        <f>ENTRADA_PT[[#This Row],[FECHA]]</f>
        <v>ABRIL</v>
      </c>
      <c r="T68" s="1" t="str">
        <f>IFERROR(VLOOKUP(R68,PT[],2,FALSE),"NO EXISTE")</f>
        <v>PIÑA RODAJA 567</v>
      </c>
      <c r="U68" s="591">
        <f>IFERROR(SALIDA_PT[[#This Row],[CANTIDAD]]/ENTRADA_PT[[#This Row],[CANTIDAD]],0%)</f>
        <v>1</v>
      </c>
      <c r="V68" s="633">
        <f>VPN!I20+VPE!I21</f>
        <v>270000</v>
      </c>
      <c r="W68" s="93">
        <f>ENTRADA_PT[[#This Row],[COSTO UNITARIO]]</f>
        <v>0.96041166831383962</v>
      </c>
      <c r="X68" s="147">
        <f t="shared" si="1"/>
        <v>259311.1504447367</v>
      </c>
    </row>
    <row r="69" spans="11:24" x14ac:dyDescent="0.35">
      <c r="K69" s="95" t="str">
        <f>CP!A478</f>
        <v>PT14</v>
      </c>
      <c r="L69" s="95" t="str">
        <f>CP!B478</f>
        <v>ABRIL</v>
      </c>
      <c r="M69" s="95" t="str">
        <f>IFERROR(VLOOKUP(K69,PT[],2,FALSE),"NO EXISTE")</f>
        <v>PIÑA TROZO 567</v>
      </c>
      <c r="N69" s="441">
        <f>CP!D478</f>
        <v>108000</v>
      </c>
      <c r="O69" s="94">
        <f>IFERROR(CP!E478,0*1)</f>
        <v>0.9604116683138394</v>
      </c>
      <c r="P69" s="94">
        <f>ENTRADA_PT[[#This Row],[CANTIDAD]]*ENTRADA_PT[[#This Row],[COSTO UNITARIO]]</f>
        <v>103724.46017789465</v>
      </c>
      <c r="R69" s="267" t="str">
        <f>ENTRADA_PT[[#This Row],[CÓDIGO]]</f>
        <v>PT14</v>
      </c>
      <c r="S69" s="95" t="str">
        <f>ENTRADA_PT[[#This Row],[FECHA]]</f>
        <v>ABRIL</v>
      </c>
      <c r="T69" s="1" t="str">
        <f>IFERROR(VLOOKUP(R69,PT[],2,FALSE),"NO EXISTE")</f>
        <v>PIÑA TROZO 567</v>
      </c>
      <c r="U69" s="591">
        <f>IFERROR(SALIDA_PT[[#This Row],[CANTIDAD]]/ENTRADA_PT[[#This Row],[CANTIDAD]],0%)</f>
        <v>1</v>
      </c>
      <c r="V69" s="633">
        <f>VPN!I21+VPE!I22</f>
        <v>108000</v>
      </c>
      <c r="W69" s="93">
        <f>ENTRADA_PT[[#This Row],[COSTO UNITARIO]]</f>
        <v>0.9604116683138394</v>
      </c>
      <c r="X69" s="147">
        <f t="shared" si="1"/>
        <v>103724.46017789465</v>
      </c>
    </row>
    <row r="70" spans="11:24" x14ac:dyDescent="0.35">
      <c r="K70" s="95" t="str">
        <f>CP!A479</f>
        <v>PT15</v>
      </c>
      <c r="L70" s="95" t="str">
        <f>CP!B479</f>
        <v>ABRIL</v>
      </c>
      <c r="M70" s="95" t="str">
        <f>IFERROR(VLOOKUP(K70,PT[],2,FALSE),"NO EXISTE")</f>
        <v>PIÑA RODAJA 822</v>
      </c>
      <c r="N70" s="441">
        <f>CP!D479</f>
        <v>73440</v>
      </c>
      <c r="O70" s="94">
        <f>IFERROR(CP!E479,0*1)</f>
        <v>1.2984286501572693</v>
      </c>
      <c r="P70" s="94">
        <f>ENTRADA_PT[[#This Row],[CANTIDAD]]*ENTRADA_PT[[#This Row],[COSTO UNITARIO]]</f>
        <v>95356.600067549851</v>
      </c>
      <c r="R70" s="267" t="str">
        <f>ENTRADA_PT[[#This Row],[CÓDIGO]]</f>
        <v>PT15</v>
      </c>
      <c r="S70" s="95" t="str">
        <f>ENTRADA_PT[[#This Row],[FECHA]]</f>
        <v>ABRIL</v>
      </c>
      <c r="T70" s="1" t="str">
        <f>IFERROR(VLOOKUP(R70,PT[],2,FALSE),"NO EXISTE")</f>
        <v>PIÑA RODAJA 822</v>
      </c>
      <c r="U70" s="591">
        <f>IFERROR(SALIDA_PT[[#This Row],[CANTIDAD]]/ENTRADA_PT[[#This Row],[CANTIDAD]],0%)</f>
        <v>1</v>
      </c>
      <c r="V70" s="633">
        <f>VPN!I22+VPE!I23</f>
        <v>73440</v>
      </c>
      <c r="W70" s="93">
        <f>ENTRADA_PT[[#This Row],[COSTO UNITARIO]]</f>
        <v>1.2984286501572693</v>
      </c>
      <c r="X70" s="147">
        <f t="shared" si="1"/>
        <v>95356.600067549851</v>
      </c>
    </row>
    <row r="71" spans="11:24" ht="16" thickBot="1" x14ac:dyDescent="0.4">
      <c r="K71" s="95" t="str">
        <f>CP!A480</f>
        <v>PT16</v>
      </c>
      <c r="L71" s="95" t="str">
        <f>CP!B480</f>
        <v>ABRIL</v>
      </c>
      <c r="M71" s="95" t="str">
        <f>IFERROR(VLOOKUP(K71,PT[],2,FALSE),"NO EXISTE")</f>
        <v>PIÑA TROZO 822</v>
      </c>
      <c r="N71" s="441">
        <f>CP!D480</f>
        <v>36720</v>
      </c>
      <c r="O71" s="94">
        <f>IFERROR(CP!E480,0*1)</f>
        <v>1.2984286501572693</v>
      </c>
      <c r="P71" s="94">
        <f>ENTRADA_PT[[#This Row],[CANTIDAD]]*ENTRADA_PT[[#This Row],[COSTO UNITARIO]]</f>
        <v>47678.300033774925</v>
      </c>
      <c r="R71" s="268" t="str">
        <f>ENTRADA_PT[[#This Row],[CÓDIGO]]</f>
        <v>PT16</v>
      </c>
      <c r="S71" s="126" t="str">
        <f>ENTRADA_PT[[#This Row],[FECHA]]</f>
        <v>ABRIL</v>
      </c>
      <c r="T71" s="77" t="str">
        <f>IFERROR(VLOOKUP(R71,PT[],2,FALSE),"NO EXISTE")</f>
        <v>PIÑA TROZO 822</v>
      </c>
      <c r="U71" s="632">
        <f>IFERROR(SALIDA_PT[[#This Row],[CANTIDAD]]/ENTRADA_PT[[#This Row],[CANTIDAD]],0%)</f>
        <v>1</v>
      </c>
      <c r="V71" s="634">
        <f>VPN!I23+VPE!I24</f>
        <v>36720</v>
      </c>
      <c r="W71" s="560">
        <f>ENTRADA_PT[[#This Row],[COSTO UNITARIO]]</f>
        <v>1.2984286501572693</v>
      </c>
      <c r="X71" s="281">
        <f t="shared" si="1"/>
        <v>47678.300033774925</v>
      </c>
    </row>
    <row r="72" spans="11:24" x14ac:dyDescent="0.35">
      <c r="K72" s="95" t="str">
        <f>CP!A481</f>
        <v>PT01</v>
      </c>
      <c r="L72" s="95" t="str">
        <f>CP!B481</f>
        <v>MAYO</v>
      </c>
      <c r="M72" s="95" t="str">
        <f>IFERROR(VLOOKUP(K72,PT[],2,FALSE),"NO EXISTE")</f>
        <v xml:space="preserve">PALMITO ENTERO 800 </v>
      </c>
      <c r="N72" s="441">
        <f>CP!D481</f>
        <v>0</v>
      </c>
      <c r="O72" s="94">
        <f>IFERROR(CP!E481,0*1)</f>
        <v>0</v>
      </c>
      <c r="P72" s="94">
        <f>ENTRADA_PT[[#This Row],[CANTIDAD]]*ENTRADA_PT[[#This Row],[COSTO UNITARIO]]</f>
        <v>0</v>
      </c>
      <c r="R72" s="265" t="str">
        <f>ENTRADA_PT[[#This Row],[CÓDIGO]]</f>
        <v>PT01</v>
      </c>
      <c r="S72" s="266" t="str">
        <f>ENTRADA_PT[[#This Row],[FECHA]]</f>
        <v>MAYO</v>
      </c>
      <c r="T72" s="278" t="str">
        <f>IFERROR(VLOOKUP(R72,PT[],2,FALSE),"NO EXISTE")</f>
        <v xml:space="preserve">PALMITO ENTERO 800 </v>
      </c>
      <c r="U72" s="631">
        <f>IFERROR(SALIDA_PT[[#This Row],[CANTIDAD]]/ENTRADA_PT[[#This Row],[CANTIDAD]],0%)</f>
        <v>0</v>
      </c>
      <c r="V72" s="413">
        <f>VPN!J6+VPE!J7</f>
        <v>0</v>
      </c>
      <c r="W72" s="140">
        <f>ENTRADA_PT[[#This Row],[COSTO UNITARIO]]</f>
        <v>0</v>
      </c>
      <c r="X72" s="142">
        <f t="shared" si="1"/>
        <v>0</v>
      </c>
    </row>
    <row r="73" spans="11:24" x14ac:dyDescent="0.35">
      <c r="K73" s="95" t="str">
        <f>CP!A482</f>
        <v>PT02</v>
      </c>
      <c r="L73" s="95" t="str">
        <f>CP!B482</f>
        <v>MAYO</v>
      </c>
      <c r="M73" s="95" t="str">
        <f>IFERROR(VLOOKUP(K73,PT[],2,FALSE),"NO EXISTE")</f>
        <v>PALMITO RODAJA 800</v>
      </c>
      <c r="N73" s="441">
        <f>CP!D482</f>
        <v>0</v>
      </c>
      <c r="O73" s="94">
        <f>IFERROR(CP!E482,0*1)</f>
        <v>0</v>
      </c>
      <c r="P73" s="94">
        <f>ENTRADA_PT[[#This Row],[CANTIDAD]]*ENTRADA_PT[[#This Row],[COSTO UNITARIO]]</f>
        <v>0</v>
      </c>
      <c r="R73" s="267" t="str">
        <f>ENTRADA_PT[[#This Row],[CÓDIGO]]</f>
        <v>PT02</v>
      </c>
      <c r="S73" s="95" t="str">
        <f>ENTRADA_PT[[#This Row],[FECHA]]</f>
        <v>MAYO</v>
      </c>
      <c r="T73" s="1" t="str">
        <f>IFERROR(VLOOKUP(R73,PT[],2,FALSE),"NO EXISTE")</f>
        <v>PALMITO RODAJA 800</v>
      </c>
      <c r="U73" s="591">
        <f>IFERROR(SALIDA_PT[[#This Row],[CANTIDAD]]/ENTRADA_PT[[#This Row],[CANTIDAD]],0%)</f>
        <v>0</v>
      </c>
      <c r="V73" s="633">
        <f>VPN!J7+VPE!J8</f>
        <v>0</v>
      </c>
      <c r="W73" s="93">
        <f>ENTRADA_PT[[#This Row],[COSTO UNITARIO]]</f>
        <v>0</v>
      </c>
      <c r="X73" s="147">
        <f t="shared" si="1"/>
        <v>0</v>
      </c>
    </row>
    <row r="74" spans="11:24" x14ac:dyDescent="0.35">
      <c r="K74" s="95" t="str">
        <f>CP!A483</f>
        <v>PT03</v>
      </c>
      <c r="L74" s="95" t="str">
        <f>CP!B483</f>
        <v>MAYO</v>
      </c>
      <c r="M74" s="95" t="str">
        <f>IFERROR(VLOOKUP(K74,PT[],2,FALSE),"NO EXISTE")</f>
        <v>PALMITO TROZO 800</v>
      </c>
      <c r="N74" s="441">
        <f>CP!D483</f>
        <v>0</v>
      </c>
      <c r="O74" s="94">
        <f>IFERROR(CP!E483,0*1)</f>
        <v>0</v>
      </c>
      <c r="P74" s="94">
        <f>ENTRADA_PT[[#This Row],[CANTIDAD]]*ENTRADA_PT[[#This Row],[COSTO UNITARIO]]</f>
        <v>0</v>
      </c>
      <c r="R74" s="267" t="str">
        <f>ENTRADA_PT[[#This Row],[CÓDIGO]]</f>
        <v>PT03</v>
      </c>
      <c r="S74" s="95" t="str">
        <f>ENTRADA_PT[[#This Row],[FECHA]]</f>
        <v>MAYO</v>
      </c>
      <c r="T74" s="1" t="str">
        <f>IFERROR(VLOOKUP(R74,PT[],2,FALSE),"NO EXISTE")</f>
        <v>PALMITO TROZO 800</v>
      </c>
      <c r="U74" s="591">
        <f>IFERROR(SALIDA_PT[[#This Row],[CANTIDAD]]/ENTRADA_PT[[#This Row],[CANTIDAD]],0%)</f>
        <v>0</v>
      </c>
      <c r="V74" s="633">
        <f>VPN!J8+VPE!J9</f>
        <v>0</v>
      </c>
      <c r="W74" s="93">
        <f>ENTRADA_PT[[#This Row],[COSTO UNITARIO]]</f>
        <v>0</v>
      </c>
      <c r="X74" s="147">
        <f t="shared" si="1"/>
        <v>0</v>
      </c>
    </row>
    <row r="75" spans="11:24" x14ac:dyDescent="0.35">
      <c r="K75" s="95" t="str">
        <f>CP!A484</f>
        <v>PT04</v>
      </c>
      <c r="L75" s="95" t="str">
        <f>CP!B484</f>
        <v>MAYO</v>
      </c>
      <c r="M75" s="95" t="str">
        <f>IFERROR(VLOOKUP(K75,PT[],2,FALSE),"NO EXISTE")</f>
        <v>PALMITO ENTERO 400</v>
      </c>
      <c r="N75" s="441">
        <f>CP!D484</f>
        <v>0</v>
      </c>
      <c r="O75" s="94">
        <f>IFERROR(CP!E484,0*1)</f>
        <v>0</v>
      </c>
      <c r="P75" s="94">
        <f>ENTRADA_PT[[#This Row],[CANTIDAD]]*ENTRADA_PT[[#This Row],[COSTO UNITARIO]]</f>
        <v>0</v>
      </c>
      <c r="R75" s="267" t="str">
        <f>ENTRADA_PT[[#This Row],[CÓDIGO]]</f>
        <v>PT04</v>
      </c>
      <c r="S75" s="95" t="str">
        <f>ENTRADA_PT[[#This Row],[FECHA]]</f>
        <v>MAYO</v>
      </c>
      <c r="T75" s="1" t="str">
        <f>IFERROR(VLOOKUP(R75,PT[],2,FALSE),"NO EXISTE")</f>
        <v>PALMITO ENTERO 400</v>
      </c>
      <c r="U75" s="591">
        <f>IFERROR(SALIDA_PT[[#This Row],[CANTIDAD]]/ENTRADA_PT[[#This Row],[CANTIDAD]],0%)</f>
        <v>0</v>
      </c>
      <c r="V75" s="633">
        <f>VPN!J9+VPE!J10</f>
        <v>0</v>
      </c>
      <c r="W75" s="93">
        <f>ENTRADA_PT[[#This Row],[COSTO UNITARIO]]</f>
        <v>0</v>
      </c>
      <c r="X75" s="147">
        <f t="shared" si="1"/>
        <v>0</v>
      </c>
    </row>
    <row r="76" spans="11:24" x14ac:dyDescent="0.35">
      <c r="K76" s="95" t="str">
        <f>CP!A485</f>
        <v>PT05</v>
      </c>
      <c r="L76" s="95" t="str">
        <f>CP!B485</f>
        <v>MAYO</v>
      </c>
      <c r="M76" s="95" t="str">
        <f>IFERROR(VLOOKUP(K76,PT[],2,FALSE),"NO EXISTE")</f>
        <v>PALMITO RODAJA 400</v>
      </c>
      <c r="N76" s="441">
        <f>CP!D485</f>
        <v>0</v>
      </c>
      <c r="O76" s="94">
        <f>IFERROR(CP!E485,0*1)</f>
        <v>0</v>
      </c>
      <c r="P76" s="94">
        <f>ENTRADA_PT[[#This Row],[CANTIDAD]]*ENTRADA_PT[[#This Row],[COSTO UNITARIO]]</f>
        <v>0</v>
      </c>
      <c r="R76" s="267" t="str">
        <f>ENTRADA_PT[[#This Row],[CÓDIGO]]</f>
        <v>PT05</v>
      </c>
      <c r="S76" s="95" t="str">
        <f>ENTRADA_PT[[#This Row],[FECHA]]</f>
        <v>MAYO</v>
      </c>
      <c r="T76" s="1" t="str">
        <f>IFERROR(VLOOKUP(R76,PT[],2,FALSE),"NO EXISTE")</f>
        <v>PALMITO RODAJA 400</v>
      </c>
      <c r="U76" s="591">
        <f>IFERROR(SALIDA_PT[[#This Row],[CANTIDAD]]/ENTRADA_PT[[#This Row],[CANTIDAD]],0%)</f>
        <v>0</v>
      </c>
      <c r="V76" s="633">
        <f>VPN!J10+VPE!J11</f>
        <v>0</v>
      </c>
      <c r="W76" s="93">
        <f>ENTRADA_PT[[#This Row],[COSTO UNITARIO]]</f>
        <v>0</v>
      </c>
      <c r="X76" s="147">
        <f t="shared" si="1"/>
        <v>0</v>
      </c>
    </row>
    <row r="77" spans="11:24" x14ac:dyDescent="0.35">
      <c r="K77" s="95" t="str">
        <f>CP!A486</f>
        <v>PT06</v>
      </c>
      <c r="L77" s="95" t="str">
        <f>CP!B486</f>
        <v>MAYO</v>
      </c>
      <c r="M77" s="95" t="str">
        <f>IFERROR(VLOOKUP(K77,PT[],2,FALSE),"NO EXISTE")</f>
        <v>PALMITO TROZO 400</v>
      </c>
      <c r="N77" s="441">
        <f>CP!D486</f>
        <v>0</v>
      </c>
      <c r="O77" s="94">
        <f>IFERROR(CP!E486,0*1)</f>
        <v>0</v>
      </c>
      <c r="P77" s="94">
        <f>ENTRADA_PT[[#This Row],[CANTIDAD]]*ENTRADA_PT[[#This Row],[COSTO UNITARIO]]</f>
        <v>0</v>
      </c>
      <c r="R77" s="267" t="str">
        <f>ENTRADA_PT[[#This Row],[CÓDIGO]]</f>
        <v>PT06</v>
      </c>
      <c r="S77" s="95" t="str">
        <f>ENTRADA_PT[[#This Row],[FECHA]]</f>
        <v>MAYO</v>
      </c>
      <c r="T77" s="1" t="str">
        <f>IFERROR(VLOOKUP(R77,PT[],2,FALSE),"NO EXISTE")</f>
        <v>PALMITO TROZO 400</v>
      </c>
      <c r="U77" s="591">
        <f>IFERROR(SALIDA_PT[[#This Row],[CANTIDAD]]/ENTRADA_PT[[#This Row],[CANTIDAD]],0%)</f>
        <v>0</v>
      </c>
      <c r="V77" s="633">
        <f>VPN!J11+VPE!J12</f>
        <v>0</v>
      </c>
      <c r="W77" s="93">
        <f>ENTRADA_PT[[#This Row],[COSTO UNITARIO]]</f>
        <v>0</v>
      </c>
      <c r="X77" s="147">
        <f t="shared" si="1"/>
        <v>0</v>
      </c>
    </row>
    <row r="78" spans="11:24" x14ac:dyDescent="0.35">
      <c r="K78" s="95" t="str">
        <f>CP!A487</f>
        <v>PT07</v>
      </c>
      <c r="L78" s="95" t="str">
        <f>CP!B487</f>
        <v>MAYO</v>
      </c>
      <c r="M78" s="95" t="str">
        <f>IFERROR(VLOOKUP(K78,PT[],2,FALSE),"NO EXISTE")</f>
        <v>PALMITO TROZO  A-10</v>
      </c>
      <c r="N78" s="441">
        <f>CP!D487</f>
        <v>0</v>
      </c>
      <c r="O78" s="94">
        <f>IFERROR(CP!E487,0*1)</f>
        <v>0</v>
      </c>
      <c r="P78" s="94">
        <f>ENTRADA_PT[[#This Row],[CANTIDAD]]*ENTRADA_PT[[#This Row],[COSTO UNITARIO]]</f>
        <v>0</v>
      </c>
      <c r="R78" s="267" t="str">
        <f>ENTRADA_PT[[#This Row],[CÓDIGO]]</f>
        <v>PT07</v>
      </c>
      <c r="S78" s="95" t="str">
        <f>ENTRADA_PT[[#This Row],[FECHA]]</f>
        <v>MAYO</v>
      </c>
      <c r="T78" s="1" t="str">
        <f>IFERROR(VLOOKUP(R78,PT[],2,FALSE),"NO EXISTE")</f>
        <v>PALMITO TROZO  A-10</v>
      </c>
      <c r="U78" s="591">
        <f>IFERROR(SALIDA_PT[[#This Row],[CANTIDAD]]/ENTRADA_PT[[#This Row],[CANTIDAD]],0%)</f>
        <v>0</v>
      </c>
      <c r="V78" s="633">
        <f>VPN!J12+VPE!J13</f>
        <v>0</v>
      </c>
      <c r="W78" s="93">
        <f>ENTRADA_PT[[#This Row],[COSTO UNITARIO]]</f>
        <v>0</v>
      </c>
      <c r="X78" s="147">
        <f t="shared" si="1"/>
        <v>0</v>
      </c>
    </row>
    <row r="79" spans="11:24" x14ac:dyDescent="0.35">
      <c r="K79" s="95" t="str">
        <f>CP!A488</f>
        <v>PT08</v>
      </c>
      <c r="L79" s="95" t="str">
        <f>CP!B488</f>
        <v>MAYO</v>
      </c>
      <c r="M79" s="95" t="str">
        <f>IFERROR(VLOOKUP(K79,PT[],2,FALSE),"NO EXISTE")</f>
        <v>PALMITO RODAJA  A-10</v>
      </c>
      <c r="N79" s="441">
        <f>CP!D488</f>
        <v>0</v>
      </c>
      <c r="O79" s="94">
        <f>IFERROR(CP!E488,0*1)</f>
        <v>0</v>
      </c>
      <c r="P79" s="94">
        <f>ENTRADA_PT[[#This Row],[CANTIDAD]]*ENTRADA_PT[[#This Row],[COSTO UNITARIO]]</f>
        <v>0</v>
      </c>
      <c r="R79" s="267" t="str">
        <f>ENTRADA_PT[[#This Row],[CÓDIGO]]</f>
        <v>PT08</v>
      </c>
      <c r="S79" s="95" t="str">
        <f>ENTRADA_PT[[#This Row],[FECHA]]</f>
        <v>MAYO</v>
      </c>
      <c r="T79" s="1" t="str">
        <f>IFERROR(VLOOKUP(R79,PT[],2,FALSE),"NO EXISTE")</f>
        <v>PALMITO RODAJA  A-10</v>
      </c>
      <c r="U79" s="591">
        <f>IFERROR(SALIDA_PT[[#This Row],[CANTIDAD]]/ENTRADA_PT[[#This Row],[CANTIDAD]],0%)</f>
        <v>0</v>
      </c>
      <c r="V79" s="633">
        <f>VPN!J13+VPE!J14</f>
        <v>0</v>
      </c>
      <c r="W79" s="93">
        <f>ENTRADA_PT[[#This Row],[COSTO UNITARIO]]</f>
        <v>0</v>
      </c>
      <c r="X79" s="147">
        <f t="shared" si="1"/>
        <v>0</v>
      </c>
    </row>
    <row r="80" spans="11:24" x14ac:dyDescent="0.35">
      <c r="K80" s="95" t="str">
        <f>CP!A489</f>
        <v>PT09</v>
      </c>
      <c r="L80" s="95" t="str">
        <f>CP!B489</f>
        <v>MAYO</v>
      </c>
      <c r="M80" s="95" t="str">
        <f>IFERROR(VLOOKUP(K80,PT[],2,FALSE),"NO EXISTE")</f>
        <v>PIÑA RODAJA 850</v>
      </c>
      <c r="N80" s="441">
        <f>CP!D489</f>
        <v>0</v>
      </c>
      <c r="O80" s="94">
        <f>IFERROR(CP!E489,0*1)</f>
        <v>0</v>
      </c>
      <c r="P80" s="94">
        <f>ENTRADA_PT[[#This Row],[CANTIDAD]]*ENTRADA_PT[[#This Row],[COSTO UNITARIO]]</f>
        <v>0</v>
      </c>
      <c r="R80" s="267" t="str">
        <f>ENTRADA_PT[[#This Row],[CÓDIGO]]</f>
        <v>PT09</v>
      </c>
      <c r="S80" s="95" t="str">
        <f>ENTRADA_PT[[#This Row],[FECHA]]</f>
        <v>MAYO</v>
      </c>
      <c r="T80" s="1" t="str">
        <f>IFERROR(VLOOKUP(R80,PT[],2,FALSE),"NO EXISTE")</f>
        <v>PIÑA RODAJA 850</v>
      </c>
      <c r="U80" s="591">
        <f>IFERROR(SALIDA_PT[[#This Row],[CANTIDAD]]/ENTRADA_PT[[#This Row],[CANTIDAD]],0%)</f>
        <v>0</v>
      </c>
      <c r="V80" s="633">
        <f>VPN!J16+VPE!J17</f>
        <v>0</v>
      </c>
      <c r="W80" s="93">
        <f>ENTRADA_PT[[#This Row],[COSTO UNITARIO]]</f>
        <v>0</v>
      </c>
      <c r="X80" s="147">
        <f t="shared" si="1"/>
        <v>0</v>
      </c>
    </row>
    <row r="81" spans="11:24" x14ac:dyDescent="0.35">
      <c r="K81" s="95" t="str">
        <f>CP!A490</f>
        <v>PT10</v>
      </c>
      <c r="L81" s="95" t="str">
        <f>CP!B490</f>
        <v>MAYO</v>
      </c>
      <c r="M81" s="95" t="str">
        <f>IFERROR(VLOOKUP(K81,PT[],2,FALSE),"NO EXISTE")</f>
        <v>PIÑA TROZO 850</v>
      </c>
      <c r="N81" s="441">
        <f>CP!D490</f>
        <v>0</v>
      </c>
      <c r="O81" s="94">
        <f>IFERROR(CP!E490,0*1)</f>
        <v>0</v>
      </c>
      <c r="P81" s="94">
        <f>ENTRADA_PT[[#This Row],[CANTIDAD]]*ENTRADA_PT[[#This Row],[COSTO UNITARIO]]</f>
        <v>0</v>
      </c>
      <c r="R81" s="267" t="str">
        <f>ENTRADA_PT[[#This Row],[CÓDIGO]]</f>
        <v>PT10</v>
      </c>
      <c r="S81" s="95" t="str">
        <f>ENTRADA_PT[[#This Row],[FECHA]]</f>
        <v>MAYO</v>
      </c>
      <c r="T81" s="1" t="str">
        <f>IFERROR(VLOOKUP(R81,PT[],2,FALSE),"NO EXISTE")</f>
        <v>PIÑA TROZO 850</v>
      </c>
      <c r="U81" s="591">
        <f>IFERROR(SALIDA_PT[[#This Row],[CANTIDAD]]/ENTRADA_PT[[#This Row],[CANTIDAD]],0%)</f>
        <v>0</v>
      </c>
      <c r="V81" s="633">
        <f>VPN!J17+VPE!J18</f>
        <v>0</v>
      </c>
      <c r="W81" s="93">
        <f>ENTRADA_PT[[#This Row],[COSTO UNITARIO]]</f>
        <v>0</v>
      </c>
      <c r="X81" s="147">
        <f t="shared" si="1"/>
        <v>0</v>
      </c>
    </row>
    <row r="82" spans="11:24" x14ac:dyDescent="0.35">
      <c r="K82" s="95" t="str">
        <f>CP!A491</f>
        <v>PT11</v>
      </c>
      <c r="L82" s="95" t="str">
        <f>CP!B491</f>
        <v>MAYO</v>
      </c>
      <c r="M82" s="95" t="str">
        <f>IFERROR(VLOOKUP(K82,PT[],2,FALSE),"NO EXISTE")</f>
        <v>PIÑA TROZO A-10</v>
      </c>
      <c r="N82" s="441">
        <f>CP!D491</f>
        <v>0</v>
      </c>
      <c r="O82" s="94">
        <f>IFERROR(CP!E491,0*1)</f>
        <v>0</v>
      </c>
      <c r="P82" s="94">
        <f>ENTRADA_PT[[#This Row],[CANTIDAD]]*ENTRADA_PT[[#This Row],[COSTO UNITARIO]]</f>
        <v>0</v>
      </c>
      <c r="R82" s="267" t="str">
        <f>ENTRADA_PT[[#This Row],[CÓDIGO]]</f>
        <v>PT11</v>
      </c>
      <c r="S82" s="95" t="str">
        <f>ENTRADA_PT[[#This Row],[FECHA]]</f>
        <v>MAYO</v>
      </c>
      <c r="T82" s="1" t="str">
        <f>IFERROR(VLOOKUP(R82,PT[],2,FALSE),"NO EXISTE")</f>
        <v>PIÑA TROZO A-10</v>
      </c>
      <c r="U82" s="591">
        <f>IFERROR(SALIDA_PT[[#This Row],[CANTIDAD]]/ENTRADA_PT[[#This Row],[CANTIDAD]],0%)</f>
        <v>0</v>
      </c>
      <c r="V82" s="633">
        <f>VPN!J18+VPE!J19</f>
        <v>0</v>
      </c>
      <c r="W82" s="93">
        <f>ENTRADA_PT[[#This Row],[COSTO UNITARIO]]</f>
        <v>0</v>
      </c>
      <c r="X82" s="147">
        <f t="shared" si="1"/>
        <v>0</v>
      </c>
    </row>
    <row r="83" spans="11:24" x14ac:dyDescent="0.35">
      <c r="K83" s="95" t="str">
        <f>CP!A492</f>
        <v>PT12</v>
      </c>
      <c r="L83" s="95" t="str">
        <f>CP!B492</f>
        <v>MAYO</v>
      </c>
      <c r="M83" s="95" t="str">
        <f>IFERROR(VLOOKUP(K83,PT[],2,FALSE),"NO EXISTE")</f>
        <v>PIÑA RODAJA A-10</v>
      </c>
      <c r="N83" s="441">
        <f>CP!D492</f>
        <v>0</v>
      </c>
      <c r="O83" s="94">
        <f>IFERROR(CP!E492,0*1)</f>
        <v>0</v>
      </c>
      <c r="P83" s="94">
        <f>ENTRADA_PT[[#This Row],[CANTIDAD]]*ENTRADA_PT[[#This Row],[COSTO UNITARIO]]</f>
        <v>0</v>
      </c>
      <c r="R83" s="267" t="str">
        <f>ENTRADA_PT[[#This Row],[CÓDIGO]]</f>
        <v>PT12</v>
      </c>
      <c r="S83" s="95" t="str">
        <f>ENTRADA_PT[[#This Row],[FECHA]]</f>
        <v>MAYO</v>
      </c>
      <c r="T83" s="1" t="str">
        <f>IFERROR(VLOOKUP(R83,PT[],2,FALSE),"NO EXISTE")</f>
        <v>PIÑA RODAJA A-10</v>
      </c>
      <c r="U83" s="591">
        <f>IFERROR(SALIDA_PT[[#This Row],[CANTIDAD]]/ENTRADA_PT[[#This Row],[CANTIDAD]],0%)</f>
        <v>0</v>
      </c>
      <c r="V83" s="633">
        <f>VPN!J19+VPE!J20</f>
        <v>0</v>
      </c>
      <c r="W83" s="93">
        <f>ENTRADA_PT[[#This Row],[COSTO UNITARIO]]</f>
        <v>0</v>
      </c>
      <c r="X83" s="147">
        <f t="shared" si="1"/>
        <v>0</v>
      </c>
    </row>
    <row r="84" spans="11:24" x14ac:dyDescent="0.35">
      <c r="K84" s="95" t="str">
        <f>CP!A493</f>
        <v>PT13</v>
      </c>
      <c r="L84" s="95" t="str">
        <f>CP!B493</f>
        <v>MAYO</v>
      </c>
      <c r="M84" s="95" t="str">
        <f>IFERROR(VLOOKUP(K84,PT[],2,FALSE),"NO EXISTE")</f>
        <v>PIÑA RODAJA 567</v>
      </c>
      <c r="N84" s="441">
        <f>CP!D493</f>
        <v>270000</v>
      </c>
      <c r="O84" s="94">
        <f>IFERROR(CP!E493,0*1)</f>
        <v>0.96041166831383962</v>
      </c>
      <c r="P84" s="94">
        <f>ENTRADA_PT[[#This Row],[CANTIDAD]]*ENTRADA_PT[[#This Row],[COSTO UNITARIO]]</f>
        <v>259311.1504447367</v>
      </c>
      <c r="R84" s="267" t="str">
        <f>ENTRADA_PT[[#This Row],[CÓDIGO]]</f>
        <v>PT13</v>
      </c>
      <c r="S84" s="95" t="str">
        <f>ENTRADA_PT[[#This Row],[FECHA]]</f>
        <v>MAYO</v>
      </c>
      <c r="T84" s="1" t="str">
        <f>IFERROR(VLOOKUP(R84,PT[],2,FALSE),"NO EXISTE")</f>
        <v>PIÑA RODAJA 567</v>
      </c>
      <c r="U84" s="591">
        <f>IFERROR(SALIDA_PT[[#This Row],[CANTIDAD]]/ENTRADA_PT[[#This Row],[CANTIDAD]],0%)</f>
        <v>1</v>
      </c>
      <c r="V84" s="633">
        <f>VPN!J20+VPE!J21</f>
        <v>270000</v>
      </c>
      <c r="W84" s="93">
        <f>ENTRADA_PT[[#This Row],[COSTO UNITARIO]]</f>
        <v>0.96041166831383962</v>
      </c>
      <c r="X84" s="147">
        <f t="shared" si="1"/>
        <v>259311.1504447367</v>
      </c>
    </row>
    <row r="85" spans="11:24" x14ac:dyDescent="0.35">
      <c r="K85" s="95" t="str">
        <f>CP!A494</f>
        <v>PT14</v>
      </c>
      <c r="L85" s="95" t="str">
        <f>CP!B494</f>
        <v>MAYO</v>
      </c>
      <c r="M85" s="95" t="str">
        <f>IFERROR(VLOOKUP(K85,PT[],2,FALSE),"NO EXISTE")</f>
        <v>PIÑA TROZO 567</v>
      </c>
      <c r="N85" s="441">
        <f>CP!D494</f>
        <v>108000</v>
      </c>
      <c r="O85" s="94">
        <f>IFERROR(CP!E494,0*1)</f>
        <v>0.9604116683138394</v>
      </c>
      <c r="P85" s="94">
        <f>ENTRADA_PT[[#This Row],[CANTIDAD]]*ENTRADA_PT[[#This Row],[COSTO UNITARIO]]</f>
        <v>103724.46017789465</v>
      </c>
      <c r="R85" s="267" t="str">
        <f>ENTRADA_PT[[#This Row],[CÓDIGO]]</f>
        <v>PT14</v>
      </c>
      <c r="S85" s="95" t="str">
        <f>ENTRADA_PT[[#This Row],[FECHA]]</f>
        <v>MAYO</v>
      </c>
      <c r="T85" s="1" t="str">
        <f>IFERROR(VLOOKUP(R85,PT[],2,FALSE),"NO EXISTE")</f>
        <v>PIÑA TROZO 567</v>
      </c>
      <c r="U85" s="591">
        <f>IFERROR(SALIDA_PT[[#This Row],[CANTIDAD]]/ENTRADA_PT[[#This Row],[CANTIDAD]],0%)</f>
        <v>1</v>
      </c>
      <c r="V85" s="633">
        <f>VPN!J21+VPE!J22</f>
        <v>108000</v>
      </c>
      <c r="W85" s="93">
        <f>ENTRADA_PT[[#This Row],[COSTO UNITARIO]]</f>
        <v>0.9604116683138394</v>
      </c>
      <c r="X85" s="147">
        <f t="shared" si="1"/>
        <v>103724.46017789465</v>
      </c>
    </row>
    <row r="86" spans="11:24" x14ac:dyDescent="0.35">
      <c r="K86" s="95" t="str">
        <f>CP!A495</f>
        <v>PT15</v>
      </c>
      <c r="L86" s="95" t="str">
        <f>CP!B495</f>
        <v>MAYO</v>
      </c>
      <c r="M86" s="95" t="str">
        <f>IFERROR(VLOOKUP(K86,PT[],2,FALSE),"NO EXISTE")</f>
        <v>PIÑA RODAJA 822</v>
      </c>
      <c r="N86" s="441">
        <f>CP!D495</f>
        <v>73440</v>
      </c>
      <c r="O86" s="94">
        <f>IFERROR(CP!E495,0*1)</f>
        <v>1.2984286501572693</v>
      </c>
      <c r="P86" s="94">
        <f>ENTRADA_PT[[#This Row],[CANTIDAD]]*ENTRADA_PT[[#This Row],[COSTO UNITARIO]]</f>
        <v>95356.600067549851</v>
      </c>
      <c r="R86" s="267" t="str">
        <f>ENTRADA_PT[[#This Row],[CÓDIGO]]</f>
        <v>PT15</v>
      </c>
      <c r="S86" s="95" t="str">
        <f>ENTRADA_PT[[#This Row],[FECHA]]</f>
        <v>MAYO</v>
      </c>
      <c r="T86" s="1" t="str">
        <f>IFERROR(VLOOKUP(R86,PT[],2,FALSE),"NO EXISTE")</f>
        <v>PIÑA RODAJA 822</v>
      </c>
      <c r="U86" s="591">
        <f>IFERROR(SALIDA_PT[[#This Row],[CANTIDAD]]/ENTRADA_PT[[#This Row],[CANTIDAD]],0%)</f>
        <v>1</v>
      </c>
      <c r="V86" s="633">
        <f>VPN!J22+VPE!J23</f>
        <v>73440</v>
      </c>
      <c r="W86" s="93">
        <f>ENTRADA_PT[[#This Row],[COSTO UNITARIO]]</f>
        <v>1.2984286501572693</v>
      </c>
      <c r="X86" s="147">
        <f t="shared" si="1"/>
        <v>95356.600067549851</v>
      </c>
    </row>
    <row r="87" spans="11:24" ht="16" thickBot="1" x14ac:dyDescent="0.4">
      <c r="K87" s="95" t="str">
        <f>CP!A496</f>
        <v>PT16</v>
      </c>
      <c r="L87" s="95" t="str">
        <f>CP!B496</f>
        <v>MAYO</v>
      </c>
      <c r="M87" s="95" t="str">
        <f>IFERROR(VLOOKUP(K87,PT[],2,FALSE),"NO EXISTE")</f>
        <v>PIÑA TROZO 822</v>
      </c>
      <c r="N87" s="441">
        <f>CP!D496</f>
        <v>36720</v>
      </c>
      <c r="O87" s="94">
        <f>IFERROR(CP!E496,0*1)</f>
        <v>1.2984286501572693</v>
      </c>
      <c r="P87" s="94">
        <f>ENTRADA_PT[[#This Row],[CANTIDAD]]*ENTRADA_PT[[#This Row],[COSTO UNITARIO]]</f>
        <v>47678.300033774925</v>
      </c>
      <c r="R87" s="268" t="str">
        <f>ENTRADA_PT[[#This Row],[CÓDIGO]]</f>
        <v>PT16</v>
      </c>
      <c r="S87" s="126" t="str">
        <f>ENTRADA_PT[[#This Row],[FECHA]]</f>
        <v>MAYO</v>
      </c>
      <c r="T87" s="77" t="str">
        <f>IFERROR(VLOOKUP(R87,PT[],2,FALSE),"NO EXISTE")</f>
        <v>PIÑA TROZO 822</v>
      </c>
      <c r="U87" s="632">
        <f>IFERROR(SALIDA_PT[[#This Row],[CANTIDAD]]/ENTRADA_PT[[#This Row],[CANTIDAD]],0%)</f>
        <v>1</v>
      </c>
      <c r="V87" s="634">
        <f>VPN!J23+VPE!J24</f>
        <v>36720</v>
      </c>
      <c r="W87" s="560">
        <f>ENTRADA_PT[[#This Row],[COSTO UNITARIO]]</f>
        <v>1.2984286501572693</v>
      </c>
      <c r="X87" s="281">
        <f t="shared" si="1"/>
        <v>47678.300033774925</v>
      </c>
    </row>
    <row r="88" spans="11:24" x14ac:dyDescent="0.35">
      <c r="K88" s="95" t="str">
        <f>CP!A497</f>
        <v>PT01</v>
      </c>
      <c r="L88" s="95" t="str">
        <f>CP!B497</f>
        <v>JUNIO</v>
      </c>
      <c r="M88" s="95" t="str">
        <f>IFERROR(VLOOKUP(K88,PT[],2,FALSE),"NO EXISTE")</f>
        <v xml:space="preserve">PALMITO ENTERO 800 </v>
      </c>
      <c r="N88" s="441">
        <f>CP!D497</f>
        <v>0</v>
      </c>
      <c r="O88" s="94">
        <f>IFERROR(CP!E497,0*1)</f>
        <v>0</v>
      </c>
      <c r="P88" s="94">
        <f>ENTRADA_PT[[#This Row],[CANTIDAD]]*ENTRADA_PT[[#This Row],[COSTO UNITARIO]]</f>
        <v>0</v>
      </c>
      <c r="R88" s="265" t="str">
        <f>ENTRADA_PT[[#This Row],[CÓDIGO]]</f>
        <v>PT01</v>
      </c>
      <c r="S88" s="266" t="str">
        <f>ENTRADA_PT[[#This Row],[FECHA]]</f>
        <v>JUNIO</v>
      </c>
      <c r="T88" s="278" t="str">
        <f>IFERROR(VLOOKUP(R88,PT[],2,FALSE),"NO EXISTE")</f>
        <v xml:space="preserve">PALMITO ENTERO 800 </v>
      </c>
      <c r="U88" s="631">
        <f>IFERROR(SALIDA_PT[[#This Row],[CANTIDAD]]/ENTRADA_PT[[#This Row],[CANTIDAD]],0%)</f>
        <v>0</v>
      </c>
      <c r="V88" s="413">
        <f>VPN!K6+VPE!K7</f>
        <v>0</v>
      </c>
      <c r="W88" s="140">
        <f>ENTRADA_PT[[#This Row],[COSTO UNITARIO]]</f>
        <v>0</v>
      </c>
      <c r="X88" s="142">
        <f t="shared" si="1"/>
        <v>0</v>
      </c>
    </row>
    <row r="89" spans="11:24" x14ac:dyDescent="0.35">
      <c r="K89" s="95" t="str">
        <f>CP!A498</f>
        <v>PT02</v>
      </c>
      <c r="L89" s="95" t="str">
        <f>CP!B498</f>
        <v>JUNIO</v>
      </c>
      <c r="M89" s="95" t="str">
        <f>IFERROR(VLOOKUP(K89,PT[],2,FALSE),"NO EXISTE")</f>
        <v>PALMITO RODAJA 800</v>
      </c>
      <c r="N89" s="441">
        <f>CP!D498</f>
        <v>0</v>
      </c>
      <c r="O89" s="94">
        <f>IFERROR(CP!E498,0*1)</f>
        <v>0</v>
      </c>
      <c r="P89" s="94">
        <f>ENTRADA_PT[[#This Row],[CANTIDAD]]*ENTRADA_PT[[#This Row],[COSTO UNITARIO]]</f>
        <v>0</v>
      </c>
      <c r="R89" s="267" t="str">
        <f>ENTRADA_PT[[#This Row],[CÓDIGO]]</f>
        <v>PT02</v>
      </c>
      <c r="S89" s="95" t="str">
        <f>ENTRADA_PT[[#This Row],[FECHA]]</f>
        <v>JUNIO</v>
      </c>
      <c r="T89" s="1" t="str">
        <f>IFERROR(VLOOKUP(R89,PT[],2,FALSE),"NO EXISTE")</f>
        <v>PALMITO RODAJA 800</v>
      </c>
      <c r="U89" s="591">
        <f>IFERROR(SALIDA_PT[[#This Row],[CANTIDAD]]/ENTRADA_PT[[#This Row],[CANTIDAD]],0%)</f>
        <v>0</v>
      </c>
      <c r="V89" s="633">
        <f>VPN!K7+VPE!K8</f>
        <v>0</v>
      </c>
      <c r="W89" s="93">
        <f>ENTRADA_PT[[#This Row],[COSTO UNITARIO]]</f>
        <v>0</v>
      </c>
      <c r="X89" s="147">
        <f t="shared" si="1"/>
        <v>0</v>
      </c>
    </row>
    <row r="90" spans="11:24" x14ac:dyDescent="0.35">
      <c r="K90" s="95" t="str">
        <f>CP!A499</f>
        <v>PT03</v>
      </c>
      <c r="L90" s="95" t="str">
        <f>CP!B499</f>
        <v>JUNIO</v>
      </c>
      <c r="M90" s="95" t="str">
        <f>IFERROR(VLOOKUP(K90,PT[],2,FALSE),"NO EXISTE")</f>
        <v>PALMITO TROZO 800</v>
      </c>
      <c r="N90" s="441">
        <f>CP!D499</f>
        <v>0</v>
      </c>
      <c r="O90" s="94">
        <f>IFERROR(CP!E499,0*1)</f>
        <v>0</v>
      </c>
      <c r="P90" s="94">
        <f>ENTRADA_PT[[#This Row],[CANTIDAD]]*ENTRADA_PT[[#This Row],[COSTO UNITARIO]]</f>
        <v>0</v>
      </c>
      <c r="R90" s="267" t="str">
        <f>ENTRADA_PT[[#This Row],[CÓDIGO]]</f>
        <v>PT03</v>
      </c>
      <c r="S90" s="95" t="str">
        <f>ENTRADA_PT[[#This Row],[FECHA]]</f>
        <v>JUNIO</v>
      </c>
      <c r="T90" s="1" t="str">
        <f>IFERROR(VLOOKUP(R90,PT[],2,FALSE),"NO EXISTE")</f>
        <v>PALMITO TROZO 800</v>
      </c>
      <c r="U90" s="591">
        <f>IFERROR(SALIDA_PT[[#This Row],[CANTIDAD]]/ENTRADA_PT[[#This Row],[CANTIDAD]],0%)</f>
        <v>0</v>
      </c>
      <c r="V90" s="633">
        <f>VPN!K8+VPE!K9</f>
        <v>0</v>
      </c>
      <c r="W90" s="93">
        <f>ENTRADA_PT[[#This Row],[COSTO UNITARIO]]</f>
        <v>0</v>
      </c>
      <c r="X90" s="147">
        <f t="shared" si="1"/>
        <v>0</v>
      </c>
    </row>
    <row r="91" spans="11:24" x14ac:dyDescent="0.35">
      <c r="K91" s="95" t="str">
        <f>CP!A500</f>
        <v>PT04</v>
      </c>
      <c r="L91" s="95" t="str">
        <f>CP!B500</f>
        <v>JUNIO</v>
      </c>
      <c r="M91" s="95" t="str">
        <f>IFERROR(VLOOKUP(K91,PT[],2,FALSE),"NO EXISTE")</f>
        <v>PALMITO ENTERO 400</v>
      </c>
      <c r="N91" s="441">
        <f>CP!D500</f>
        <v>0</v>
      </c>
      <c r="O91" s="94">
        <f>IFERROR(CP!E500,0*1)</f>
        <v>0</v>
      </c>
      <c r="P91" s="94">
        <f>ENTRADA_PT[[#This Row],[CANTIDAD]]*ENTRADA_PT[[#This Row],[COSTO UNITARIO]]</f>
        <v>0</v>
      </c>
      <c r="R91" s="267" t="str">
        <f>ENTRADA_PT[[#This Row],[CÓDIGO]]</f>
        <v>PT04</v>
      </c>
      <c r="S91" s="95" t="str">
        <f>ENTRADA_PT[[#This Row],[FECHA]]</f>
        <v>JUNIO</v>
      </c>
      <c r="T91" s="1" t="str">
        <f>IFERROR(VLOOKUP(R91,PT[],2,FALSE),"NO EXISTE")</f>
        <v>PALMITO ENTERO 400</v>
      </c>
      <c r="U91" s="591">
        <f>IFERROR(SALIDA_PT[[#This Row],[CANTIDAD]]/ENTRADA_PT[[#This Row],[CANTIDAD]],0%)</f>
        <v>0</v>
      </c>
      <c r="V91" s="633">
        <f>VPN!K9+VPE!K10</f>
        <v>0</v>
      </c>
      <c r="W91" s="93">
        <f>ENTRADA_PT[[#This Row],[COSTO UNITARIO]]</f>
        <v>0</v>
      </c>
      <c r="X91" s="147">
        <f t="shared" ref="X91:X151" si="2">V91*W91</f>
        <v>0</v>
      </c>
    </row>
    <row r="92" spans="11:24" x14ac:dyDescent="0.35">
      <c r="K92" s="95" t="str">
        <f>CP!A501</f>
        <v>PT05</v>
      </c>
      <c r="L92" s="95" t="str">
        <f>CP!B501</f>
        <v>JUNIO</v>
      </c>
      <c r="M92" s="95" t="str">
        <f>IFERROR(VLOOKUP(K92,PT[],2,FALSE),"NO EXISTE")</f>
        <v>PALMITO RODAJA 400</v>
      </c>
      <c r="N92" s="441">
        <f>CP!D501</f>
        <v>0</v>
      </c>
      <c r="O92" s="94">
        <f>IFERROR(CP!E501,0*1)</f>
        <v>0</v>
      </c>
      <c r="P92" s="94">
        <f>ENTRADA_PT[[#This Row],[CANTIDAD]]*ENTRADA_PT[[#This Row],[COSTO UNITARIO]]</f>
        <v>0</v>
      </c>
      <c r="R92" s="267" t="str">
        <f>ENTRADA_PT[[#This Row],[CÓDIGO]]</f>
        <v>PT05</v>
      </c>
      <c r="S92" s="95" t="str">
        <f>ENTRADA_PT[[#This Row],[FECHA]]</f>
        <v>JUNIO</v>
      </c>
      <c r="T92" s="1" t="str">
        <f>IFERROR(VLOOKUP(R92,PT[],2,FALSE),"NO EXISTE")</f>
        <v>PALMITO RODAJA 400</v>
      </c>
      <c r="U92" s="591">
        <f>IFERROR(SALIDA_PT[[#This Row],[CANTIDAD]]/ENTRADA_PT[[#This Row],[CANTIDAD]],0%)</f>
        <v>0</v>
      </c>
      <c r="V92" s="633">
        <f>VPN!K10+VPE!K11</f>
        <v>0</v>
      </c>
      <c r="W92" s="93">
        <f>ENTRADA_PT[[#This Row],[COSTO UNITARIO]]</f>
        <v>0</v>
      </c>
      <c r="X92" s="147">
        <f t="shared" si="2"/>
        <v>0</v>
      </c>
    </row>
    <row r="93" spans="11:24" x14ac:dyDescent="0.35">
      <c r="K93" s="95" t="str">
        <f>CP!A502</f>
        <v>PT06</v>
      </c>
      <c r="L93" s="95" t="str">
        <f>CP!B502</f>
        <v>JUNIO</v>
      </c>
      <c r="M93" s="95" t="str">
        <f>IFERROR(VLOOKUP(K93,PT[],2,FALSE),"NO EXISTE")</f>
        <v>PALMITO TROZO 400</v>
      </c>
      <c r="N93" s="441">
        <f>CP!D502</f>
        <v>0</v>
      </c>
      <c r="O93" s="94">
        <f>IFERROR(CP!E502,0*1)</f>
        <v>0</v>
      </c>
      <c r="P93" s="94">
        <f>ENTRADA_PT[[#This Row],[CANTIDAD]]*ENTRADA_PT[[#This Row],[COSTO UNITARIO]]</f>
        <v>0</v>
      </c>
      <c r="R93" s="267" t="str">
        <f>ENTRADA_PT[[#This Row],[CÓDIGO]]</f>
        <v>PT06</v>
      </c>
      <c r="S93" s="95" t="str">
        <f>ENTRADA_PT[[#This Row],[FECHA]]</f>
        <v>JUNIO</v>
      </c>
      <c r="T93" s="1" t="str">
        <f>IFERROR(VLOOKUP(R93,PT[],2,FALSE),"NO EXISTE")</f>
        <v>PALMITO TROZO 400</v>
      </c>
      <c r="U93" s="591">
        <f>IFERROR(SALIDA_PT[[#This Row],[CANTIDAD]]/ENTRADA_PT[[#This Row],[CANTIDAD]],0%)</f>
        <v>0</v>
      </c>
      <c r="V93" s="633">
        <f>VPN!K11+VPE!K12</f>
        <v>0</v>
      </c>
      <c r="W93" s="93">
        <f>ENTRADA_PT[[#This Row],[COSTO UNITARIO]]</f>
        <v>0</v>
      </c>
      <c r="X93" s="147">
        <f t="shared" si="2"/>
        <v>0</v>
      </c>
    </row>
    <row r="94" spans="11:24" x14ac:dyDescent="0.35">
      <c r="K94" s="95" t="str">
        <f>CP!A503</f>
        <v>PT07</v>
      </c>
      <c r="L94" s="95" t="str">
        <f>CP!B503</f>
        <v>JUNIO</v>
      </c>
      <c r="M94" s="95" t="str">
        <f>IFERROR(VLOOKUP(K94,PT[],2,FALSE),"NO EXISTE")</f>
        <v>PALMITO TROZO  A-10</v>
      </c>
      <c r="N94" s="441">
        <f>CP!D503</f>
        <v>0</v>
      </c>
      <c r="O94" s="94">
        <f>IFERROR(CP!E503,0*1)</f>
        <v>0</v>
      </c>
      <c r="P94" s="94">
        <f>ENTRADA_PT[[#This Row],[CANTIDAD]]*ENTRADA_PT[[#This Row],[COSTO UNITARIO]]</f>
        <v>0</v>
      </c>
      <c r="R94" s="267" t="str">
        <f>ENTRADA_PT[[#This Row],[CÓDIGO]]</f>
        <v>PT07</v>
      </c>
      <c r="S94" s="95" t="str">
        <f>ENTRADA_PT[[#This Row],[FECHA]]</f>
        <v>JUNIO</v>
      </c>
      <c r="T94" s="1" t="str">
        <f>IFERROR(VLOOKUP(R94,PT[],2,FALSE),"NO EXISTE")</f>
        <v>PALMITO TROZO  A-10</v>
      </c>
      <c r="U94" s="591">
        <f>IFERROR(SALIDA_PT[[#This Row],[CANTIDAD]]/ENTRADA_PT[[#This Row],[CANTIDAD]],0%)</f>
        <v>0</v>
      </c>
      <c r="V94" s="633">
        <f>VPN!K12+VPE!K13</f>
        <v>0</v>
      </c>
      <c r="W94" s="93">
        <f>ENTRADA_PT[[#This Row],[COSTO UNITARIO]]</f>
        <v>0</v>
      </c>
      <c r="X94" s="147">
        <f t="shared" si="2"/>
        <v>0</v>
      </c>
    </row>
    <row r="95" spans="11:24" x14ac:dyDescent="0.35">
      <c r="K95" s="95" t="str">
        <f>CP!A504</f>
        <v>PT08</v>
      </c>
      <c r="L95" s="95" t="str">
        <f>CP!B504</f>
        <v>JUNIO</v>
      </c>
      <c r="M95" s="95" t="str">
        <f>IFERROR(VLOOKUP(K95,PT[],2,FALSE),"NO EXISTE")</f>
        <v>PALMITO RODAJA  A-10</v>
      </c>
      <c r="N95" s="441">
        <f>CP!D504</f>
        <v>0</v>
      </c>
      <c r="O95" s="94">
        <f>IFERROR(CP!E504,0*1)</f>
        <v>0</v>
      </c>
      <c r="P95" s="94">
        <f>ENTRADA_PT[[#This Row],[CANTIDAD]]*ENTRADA_PT[[#This Row],[COSTO UNITARIO]]</f>
        <v>0</v>
      </c>
      <c r="R95" s="267" t="str">
        <f>ENTRADA_PT[[#This Row],[CÓDIGO]]</f>
        <v>PT08</v>
      </c>
      <c r="S95" s="95" t="str">
        <f>ENTRADA_PT[[#This Row],[FECHA]]</f>
        <v>JUNIO</v>
      </c>
      <c r="T95" s="1" t="str">
        <f>IFERROR(VLOOKUP(R95,PT[],2,FALSE),"NO EXISTE")</f>
        <v>PALMITO RODAJA  A-10</v>
      </c>
      <c r="U95" s="591">
        <f>IFERROR(SALIDA_PT[[#This Row],[CANTIDAD]]/ENTRADA_PT[[#This Row],[CANTIDAD]],0%)</f>
        <v>0</v>
      </c>
      <c r="V95" s="633">
        <f>VPN!K13+VPE!K14</f>
        <v>0</v>
      </c>
      <c r="W95" s="93">
        <f>ENTRADA_PT[[#This Row],[COSTO UNITARIO]]</f>
        <v>0</v>
      </c>
      <c r="X95" s="147">
        <f t="shared" si="2"/>
        <v>0</v>
      </c>
    </row>
    <row r="96" spans="11:24" x14ac:dyDescent="0.35">
      <c r="K96" s="95" t="str">
        <f>CP!A505</f>
        <v>PT09</v>
      </c>
      <c r="L96" s="95" t="str">
        <f>CP!B505</f>
        <v>JUNIO</v>
      </c>
      <c r="M96" s="95" t="str">
        <f>IFERROR(VLOOKUP(K96,PT[],2,FALSE),"NO EXISTE")</f>
        <v>PIÑA RODAJA 850</v>
      </c>
      <c r="N96" s="441">
        <f>CP!D505</f>
        <v>0</v>
      </c>
      <c r="O96" s="94">
        <f>IFERROR(CP!E505,0*1)</f>
        <v>0</v>
      </c>
      <c r="P96" s="94">
        <f>ENTRADA_PT[[#This Row],[CANTIDAD]]*ENTRADA_PT[[#This Row],[COSTO UNITARIO]]</f>
        <v>0</v>
      </c>
      <c r="R96" s="267" t="str">
        <f>ENTRADA_PT[[#This Row],[CÓDIGO]]</f>
        <v>PT09</v>
      </c>
      <c r="S96" s="95" t="str">
        <f>ENTRADA_PT[[#This Row],[FECHA]]</f>
        <v>JUNIO</v>
      </c>
      <c r="T96" s="1" t="str">
        <f>IFERROR(VLOOKUP(R96,PT[],2,FALSE),"NO EXISTE")</f>
        <v>PIÑA RODAJA 850</v>
      </c>
      <c r="U96" s="591">
        <f>IFERROR(SALIDA_PT[[#This Row],[CANTIDAD]]/ENTRADA_PT[[#This Row],[CANTIDAD]],0%)</f>
        <v>0</v>
      </c>
      <c r="V96" s="633">
        <f>VPN!K16+VPE!K17</f>
        <v>0</v>
      </c>
      <c r="W96" s="93">
        <f>ENTRADA_PT[[#This Row],[COSTO UNITARIO]]</f>
        <v>0</v>
      </c>
      <c r="X96" s="147">
        <f t="shared" si="2"/>
        <v>0</v>
      </c>
    </row>
    <row r="97" spans="11:24" x14ac:dyDescent="0.35">
      <c r="K97" s="95" t="str">
        <f>CP!A506</f>
        <v>PT10</v>
      </c>
      <c r="L97" s="95" t="str">
        <f>CP!B506</f>
        <v>JUNIO</v>
      </c>
      <c r="M97" s="95" t="str">
        <f>IFERROR(VLOOKUP(K97,PT[],2,FALSE),"NO EXISTE")</f>
        <v>PIÑA TROZO 850</v>
      </c>
      <c r="N97" s="441">
        <f>CP!D506</f>
        <v>0</v>
      </c>
      <c r="O97" s="94">
        <f>IFERROR(CP!E506,0*1)</f>
        <v>0</v>
      </c>
      <c r="P97" s="94">
        <f>ENTRADA_PT[[#This Row],[CANTIDAD]]*ENTRADA_PT[[#This Row],[COSTO UNITARIO]]</f>
        <v>0</v>
      </c>
      <c r="R97" s="267" t="str">
        <f>ENTRADA_PT[[#This Row],[CÓDIGO]]</f>
        <v>PT10</v>
      </c>
      <c r="S97" s="95" t="str">
        <f>ENTRADA_PT[[#This Row],[FECHA]]</f>
        <v>JUNIO</v>
      </c>
      <c r="T97" s="1" t="str">
        <f>IFERROR(VLOOKUP(R97,PT[],2,FALSE),"NO EXISTE")</f>
        <v>PIÑA TROZO 850</v>
      </c>
      <c r="U97" s="591">
        <f>IFERROR(SALIDA_PT[[#This Row],[CANTIDAD]]/ENTRADA_PT[[#This Row],[CANTIDAD]],0%)</f>
        <v>0</v>
      </c>
      <c r="V97" s="633">
        <f>VPN!K17+VPE!K18</f>
        <v>0</v>
      </c>
      <c r="W97" s="93">
        <f>ENTRADA_PT[[#This Row],[COSTO UNITARIO]]</f>
        <v>0</v>
      </c>
      <c r="X97" s="147">
        <f t="shared" si="2"/>
        <v>0</v>
      </c>
    </row>
    <row r="98" spans="11:24" x14ac:dyDescent="0.35">
      <c r="K98" s="95" t="str">
        <f>CP!A507</f>
        <v>PT11</v>
      </c>
      <c r="L98" s="95" t="str">
        <f>CP!B507</f>
        <v>JUNIO</v>
      </c>
      <c r="M98" s="95" t="str">
        <f>IFERROR(VLOOKUP(K98,PT[],2,FALSE),"NO EXISTE")</f>
        <v>PIÑA TROZO A-10</v>
      </c>
      <c r="N98" s="441">
        <f>CP!D507</f>
        <v>0</v>
      </c>
      <c r="O98" s="94">
        <f>IFERROR(CP!E507,0*1)</f>
        <v>0</v>
      </c>
      <c r="P98" s="94">
        <f>ENTRADA_PT[[#This Row],[CANTIDAD]]*ENTRADA_PT[[#This Row],[COSTO UNITARIO]]</f>
        <v>0</v>
      </c>
      <c r="R98" s="267" t="str">
        <f>ENTRADA_PT[[#This Row],[CÓDIGO]]</f>
        <v>PT11</v>
      </c>
      <c r="S98" s="95" t="str">
        <f>ENTRADA_PT[[#This Row],[FECHA]]</f>
        <v>JUNIO</v>
      </c>
      <c r="T98" s="1" t="str">
        <f>IFERROR(VLOOKUP(R98,PT[],2,FALSE),"NO EXISTE")</f>
        <v>PIÑA TROZO A-10</v>
      </c>
      <c r="U98" s="591">
        <f>IFERROR(SALIDA_PT[[#This Row],[CANTIDAD]]/ENTRADA_PT[[#This Row],[CANTIDAD]],0%)</f>
        <v>0</v>
      </c>
      <c r="V98" s="633">
        <f>VPN!K18+VPE!K19</f>
        <v>0</v>
      </c>
      <c r="W98" s="93">
        <f>ENTRADA_PT[[#This Row],[COSTO UNITARIO]]</f>
        <v>0</v>
      </c>
      <c r="X98" s="147">
        <f t="shared" si="2"/>
        <v>0</v>
      </c>
    </row>
    <row r="99" spans="11:24" x14ac:dyDescent="0.35">
      <c r="K99" s="95" t="str">
        <f>CP!A508</f>
        <v>PT12</v>
      </c>
      <c r="L99" s="95" t="str">
        <f>CP!B508</f>
        <v>JUNIO</v>
      </c>
      <c r="M99" s="95" t="str">
        <f>IFERROR(VLOOKUP(K99,PT[],2,FALSE),"NO EXISTE")</f>
        <v>PIÑA RODAJA A-10</v>
      </c>
      <c r="N99" s="441">
        <f>CP!D508</f>
        <v>0</v>
      </c>
      <c r="O99" s="94">
        <f>IFERROR(CP!E508,0*1)</f>
        <v>0</v>
      </c>
      <c r="P99" s="94">
        <f>ENTRADA_PT[[#This Row],[CANTIDAD]]*ENTRADA_PT[[#This Row],[COSTO UNITARIO]]</f>
        <v>0</v>
      </c>
      <c r="R99" s="267" t="str">
        <f>ENTRADA_PT[[#This Row],[CÓDIGO]]</f>
        <v>PT12</v>
      </c>
      <c r="S99" s="95" t="str">
        <f>ENTRADA_PT[[#This Row],[FECHA]]</f>
        <v>JUNIO</v>
      </c>
      <c r="T99" s="1" t="str">
        <f>IFERROR(VLOOKUP(R99,PT[],2,FALSE),"NO EXISTE")</f>
        <v>PIÑA RODAJA A-10</v>
      </c>
      <c r="U99" s="591">
        <f>IFERROR(SALIDA_PT[[#This Row],[CANTIDAD]]/ENTRADA_PT[[#This Row],[CANTIDAD]],0%)</f>
        <v>0</v>
      </c>
      <c r="V99" s="633">
        <f>VPN!K19+VPE!K20</f>
        <v>0</v>
      </c>
      <c r="W99" s="93">
        <f>ENTRADA_PT[[#This Row],[COSTO UNITARIO]]</f>
        <v>0</v>
      </c>
      <c r="X99" s="147">
        <f t="shared" si="2"/>
        <v>0</v>
      </c>
    </row>
    <row r="100" spans="11:24" x14ac:dyDescent="0.35">
      <c r="K100" s="95" t="str">
        <f>CP!A509</f>
        <v>PT13</v>
      </c>
      <c r="L100" s="95" t="str">
        <f>CP!B509</f>
        <v>JUNIO</v>
      </c>
      <c r="M100" s="95" t="str">
        <f>IFERROR(VLOOKUP(K100,PT[],2,FALSE),"NO EXISTE")</f>
        <v>PIÑA RODAJA 567</v>
      </c>
      <c r="N100" s="441">
        <f>CP!D509</f>
        <v>270000</v>
      </c>
      <c r="O100" s="94">
        <f>IFERROR(CP!E509,0*1)</f>
        <v>0.96041166831383962</v>
      </c>
      <c r="P100" s="94">
        <f>ENTRADA_PT[[#This Row],[CANTIDAD]]*ENTRADA_PT[[#This Row],[COSTO UNITARIO]]</f>
        <v>259311.1504447367</v>
      </c>
      <c r="R100" s="267" t="str">
        <f>ENTRADA_PT[[#This Row],[CÓDIGO]]</f>
        <v>PT13</v>
      </c>
      <c r="S100" s="95" t="str">
        <f>ENTRADA_PT[[#This Row],[FECHA]]</f>
        <v>JUNIO</v>
      </c>
      <c r="T100" s="1" t="str">
        <f>IFERROR(VLOOKUP(R100,PT[],2,FALSE),"NO EXISTE")</f>
        <v>PIÑA RODAJA 567</v>
      </c>
      <c r="U100" s="591">
        <f>IFERROR(SALIDA_PT[[#This Row],[CANTIDAD]]/ENTRADA_PT[[#This Row],[CANTIDAD]],0%)</f>
        <v>1</v>
      </c>
      <c r="V100" s="633">
        <f>VPN!K20+VPE!K21</f>
        <v>270000</v>
      </c>
      <c r="W100" s="93">
        <f>ENTRADA_PT[[#This Row],[COSTO UNITARIO]]</f>
        <v>0.96041166831383962</v>
      </c>
      <c r="X100" s="147">
        <f t="shared" si="2"/>
        <v>259311.1504447367</v>
      </c>
    </row>
    <row r="101" spans="11:24" x14ac:dyDescent="0.35">
      <c r="K101" s="95" t="str">
        <f>CP!A510</f>
        <v>PT14</v>
      </c>
      <c r="L101" s="95" t="str">
        <f>CP!B510</f>
        <v>JUNIO</v>
      </c>
      <c r="M101" s="95" t="str">
        <f>IFERROR(VLOOKUP(K101,PT[],2,FALSE),"NO EXISTE")</f>
        <v>PIÑA TROZO 567</v>
      </c>
      <c r="N101" s="441">
        <f>CP!D510</f>
        <v>108000</v>
      </c>
      <c r="O101" s="94">
        <f>IFERROR(CP!E510,0*1)</f>
        <v>0.9604116683138394</v>
      </c>
      <c r="P101" s="94">
        <f>ENTRADA_PT[[#This Row],[CANTIDAD]]*ENTRADA_PT[[#This Row],[COSTO UNITARIO]]</f>
        <v>103724.46017789465</v>
      </c>
      <c r="R101" s="267" t="str">
        <f>ENTRADA_PT[[#This Row],[CÓDIGO]]</f>
        <v>PT14</v>
      </c>
      <c r="S101" s="95" t="str">
        <f>ENTRADA_PT[[#This Row],[FECHA]]</f>
        <v>JUNIO</v>
      </c>
      <c r="T101" s="1" t="str">
        <f>IFERROR(VLOOKUP(R101,PT[],2,FALSE),"NO EXISTE")</f>
        <v>PIÑA TROZO 567</v>
      </c>
      <c r="U101" s="591">
        <f>IFERROR(SALIDA_PT[[#This Row],[CANTIDAD]]/ENTRADA_PT[[#This Row],[CANTIDAD]],0%)</f>
        <v>1</v>
      </c>
      <c r="V101" s="633">
        <f>VPN!K21+VPE!K22</f>
        <v>108000</v>
      </c>
      <c r="W101" s="93">
        <f>ENTRADA_PT[[#This Row],[COSTO UNITARIO]]</f>
        <v>0.9604116683138394</v>
      </c>
      <c r="X101" s="147">
        <f t="shared" si="2"/>
        <v>103724.46017789465</v>
      </c>
    </row>
    <row r="102" spans="11:24" x14ac:dyDescent="0.35">
      <c r="K102" s="95" t="str">
        <f>CP!A511</f>
        <v>PT15</v>
      </c>
      <c r="L102" s="95" t="str">
        <f>CP!B511</f>
        <v>JUNIO</v>
      </c>
      <c r="M102" s="95" t="str">
        <f>IFERROR(VLOOKUP(K102,PT[],2,FALSE),"NO EXISTE")</f>
        <v>PIÑA RODAJA 822</v>
      </c>
      <c r="N102" s="441">
        <f>CP!D511</f>
        <v>73440</v>
      </c>
      <c r="O102" s="94">
        <f>IFERROR(CP!E511,0*1)</f>
        <v>1.2984286501572693</v>
      </c>
      <c r="P102" s="94">
        <f>ENTRADA_PT[[#This Row],[CANTIDAD]]*ENTRADA_PT[[#This Row],[COSTO UNITARIO]]</f>
        <v>95356.600067549851</v>
      </c>
      <c r="R102" s="267" t="str">
        <f>ENTRADA_PT[[#This Row],[CÓDIGO]]</f>
        <v>PT15</v>
      </c>
      <c r="S102" s="95" t="str">
        <f>ENTRADA_PT[[#This Row],[FECHA]]</f>
        <v>JUNIO</v>
      </c>
      <c r="T102" s="1" t="str">
        <f>IFERROR(VLOOKUP(R102,PT[],2,FALSE),"NO EXISTE")</f>
        <v>PIÑA RODAJA 822</v>
      </c>
      <c r="U102" s="591">
        <f>IFERROR(SALIDA_PT[[#This Row],[CANTIDAD]]/ENTRADA_PT[[#This Row],[CANTIDAD]],0%)</f>
        <v>1</v>
      </c>
      <c r="V102" s="633">
        <f>VPN!K22+VPE!K23</f>
        <v>73440</v>
      </c>
      <c r="W102" s="93">
        <f>ENTRADA_PT[[#This Row],[COSTO UNITARIO]]</f>
        <v>1.2984286501572693</v>
      </c>
      <c r="X102" s="147">
        <f t="shared" si="2"/>
        <v>95356.600067549851</v>
      </c>
    </row>
    <row r="103" spans="11:24" ht="16" thickBot="1" x14ac:dyDescent="0.4">
      <c r="K103" s="95" t="str">
        <f>CP!A512</f>
        <v>PT16</v>
      </c>
      <c r="L103" s="95" t="str">
        <f>CP!B512</f>
        <v>JUNIO</v>
      </c>
      <c r="M103" s="95" t="str">
        <f>IFERROR(VLOOKUP(K103,PT[],2,FALSE),"NO EXISTE")</f>
        <v>PIÑA TROZO 822</v>
      </c>
      <c r="N103" s="441">
        <f>CP!D512</f>
        <v>36720</v>
      </c>
      <c r="O103" s="94">
        <f>IFERROR(CP!E512,0*1)</f>
        <v>1.2984286501572693</v>
      </c>
      <c r="P103" s="94">
        <f>ENTRADA_PT[[#This Row],[CANTIDAD]]*ENTRADA_PT[[#This Row],[COSTO UNITARIO]]</f>
        <v>47678.300033774925</v>
      </c>
      <c r="R103" s="268" t="str">
        <f>ENTRADA_PT[[#This Row],[CÓDIGO]]</f>
        <v>PT16</v>
      </c>
      <c r="S103" s="126" t="str">
        <f>ENTRADA_PT[[#This Row],[FECHA]]</f>
        <v>JUNIO</v>
      </c>
      <c r="T103" s="77" t="str">
        <f>IFERROR(VLOOKUP(R103,PT[],2,FALSE),"NO EXISTE")</f>
        <v>PIÑA TROZO 822</v>
      </c>
      <c r="U103" s="632">
        <f>IFERROR(SALIDA_PT[[#This Row],[CANTIDAD]]/ENTRADA_PT[[#This Row],[CANTIDAD]],0%)</f>
        <v>1</v>
      </c>
      <c r="V103" s="634">
        <f>VPN!K23+VPE!K24</f>
        <v>36720</v>
      </c>
      <c r="W103" s="560">
        <f>ENTRADA_PT[[#This Row],[COSTO UNITARIO]]</f>
        <v>1.2984286501572693</v>
      </c>
      <c r="X103" s="281">
        <f t="shared" si="2"/>
        <v>47678.300033774925</v>
      </c>
    </row>
    <row r="104" spans="11:24" x14ac:dyDescent="0.35">
      <c r="K104" s="95" t="str">
        <f>CP!A513</f>
        <v>PT01</v>
      </c>
      <c r="L104" s="95" t="str">
        <f>CP!B513</f>
        <v>JULIO</v>
      </c>
      <c r="M104" s="95" t="str">
        <f>IFERROR(VLOOKUP(K104,PT[],2,FALSE),"NO EXISTE")</f>
        <v xml:space="preserve">PALMITO ENTERO 800 </v>
      </c>
      <c r="N104" s="441">
        <f>CP!D513</f>
        <v>0</v>
      </c>
      <c r="O104" s="94">
        <f>IFERROR(CP!E513,0*1)</f>
        <v>0</v>
      </c>
      <c r="P104" s="94">
        <f>ENTRADA_PT[[#This Row],[CANTIDAD]]*ENTRADA_PT[[#This Row],[COSTO UNITARIO]]</f>
        <v>0</v>
      </c>
      <c r="R104" s="265" t="str">
        <f>ENTRADA_PT[[#This Row],[CÓDIGO]]</f>
        <v>PT01</v>
      </c>
      <c r="S104" s="266" t="str">
        <f>ENTRADA_PT[[#This Row],[FECHA]]</f>
        <v>JULIO</v>
      </c>
      <c r="T104" s="278" t="str">
        <f>IFERROR(VLOOKUP(R104,PT[],2,FALSE),"NO EXISTE")</f>
        <v xml:space="preserve">PALMITO ENTERO 800 </v>
      </c>
      <c r="U104" s="631">
        <f>IFERROR(SALIDA_PT[[#This Row],[CANTIDAD]]/ENTRADA_PT[[#This Row],[CANTIDAD]],0%)</f>
        <v>0</v>
      </c>
      <c r="V104" s="413">
        <f>VPN!L6+VPE!L7</f>
        <v>0</v>
      </c>
      <c r="W104" s="140">
        <f>ENTRADA_PT[[#This Row],[COSTO UNITARIO]]</f>
        <v>0</v>
      </c>
      <c r="X104" s="142">
        <f t="shared" si="2"/>
        <v>0</v>
      </c>
    </row>
    <row r="105" spans="11:24" x14ac:dyDescent="0.35">
      <c r="K105" s="95" t="str">
        <f>CP!A514</f>
        <v>PT02</v>
      </c>
      <c r="L105" s="95" t="str">
        <f>CP!B514</f>
        <v>JULIO</v>
      </c>
      <c r="M105" s="95" t="str">
        <f>IFERROR(VLOOKUP(K105,PT[],2,FALSE),"NO EXISTE")</f>
        <v>PALMITO RODAJA 800</v>
      </c>
      <c r="N105" s="441">
        <f>CP!D514</f>
        <v>0</v>
      </c>
      <c r="O105" s="94">
        <f>IFERROR(CP!E514,0*1)</f>
        <v>0</v>
      </c>
      <c r="P105" s="94">
        <f>ENTRADA_PT[[#This Row],[CANTIDAD]]*ENTRADA_PT[[#This Row],[COSTO UNITARIO]]</f>
        <v>0</v>
      </c>
      <c r="R105" s="267" t="str">
        <f>ENTRADA_PT[[#This Row],[CÓDIGO]]</f>
        <v>PT02</v>
      </c>
      <c r="S105" s="95" t="str">
        <f>ENTRADA_PT[[#This Row],[FECHA]]</f>
        <v>JULIO</v>
      </c>
      <c r="T105" s="1" t="str">
        <f>IFERROR(VLOOKUP(R105,PT[],2,FALSE),"NO EXISTE")</f>
        <v>PALMITO RODAJA 800</v>
      </c>
      <c r="U105" s="591">
        <f>IFERROR(SALIDA_PT[[#This Row],[CANTIDAD]]/ENTRADA_PT[[#This Row],[CANTIDAD]],0%)</f>
        <v>0</v>
      </c>
      <c r="V105" s="633">
        <f>VPN!L7+VPE!L8</f>
        <v>0</v>
      </c>
      <c r="W105" s="93">
        <f>ENTRADA_PT[[#This Row],[COSTO UNITARIO]]</f>
        <v>0</v>
      </c>
      <c r="X105" s="147">
        <f t="shared" si="2"/>
        <v>0</v>
      </c>
    </row>
    <row r="106" spans="11:24" x14ac:dyDescent="0.35">
      <c r="K106" s="95" t="str">
        <f>CP!A515</f>
        <v>PT03</v>
      </c>
      <c r="L106" s="95" t="str">
        <f>CP!B515</f>
        <v>JULIO</v>
      </c>
      <c r="M106" s="95" t="str">
        <f>IFERROR(VLOOKUP(K106,PT[],2,FALSE),"NO EXISTE")</f>
        <v>PALMITO TROZO 800</v>
      </c>
      <c r="N106" s="441">
        <f>CP!D515</f>
        <v>0</v>
      </c>
      <c r="O106" s="94">
        <f>IFERROR(CP!E515,0*1)</f>
        <v>0</v>
      </c>
      <c r="P106" s="94">
        <f>ENTRADA_PT[[#This Row],[CANTIDAD]]*ENTRADA_PT[[#This Row],[COSTO UNITARIO]]</f>
        <v>0</v>
      </c>
      <c r="R106" s="267" t="str">
        <f>ENTRADA_PT[[#This Row],[CÓDIGO]]</f>
        <v>PT03</v>
      </c>
      <c r="S106" s="95" t="str">
        <f>ENTRADA_PT[[#This Row],[FECHA]]</f>
        <v>JULIO</v>
      </c>
      <c r="T106" s="1" t="str">
        <f>IFERROR(VLOOKUP(R106,PT[],2,FALSE),"NO EXISTE")</f>
        <v>PALMITO TROZO 800</v>
      </c>
      <c r="U106" s="591">
        <f>IFERROR(SALIDA_PT[[#This Row],[CANTIDAD]]/ENTRADA_PT[[#This Row],[CANTIDAD]],0%)</f>
        <v>0</v>
      </c>
      <c r="V106" s="633">
        <f>VPN!L8+VPE!L9</f>
        <v>0</v>
      </c>
      <c r="W106" s="93">
        <f>ENTRADA_PT[[#This Row],[COSTO UNITARIO]]</f>
        <v>0</v>
      </c>
      <c r="X106" s="147">
        <f t="shared" si="2"/>
        <v>0</v>
      </c>
    </row>
    <row r="107" spans="11:24" x14ac:dyDescent="0.35">
      <c r="K107" s="95" t="str">
        <f>CP!A516</f>
        <v>PT04</v>
      </c>
      <c r="L107" s="95" t="str">
        <f>CP!B516</f>
        <v>JULIO</v>
      </c>
      <c r="M107" s="95" t="str">
        <f>IFERROR(VLOOKUP(K107,PT[],2,FALSE),"NO EXISTE")</f>
        <v>PALMITO ENTERO 400</v>
      </c>
      <c r="N107" s="441">
        <f>CP!D516</f>
        <v>0</v>
      </c>
      <c r="O107" s="94">
        <f>IFERROR(CP!E516,0*1)</f>
        <v>0</v>
      </c>
      <c r="P107" s="94">
        <f>ENTRADA_PT[[#This Row],[CANTIDAD]]*ENTRADA_PT[[#This Row],[COSTO UNITARIO]]</f>
        <v>0</v>
      </c>
      <c r="R107" s="267" t="str">
        <f>ENTRADA_PT[[#This Row],[CÓDIGO]]</f>
        <v>PT04</v>
      </c>
      <c r="S107" s="95" t="str">
        <f>ENTRADA_PT[[#This Row],[FECHA]]</f>
        <v>JULIO</v>
      </c>
      <c r="T107" s="1" t="str">
        <f>IFERROR(VLOOKUP(R107,PT[],2,FALSE),"NO EXISTE")</f>
        <v>PALMITO ENTERO 400</v>
      </c>
      <c r="U107" s="591">
        <f>IFERROR(SALIDA_PT[[#This Row],[CANTIDAD]]/ENTRADA_PT[[#This Row],[CANTIDAD]],0%)</f>
        <v>0</v>
      </c>
      <c r="V107" s="633">
        <f>VPN!L9+VPE!L10</f>
        <v>0</v>
      </c>
      <c r="W107" s="93">
        <f>ENTRADA_PT[[#This Row],[COSTO UNITARIO]]</f>
        <v>0</v>
      </c>
      <c r="X107" s="147">
        <f t="shared" si="2"/>
        <v>0</v>
      </c>
    </row>
    <row r="108" spans="11:24" x14ac:dyDescent="0.35">
      <c r="K108" s="95" t="str">
        <f>CP!A517</f>
        <v>PT05</v>
      </c>
      <c r="L108" s="95" t="str">
        <f>CP!B517</f>
        <v>JULIO</v>
      </c>
      <c r="M108" s="95" t="str">
        <f>IFERROR(VLOOKUP(K108,PT[],2,FALSE),"NO EXISTE")</f>
        <v>PALMITO RODAJA 400</v>
      </c>
      <c r="N108" s="441">
        <f>CP!D517</f>
        <v>0</v>
      </c>
      <c r="O108" s="94">
        <f>IFERROR(CP!E517,0*1)</f>
        <v>0</v>
      </c>
      <c r="P108" s="94">
        <f>ENTRADA_PT[[#This Row],[CANTIDAD]]*ENTRADA_PT[[#This Row],[COSTO UNITARIO]]</f>
        <v>0</v>
      </c>
      <c r="R108" s="267" t="str">
        <f>ENTRADA_PT[[#This Row],[CÓDIGO]]</f>
        <v>PT05</v>
      </c>
      <c r="S108" s="95" t="str">
        <f>ENTRADA_PT[[#This Row],[FECHA]]</f>
        <v>JULIO</v>
      </c>
      <c r="T108" s="1" t="str">
        <f>IFERROR(VLOOKUP(R108,PT[],2,FALSE),"NO EXISTE")</f>
        <v>PALMITO RODAJA 400</v>
      </c>
      <c r="U108" s="591">
        <f>IFERROR(SALIDA_PT[[#This Row],[CANTIDAD]]/ENTRADA_PT[[#This Row],[CANTIDAD]],0%)</f>
        <v>0</v>
      </c>
      <c r="V108" s="633">
        <f>VPN!L10+VPE!L11</f>
        <v>0</v>
      </c>
      <c r="W108" s="93">
        <f>ENTRADA_PT[[#This Row],[COSTO UNITARIO]]</f>
        <v>0</v>
      </c>
      <c r="X108" s="147">
        <f t="shared" si="2"/>
        <v>0</v>
      </c>
    </row>
    <row r="109" spans="11:24" x14ac:dyDescent="0.35">
      <c r="K109" s="95" t="str">
        <f>CP!A518</f>
        <v>PT06</v>
      </c>
      <c r="L109" s="95" t="str">
        <f>CP!B518</f>
        <v>JULIO</v>
      </c>
      <c r="M109" s="95" t="str">
        <f>IFERROR(VLOOKUP(K109,PT[],2,FALSE),"NO EXISTE")</f>
        <v>PALMITO TROZO 400</v>
      </c>
      <c r="N109" s="441">
        <f>CP!D518</f>
        <v>0</v>
      </c>
      <c r="O109" s="94">
        <f>IFERROR(CP!E518,0*1)</f>
        <v>0</v>
      </c>
      <c r="P109" s="94">
        <f>ENTRADA_PT[[#This Row],[CANTIDAD]]*ENTRADA_PT[[#This Row],[COSTO UNITARIO]]</f>
        <v>0</v>
      </c>
      <c r="R109" s="267" t="str">
        <f>ENTRADA_PT[[#This Row],[CÓDIGO]]</f>
        <v>PT06</v>
      </c>
      <c r="S109" s="95" t="str">
        <f>ENTRADA_PT[[#This Row],[FECHA]]</f>
        <v>JULIO</v>
      </c>
      <c r="T109" s="1" t="str">
        <f>IFERROR(VLOOKUP(R109,PT[],2,FALSE),"NO EXISTE")</f>
        <v>PALMITO TROZO 400</v>
      </c>
      <c r="U109" s="591">
        <f>IFERROR(SALIDA_PT[[#This Row],[CANTIDAD]]/ENTRADA_PT[[#This Row],[CANTIDAD]],0%)</f>
        <v>0</v>
      </c>
      <c r="V109" s="633">
        <f>VPN!L11+VPE!L12</f>
        <v>0</v>
      </c>
      <c r="W109" s="93">
        <f>ENTRADA_PT[[#This Row],[COSTO UNITARIO]]</f>
        <v>0</v>
      </c>
      <c r="X109" s="147">
        <f t="shared" si="2"/>
        <v>0</v>
      </c>
    </row>
    <row r="110" spans="11:24" x14ac:dyDescent="0.35">
      <c r="K110" s="95" t="str">
        <f>CP!A519</f>
        <v>PT07</v>
      </c>
      <c r="L110" s="95" t="str">
        <f>CP!B519</f>
        <v>JULIO</v>
      </c>
      <c r="M110" s="95" t="str">
        <f>IFERROR(VLOOKUP(K110,PT[],2,FALSE),"NO EXISTE")</f>
        <v>PALMITO TROZO  A-10</v>
      </c>
      <c r="N110" s="441">
        <f>CP!D519</f>
        <v>0</v>
      </c>
      <c r="O110" s="94">
        <f>IFERROR(CP!E519,0*1)</f>
        <v>0</v>
      </c>
      <c r="P110" s="94">
        <f>ENTRADA_PT[[#This Row],[CANTIDAD]]*ENTRADA_PT[[#This Row],[COSTO UNITARIO]]</f>
        <v>0</v>
      </c>
      <c r="R110" s="267" t="str">
        <f>ENTRADA_PT[[#This Row],[CÓDIGO]]</f>
        <v>PT07</v>
      </c>
      <c r="S110" s="95" t="str">
        <f>ENTRADA_PT[[#This Row],[FECHA]]</f>
        <v>JULIO</v>
      </c>
      <c r="T110" s="1" t="str">
        <f>IFERROR(VLOOKUP(R110,PT[],2,FALSE),"NO EXISTE")</f>
        <v>PALMITO TROZO  A-10</v>
      </c>
      <c r="U110" s="591">
        <f>IFERROR(SALIDA_PT[[#This Row],[CANTIDAD]]/ENTRADA_PT[[#This Row],[CANTIDAD]],0%)</f>
        <v>0</v>
      </c>
      <c r="V110" s="633">
        <f>VPN!L12+VPE!L13</f>
        <v>0</v>
      </c>
      <c r="W110" s="93">
        <f>ENTRADA_PT[[#This Row],[COSTO UNITARIO]]</f>
        <v>0</v>
      </c>
      <c r="X110" s="147">
        <f t="shared" si="2"/>
        <v>0</v>
      </c>
    </row>
    <row r="111" spans="11:24" x14ac:dyDescent="0.35">
      <c r="K111" s="95" t="str">
        <f>CP!A520</f>
        <v>PT08</v>
      </c>
      <c r="L111" s="95" t="str">
        <f>CP!B520</f>
        <v>JULIO</v>
      </c>
      <c r="M111" s="95" t="str">
        <f>IFERROR(VLOOKUP(K111,PT[],2,FALSE),"NO EXISTE")</f>
        <v>PALMITO RODAJA  A-10</v>
      </c>
      <c r="N111" s="441">
        <f>CP!D520</f>
        <v>0</v>
      </c>
      <c r="O111" s="94">
        <f>IFERROR(CP!E520,0*1)</f>
        <v>0</v>
      </c>
      <c r="P111" s="94">
        <f>ENTRADA_PT[[#This Row],[CANTIDAD]]*ENTRADA_PT[[#This Row],[COSTO UNITARIO]]</f>
        <v>0</v>
      </c>
      <c r="R111" s="267" t="str">
        <f>ENTRADA_PT[[#This Row],[CÓDIGO]]</f>
        <v>PT08</v>
      </c>
      <c r="S111" s="95" t="str">
        <f>ENTRADA_PT[[#This Row],[FECHA]]</f>
        <v>JULIO</v>
      </c>
      <c r="T111" s="1" t="str">
        <f>IFERROR(VLOOKUP(R111,PT[],2,FALSE),"NO EXISTE")</f>
        <v>PALMITO RODAJA  A-10</v>
      </c>
      <c r="U111" s="591">
        <f>IFERROR(SALIDA_PT[[#This Row],[CANTIDAD]]/ENTRADA_PT[[#This Row],[CANTIDAD]],0%)</f>
        <v>0</v>
      </c>
      <c r="V111" s="633">
        <f>VPN!L13+VPE!L14</f>
        <v>0</v>
      </c>
      <c r="W111" s="93">
        <f>ENTRADA_PT[[#This Row],[COSTO UNITARIO]]</f>
        <v>0</v>
      </c>
      <c r="X111" s="147">
        <f t="shared" si="2"/>
        <v>0</v>
      </c>
    </row>
    <row r="112" spans="11:24" x14ac:dyDescent="0.35">
      <c r="K112" s="95" t="str">
        <f>CP!A521</f>
        <v>PT09</v>
      </c>
      <c r="L112" s="95" t="str">
        <f>CP!B521</f>
        <v>JULIO</v>
      </c>
      <c r="M112" s="95" t="str">
        <f>IFERROR(VLOOKUP(K112,PT[],2,FALSE),"NO EXISTE")</f>
        <v>PIÑA RODAJA 850</v>
      </c>
      <c r="N112" s="441">
        <f>CP!D521</f>
        <v>0</v>
      </c>
      <c r="O112" s="94">
        <f>IFERROR(CP!E521,0*1)</f>
        <v>0</v>
      </c>
      <c r="P112" s="94">
        <f>ENTRADA_PT[[#This Row],[CANTIDAD]]*ENTRADA_PT[[#This Row],[COSTO UNITARIO]]</f>
        <v>0</v>
      </c>
      <c r="R112" s="267" t="str">
        <f>ENTRADA_PT[[#This Row],[CÓDIGO]]</f>
        <v>PT09</v>
      </c>
      <c r="S112" s="95" t="str">
        <f>ENTRADA_PT[[#This Row],[FECHA]]</f>
        <v>JULIO</v>
      </c>
      <c r="T112" s="1" t="str">
        <f>IFERROR(VLOOKUP(R112,PT[],2,FALSE),"NO EXISTE")</f>
        <v>PIÑA RODAJA 850</v>
      </c>
      <c r="U112" s="591">
        <f>IFERROR(SALIDA_PT[[#This Row],[CANTIDAD]]/ENTRADA_PT[[#This Row],[CANTIDAD]],0%)</f>
        <v>0</v>
      </c>
      <c r="V112" s="633">
        <f>VPN!L16+VPE!L17</f>
        <v>0</v>
      </c>
      <c r="W112" s="93">
        <f>ENTRADA_PT[[#This Row],[COSTO UNITARIO]]</f>
        <v>0</v>
      </c>
      <c r="X112" s="147">
        <f t="shared" si="2"/>
        <v>0</v>
      </c>
    </row>
    <row r="113" spans="11:24" x14ac:dyDescent="0.35">
      <c r="K113" s="95" t="str">
        <f>CP!A522</f>
        <v>PT10</v>
      </c>
      <c r="L113" s="95" t="str">
        <f>CP!B522</f>
        <v>JULIO</v>
      </c>
      <c r="M113" s="95" t="str">
        <f>IFERROR(VLOOKUP(K113,PT[],2,FALSE),"NO EXISTE")</f>
        <v>PIÑA TROZO 850</v>
      </c>
      <c r="N113" s="441">
        <f>CP!D522</f>
        <v>0</v>
      </c>
      <c r="O113" s="94">
        <f>IFERROR(CP!E522,0*1)</f>
        <v>0</v>
      </c>
      <c r="P113" s="94">
        <f>ENTRADA_PT[[#This Row],[CANTIDAD]]*ENTRADA_PT[[#This Row],[COSTO UNITARIO]]</f>
        <v>0</v>
      </c>
      <c r="R113" s="267" t="str">
        <f>ENTRADA_PT[[#This Row],[CÓDIGO]]</f>
        <v>PT10</v>
      </c>
      <c r="S113" s="95" t="str">
        <f>ENTRADA_PT[[#This Row],[FECHA]]</f>
        <v>JULIO</v>
      </c>
      <c r="T113" s="1" t="str">
        <f>IFERROR(VLOOKUP(R113,PT[],2,FALSE),"NO EXISTE")</f>
        <v>PIÑA TROZO 850</v>
      </c>
      <c r="U113" s="591">
        <f>IFERROR(SALIDA_PT[[#This Row],[CANTIDAD]]/ENTRADA_PT[[#This Row],[CANTIDAD]],0%)</f>
        <v>0</v>
      </c>
      <c r="V113" s="633">
        <f>VPN!L17+VPE!L18</f>
        <v>0</v>
      </c>
      <c r="W113" s="93">
        <f>ENTRADA_PT[[#This Row],[COSTO UNITARIO]]</f>
        <v>0</v>
      </c>
      <c r="X113" s="147">
        <f t="shared" si="2"/>
        <v>0</v>
      </c>
    </row>
    <row r="114" spans="11:24" x14ac:dyDescent="0.35">
      <c r="K114" s="95" t="str">
        <f>CP!A523</f>
        <v>PT11</v>
      </c>
      <c r="L114" s="95" t="str">
        <f>CP!B523</f>
        <v>JULIO</v>
      </c>
      <c r="M114" s="95" t="str">
        <f>IFERROR(VLOOKUP(K114,PT[],2,FALSE),"NO EXISTE")</f>
        <v>PIÑA TROZO A-10</v>
      </c>
      <c r="N114" s="441">
        <f>CP!D523</f>
        <v>0</v>
      </c>
      <c r="O114" s="94">
        <f>IFERROR(CP!E523,0*1)</f>
        <v>0</v>
      </c>
      <c r="P114" s="94">
        <f>ENTRADA_PT[[#This Row],[CANTIDAD]]*ENTRADA_PT[[#This Row],[COSTO UNITARIO]]</f>
        <v>0</v>
      </c>
      <c r="R114" s="267" t="str">
        <f>ENTRADA_PT[[#This Row],[CÓDIGO]]</f>
        <v>PT11</v>
      </c>
      <c r="S114" s="95" t="str">
        <f>ENTRADA_PT[[#This Row],[FECHA]]</f>
        <v>JULIO</v>
      </c>
      <c r="T114" s="1" t="str">
        <f>IFERROR(VLOOKUP(R114,PT[],2,FALSE),"NO EXISTE")</f>
        <v>PIÑA TROZO A-10</v>
      </c>
      <c r="U114" s="591">
        <f>IFERROR(SALIDA_PT[[#This Row],[CANTIDAD]]/ENTRADA_PT[[#This Row],[CANTIDAD]],0%)</f>
        <v>0</v>
      </c>
      <c r="V114" s="633">
        <f>VPN!L18+VPE!L19</f>
        <v>0</v>
      </c>
      <c r="W114" s="93">
        <f>ENTRADA_PT[[#This Row],[COSTO UNITARIO]]</f>
        <v>0</v>
      </c>
      <c r="X114" s="147">
        <f t="shared" si="2"/>
        <v>0</v>
      </c>
    </row>
    <row r="115" spans="11:24" x14ac:dyDescent="0.35">
      <c r="K115" s="95" t="str">
        <f>CP!A524</f>
        <v>PT12</v>
      </c>
      <c r="L115" s="95" t="str">
        <f>CP!B524</f>
        <v>JULIO</v>
      </c>
      <c r="M115" s="95" t="str">
        <f>IFERROR(VLOOKUP(K115,PT[],2,FALSE),"NO EXISTE")</f>
        <v>PIÑA RODAJA A-10</v>
      </c>
      <c r="N115" s="441">
        <f>CP!D524</f>
        <v>0</v>
      </c>
      <c r="O115" s="94">
        <f>IFERROR(CP!E524,0*1)</f>
        <v>0</v>
      </c>
      <c r="P115" s="94">
        <f>ENTRADA_PT[[#This Row],[CANTIDAD]]*ENTRADA_PT[[#This Row],[COSTO UNITARIO]]</f>
        <v>0</v>
      </c>
      <c r="R115" s="267" t="str">
        <f>ENTRADA_PT[[#This Row],[CÓDIGO]]</f>
        <v>PT12</v>
      </c>
      <c r="S115" s="95" t="str">
        <f>ENTRADA_PT[[#This Row],[FECHA]]</f>
        <v>JULIO</v>
      </c>
      <c r="T115" s="1" t="str">
        <f>IFERROR(VLOOKUP(R115,PT[],2,FALSE),"NO EXISTE")</f>
        <v>PIÑA RODAJA A-10</v>
      </c>
      <c r="U115" s="591">
        <f>IFERROR(SALIDA_PT[[#This Row],[CANTIDAD]]/ENTRADA_PT[[#This Row],[CANTIDAD]],0%)</f>
        <v>0</v>
      </c>
      <c r="V115" s="633">
        <f>VPN!L19+VPE!L20</f>
        <v>0</v>
      </c>
      <c r="W115" s="93">
        <f>ENTRADA_PT[[#This Row],[COSTO UNITARIO]]</f>
        <v>0</v>
      </c>
      <c r="X115" s="147">
        <f t="shared" si="2"/>
        <v>0</v>
      </c>
    </row>
    <row r="116" spans="11:24" x14ac:dyDescent="0.35">
      <c r="K116" s="95" t="str">
        <f>CP!A525</f>
        <v>PT13</v>
      </c>
      <c r="L116" s="95" t="str">
        <f>CP!B525</f>
        <v>JULIO</v>
      </c>
      <c r="M116" s="95" t="str">
        <f>IFERROR(VLOOKUP(K116,PT[],2,FALSE),"NO EXISTE")</f>
        <v>PIÑA RODAJA 567</v>
      </c>
      <c r="N116" s="441">
        <f>CP!D525</f>
        <v>270000</v>
      </c>
      <c r="O116" s="94">
        <f>IFERROR(CP!E525,0*1)</f>
        <v>0.96041166831383962</v>
      </c>
      <c r="P116" s="94">
        <f>ENTRADA_PT[[#This Row],[CANTIDAD]]*ENTRADA_PT[[#This Row],[COSTO UNITARIO]]</f>
        <v>259311.1504447367</v>
      </c>
      <c r="R116" s="267" t="str">
        <f>ENTRADA_PT[[#This Row],[CÓDIGO]]</f>
        <v>PT13</v>
      </c>
      <c r="S116" s="95" t="str">
        <f>ENTRADA_PT[[#This Row],[FECHA]]</f>
        <v>JULIO</v>
      </c>
      <c r="T116" s="1" t="str">
        <f>IFERROR(VLOOKUP(R116,PT[],2,FALSE),"NO EXISTE")</f>
        <v>PIÑA RODAJA 567</v>
      </c>
      <c r="U116" s="591">
        <f>IFERROR(SALIDA_PT[[#This Row],[CANTIDAD]]/ENTRADA_PT[[#This Row],[CANTIDAD]],0%)</f>
        <v>1</v>
      </c>
      <c r="V116" s="633">
        <f>VPN!L20+VPE!L21</f>
        <v>270000</v>
      </c>
      <c r="W116" s="93">
        <f>ENTRADA_PT[[#This Row],[COSTO UNITARIO]]</f>
        <v>0.96041166831383962</v>
      </c>
      <c r="X116" s="147">
        <f t="shared" si="2"/>
        <v>259311.1504447367</v>
      </c>
    </row>
    <row r="117" spans="11:24" x14ac:dyDescent="0.35">
      <c r="K117" s="95" t="str">
        <f>CP!A526</f>
        <v>PT14</v>
      </c>
      <c r="L117" s="95" t="str">
        <f>CP!B526</f>
        <v>JULIO</v>
      </c>
      <c r="M117" s="95" t="str">
        <f>IFERROR(VLOOKUP(K117,PT[],2,FALSE),"NO EXISTE")</f>
        <v>PIÑA TROZO 567</v>
      </c>
      <c r="N117" s="441">
        <f>CP!D526</f>
        <v>108000</v>
      </c>
      <c r="O117" s="94">
        <f>IFERROR(CP!E526,0*1)</f>
        <v>0.9604116683138394</v>
      </c>
      <c r="P117" s="94">
        <f>ENTRADA_PT[[#This Row],[CANTIDAD]]*ENTRADA_PT[[#This Row],[COSTO UNITARIO]]</f>
        <v>103724.46017789465</v>
      </c>
      <c r="R117" s="267" t="str">
        <f>ENTRADA_PT[[#This Row],[CÓDIGO]]</f>
        <v>PT14</v>
      </c>
      <c r="S117" s="95" t="str">
        <f>ENTRADA_PT[[#This Row],[FECHA]]</f>
        <v>JULIO</v>
      </c>
      <c r="T117" s="1" t="str">
        <f>IFERROR(VLOOKUP(R117,PT[],2,FALSE),"NO EXISTE")</f>
        <v>PIÑA TROZO 567</v>
      </c>
      <c r="U117" s="591">
        <f>IFERROR(SALIDA_PT[[#This Row],[CANTIDAD]]/ENTRADA_PT[[#This Row],[CANTIDAD]],0%)</f>
        <v>1</v>
      </c>
      <c r="V117" s="633">
        <f>VPN!L21+VPE!L22</f>
        <v>108000</v>
      </c>
      <c r="W117" s="93">
        <f>ENTRADA_PT[[#This Row],[COSTO UNITARIO]]</f>
        <v>0.9604116683138394</v>
      </c>
      <c r="X117" s="147">
        <f t="shared" si="2"/>
        <v>103724.46017789465</v>
      </c>
    </row>
    <row r="118" spans="11:24" x14ac:dyDescent="0.35">
      <c r="K118" s="95" t="str">
        <f>CP!A527</f>
        <v>PT15</v>
      </c>
      <c r="L118" s="95" t="str">
        <f>CP!B527</f>
        <v>JULIO</v>
      </c>
      <c r="M118" s="95" t="str">
        <f>IFERROR(VLOOKUP(K118,PT[],2,FALSE),"NO EXISTE")</f>
        <v>PIÑA RODAJA 822</v>
      </c>
      <c r="N118" s="441">
        <f>CP!D527</f>
        <v>73440</v>
      </c>
      <c r="O118" s="94">
        <f>IFERROR(CP!E527,0*1)</f>
        <v>1.2984286501572693</v>
      </c>
      <c r="P118" s="94">
        <f>ENTRADA_PT[[#This Row],[CANTIDAD]]*ENTRADA_PT[[#This Row],[COSTO UNITARIO]]</f>
        <v>95356.600067549851</v>
      </c>
      <c r="R118" s="267" t="str">
        <f>ENTRADA_PT[[#This Row],[CÓDIGO]]</f>
        <v>PT15</v>
      </c>
      <c r="S118" s="95" t="str">
        <f>ENTRADA_PT[[#This Row],[FECHA]]</f>
        <v>JULIO</v>
      </c>
      <c r="T118" s="1" t="str">
        <f>IFERROR(VLOOKUP(R118,PT[],2,FALSE),"NO EXISTE")</f>
        <v>PIÑA RODAJA 822</v>
      </c>
      <c r="U118" s="591">
        <f>IFERROR(SALIDA_PT[[#This Row],[CANTIDAD]]/ENTRADA_PT[[#This Row],[CANTIDAD]],0%)</f>
        <v>1</v>
      </c>
      <c r="V118" s="633">
        <f>VPN!L22+VPE!L23</f>
        <v>73440</v>
      </c>
      <c r="W118" s="93">
        <f>ENTRADA_PT[[#This Row],[COSTO UNITARIO]]</f>
        <v>1.2984286501572693</v>
      </c>
      <c r="X118" s="147">
        <f t="shared" si="2"/>
        <v>95356.600067549851</v>
      </c>
    </row>
    <row r="119" spans="11:24" ht="16" thickBot="1" x14ac:dyDescent="0.4">
      <c r="K119" s="95" t="str">
        <f>CP!A528</f>
        <v>PT16</v>
      </c>
      <c r="L119" s="95" t="str">
        <f>CP!B528</f>
        <v>JULIO</v>
      </c>
      <c r="M119" s="95" t="str">
        <f>IFERROR(VLOOKUP(K119,PT[],2,FALSE),"NO EXISTE")</f>
        <v>PIÑA TROZO 822</v>
      </c>
      <c r="N119" s="441">
        <f>CP!D528</f>
        <v>36720</v>
      </c>
      <c r="O119" s="94">
        <f>IFERROR(CP!E528,0*1)</f>
        <v>1.2984286501572693</v>
      </c>
      <c r="P119" s="94">
        <f>ENTRADA_PT[[#This Row],[CANTIDAD]]*ENTRADA_PT[[#This Row],[COSTO UNITARIO]]</f>
        <v>47678.300033774925</v>
      </c>
      <c r="R119" s="268" t="str">
        <f>ENTRADA_PT[[#This Row],[CÓDIGO]]</f>
        <v>PT16</v>
      </c>
      <c r="S119" s="126" t="str">
        <f>ENTRADA_PT[[#This Row],[FECHA]]</f>
        <v>JULIO</v>
      </c>
      <c r="T119" s="77" t="str">
        <f>IFERROR(VLOOKUP(R119,PT[],2,FALSE),"NO EXISTE")</f>
        <v>PIÑA TROZO 822</v>
      </c>
      <c r="U119" s="632">
        <f>IFERROR(SALIDA_PT[[#This Row],[CANTIDAD]]/ENTRADA_PT[[#This Row],[CANTIDAD]],0%)</f>
        <v>1</v>
      </c>
      <c r="V119" s="634">
        <f>VPN!L23+VPE!L24</f>
        <v>36720</v>
      </c>
      <c r="W119" s="560">
        <f>ENTRADA_PT[[#This Row],[COSTO UNITARIO]]</f>
        <v>1.2984286501572693</v>
      </c>
      <c r="X119" s="281">
        <f t="shared" si="2"/>
        <v>47678.300033774925</v>
      </c>
    </row>
    <row r="120" spans="11:24" x14ac:dyDescent="0.35">
      <c r="K120" s="95" t="str">
        <f>CP!A529</f>
        <v>PT01</v>
      </c>
      <c r="L120" s="95" t="str">
        <f>CP!B529</f>
        <v>AGOSTO</v>
      </c>
      <c r="M120" s="95" t="str">
        <f>IFERROR(VLOOKUP(K120,PT[],2,FALSE),"NO EXISTE")</f>
        <v xml:space="preserve">PALMITO ENTERO 800 </v>
      </c>
      <c r="N120" s="441">
        <f>CP!D529</f>
        <v>0</v>
      </c>
      <c r="O120" s="94">
        <f>IFERROR(CP!E529,0*1)</f>
        <v>0</v>
      </c>
      <c r="P120" s="94">
        <f>ENTRADA_PT[[#This Row],[CANTIDAD]]*ENTRADA_PT[[#This Row],[COSTO UNITARIO]]</f>
        <v>0</v>
      </c>
      <c r="R120" s="265" t="str">
        <f>ENTRADA_PT[[#This Row],[CÓDIGO]]</f>
        <v>PT01</v>
      </c>
      <c r="S120" s="266" t="str">
        <f>ENTRADA_PT[[#This Row],[FECHA]]</f>
        <v>AGOSTO</v>
      </c>
      <c r="T120" s="278" t="str">
        <f>IFERROR(VLOOKUP(R120,PT[],2,FALSE),"NO EXISTE")</f>
        <v xml:space="preserve">PALMITO ENTERO 800 </v>
      </c>
      <c r="U120" s="631">
        <f>IFERROR(SALIDA_PT[[#This Row],[CANTIDAD]]/ENTRADA_PT[[#This Row],[CANTIDAD]],0%)</f>
        <v>0</v>
      </c>
      <c r="V120" s="413">
        <f>VPN!M6+VPE!M7</f>
        <v>0</v>
      </c>
      <c r="W120" s="140">
        <f>ENTRADA_PT[[#This Row],[COSTO UNITARIO]]</f>
        <v>0</v>
      </c>
      <c r="X120" s="142">
        <f t="shared" si="2"/>
        <v>0</v>
      </c>
    </row>
    <row r="121" spans="11:24" x14ac:dyDescent="0.35">
      <c r="K121" s="95" t="str">
        <f>CP!A530</f>
        <v>PT02</v>
      </c>
      <c r="L121" s="95" t="str">
        <f>CP!B530</f>
        <v>AGOSTO</v>
      </c>
      <c r="M121" s="95" t="str">
        <f>IFERROR(VLOOKUP(K121,PT[],2,FALSE),"NO EXISTE")</f>
        <v>PALMITO RODAJA 800</v>
      </c>
      <c r="N121" s="441">
        <f>CP!D530</f>
        <v>0</v>
      </c>
      <c r="O121" s="94">
        <f>IFERROR(CP!E530,0*1)</f>
        <v>0</v>
      </c>
      <c r="P121" s="94">
        <f>ENTRADA_PT[[#This Row],[CANTIDAD]]*ENTRADA_PT[[#This Row],[COSTO UNITARIO]]</f>
        <v>0</v>
      </c>
      <c r="R121" s="267" t="str">
        <f>ENTRADA_PT[[#This Row],[CÓDIGO]]</f>
        <v>PT02</v>
      </c>
      <c r="S121" s="95" t="str">
        <f>ENTRADA_PT[[#This Row],[FECHA]]</f>
        <v>AGOSTO</v>
      </c>
      <c r="T121" s="1" t="str">
        <f>IFERROR(VLOOKUP(R121,PT[],2,FALSE),"NO EXISTE")</f>
        <v>PALMITO RODAJA 800</v>
      </c>
      <c r="U121" s="591">
        <f>IFERROR(SALIDA_PT[[#This Row],[CANTIDAD]]/ENTRADA_PT[[#This Row],[CANTIDAD]],0%)</f>
        <v>0</v>
      </c>
      <c r="V121" s="633">
        <f>VPN!M7+VPE!M8</f>
        <v>0</v>
      </c>
      <c r="W121" s="93">
        <f>ENTRADA_PT[[#This Row],[COSTO UNITARIO]]</f>
        <v>0</v>
      </c>
      <c r="X121" s="147">
        <f t="shared" si="2"/>
        <v>0</v>
      </c>
    </row>
    <row r="122" spans="11:24" x14ac:dyDescent="0.35">
      <c r="K122" s="95" t="str">
        <f>CP!A531</f>
        <v>PT03</v>
      </c>
      <c r="L122" s="95" t="str">
        <f>CP!B531</f>
        <v>AGOSTO</v>
      </c>
      <c r="M122" s="95" t="str">
        <f>IFERROR(VLOOKUP(K122,PT[],2,FALSE),"NO EXISTE")</f>
        <v>PALMITO TROZO 800</v>
      </c>
      <c r="N122" s="441">
        <f>CP!D531</f>
        <v>0</v>
      </c>
      <c r="O122" s="94">
        <f>IFERROR(CP!E531,0*1)</f>
        <v>0</v>
      </c>
      <c r="P122" s="94">
        <f>ENTRADA_PT[[#This Row],[CANTIDAD]]*ENTRADA_PT[[#This Row],[COSTO UNITARIO]]</f>
        <v>0</v>
      </c>
      <c r="R122" s="267" t="str">
        <f>ENTRADA_PT[[#This Row],[CÓDIGO]]</f>
        <v>PT03</v>
      </c>
      <c r="S122" s="95" t="str">
        <f>ENTRADA_PT[[#This Row],[FECHA]]</f>
        <v>AGOSTO</v>
      </c>
      <c r="T122" s="1" t="str">
        <f>IFERROR(VLOOKUP(R122,PT[],2,FALSE),"NO EXISTE")</f>
        <v>PALMITO TROZO 800</v>
      </c>
      <c r="U122" s="591">
        <f>IFERROR(SALIDA_PT[[#This Row],[CANTIDAD]]/ENTRADA_PT[[#This Row],[CANTIDAD]],0%)</f>
        <v>0</v>
      </c>
      <c r="V122" s="633">
        <f>VPN!M8+VPE!M9</f>
        <v>0</v>
      </c>
      <c r="W122" s="93">
        <f>ENTRADA_PT[[#This Row],[COSTO UNITARIO]]</f>
        <v>0</v>
      </c>
      <c r="X122" s="147">
        <f t="shared" si="2"/>
        <v>0</v>
      </c>
    </row>
    <row r="123" spans="11:24" x14ac:dyDescent="0.35">
      <c r="K123" s="95" t="str">
        <f>CP!A532</f>
        <v>PT04</v>
      </c>
      <c r="L123" s="95" t="str">
        <f>CP!B532</f>
        <v>AGOSTO</v>
      </c>
      <c r="M123" s="95" t="str">
        <f>IFERROR(VLOOKUP(K123,PT[],2,FALSE),"NO EXISTE")</f>
        <v>PALMITO ENTERO 400</v>
      </c>
      <c r="N123" s="441">
        <f>CP!D532</f>
        <v>0</v>
      </c>
      <c r="O123" s="94">
        <f>IFERROR(CP!E532,0*1)</f>
        <v>0</v>
      </c>
      <c r="P123" s="94">
        <f>ENTRADA_PT[[#This Row],[CANTIDAD]]*ENTRADA_PT[[#This Row],[COSTO UNITARIO]]</f>
        <v>0</v>
      </c>
      <c r="R123" s="267" t="str">
        <f>ENTRADA_PT[[#This Row],[CÓDIGO]]</f>
        <v>PT04</v>
      </c>
      <c r="S123" s="95" t="str">
        <f>ENTRADA_PT[[#This Row],[FECHA]]</f>
        <v>AGOSTO</v>
      </c>
      <c r="T123" s="1" t="str">
        <f>IFERROR(VLOOKUP(R123,PT[],2,FALSE),"NO EXISTE")</f>
        <v>PALMITO ENTERO 400</v>
      </c>
      <c r="U123" s="591">
        <f>IFERROR(SALIDA_PT[[#This Row],[CANTIDAD]]/ENTRADA_PT[[#This Row],[CANTIDAD]],0%)</f>
        <v>0</v>
      </c>
      <c r="V123" s="633">
        <f>VPN!M9+VPE!M10</f>
        <v>0</v>
      </c>
      <c r="W123" s="93">
        <f>ENTRADA_PT[[#This Row],[COSTO UNITARIO]]</f>
        <v>0</v>
      </c>
      <c r="X123" s="147">
        <f t="shared" si="2"/>
        <v>0</v>
      </c>
    </row>
    <row r="124" spans="11:24" x14ac:dyDescent="0.35">
      <c r="K124" s="95" t="str">
        <f>CP!A533</f>
        <v>PT05</v>
      </c>
      <c r="L124" s="95" t="str">
        <f>CP!B533</f>
        <v>AGOSTO</v>
      </c>
      <c r="M124" s="95" t="str">
        <f>IFERROR(VLOOKUP(K124,PT[],2,FALSE),"NO EXISTE")</f>
        <v>PALMITO RODAJA 400</v>
      </c>
      <c r="N124" s="441">
        <f>CP!D533</f>
        <v>0</v>
      </c>
      <c r="O124" s="94">
        <f>IFERROR(CP!E533,0*1)</f>
        <v>0</v>
      </c>
      <c r="P124" s="94">
        <f>ENTRADA_PT[[#This Row],[CANTIDAD]]*ENTRADA_PT[[#This Row],[COSTO UNITARIO]]</f>
        <v>0</v>
      </c>
      <c r="R124" s="267" t="str">
        <f>ENTRADA_PT[[#This Row],[CÓDIGO]]</f>
        <v>PT05</v>
      </c>
      <c r="S124" s="95" t="str">
        <f>ENTRADA_PT[[#This Row],[FECHA]]</f>
        <v>AGOSTO</v>
      </c>
      <c r="T124" s="1" t="str">
        <f>IFERROR(VLOOKUP(R124,PT[],2,FALSE),"NO EXISTE")</f>
        <v>PALMITO RODAJA 400</v>
      </c>
      <c r="U124" s="591">
        <f>IFERROR(SALIDA_PT[[#This Row],[CANTIDAD]]/ENTRADA_PT[[#This Row],[CANTIDAD]],0%)</f>
        <v>0</v>
      </c>
      <c r="V124" s="633">
        <f>VPN!M10+VPE!M11</f>
        <v>0</v>
      </c>
      <c r="W124" s="93">
        <f>ENTRADA_PT[[#This Row],[COSTO UNITARIO]]</f>
        <v>0</v>
      </c>
      <c r="X124" s="147">
        <f t="shared" si="2"/>
        <v>0</v>
      </c>
    </row>
    <row r="125" spans="11:24" x14ac:dyDescent="0.35">
      <c r="K125" s="95" t="str">
        <f>CP!A534</f>
        <v>PT06</v>
      </c>
      <c r="L125" s="95" t="str">
        <f>CP!B534</f>
        <v>AGOSTO</v>
      </c>
      <c r="M125" s="95" t="str">
        <f>IFERROR(VLOOKUP(K125,PT[],2,FALSE),"NO EXISTE")</f>
        <v>PALMITO TROZO 400</v>
      </c>
      <c r="N125" s="441">
        <f>CP!D534</f>
        <v>0</v>
      </c>
      <c r="O125" s="94">
        <f>IFERROR(CP!E534,0*1)</f>
        <v>0</v>
      </c>
      <c r="P125" s="94">
        <f>ENTRADA_PT[[#This Row],[CANTIDAD]]*ENTRADA_PT[[#This Row],[COSTO UNITARIO]]</f>
        <v>0</v>
      </c>
      <c r="R125" s="267" t="str">
        <f>ENTRADA_PT[[#This Row],[CÓDIGO]]</f>
        <v>PT06</v>
      </c>
      <c r="S125" s="95" t="str">
        <f>ENTRADA_PT[[#This Row],[FECHA]]</f>
        <v>AGOSTO</v>
      </c>
      <c r="T125" s="1" t="str">
        <f>IFERROR(VLOOKUP(R125,PT[],2,FALSE),"NO EXISTE")</f>
        <v>PALMITO TROZO 400</v>
      </c>
      <c r="U125" s="591">
        <f>IFERROR(SALIDA_PT[[#This Row],[CANTIDAD]]/ENTRADA_PT[[#This Row],[CANTIDAD]],0%)</f>
        <v>0</v>
      </c>
      <c r="V125" s="633">
        <f>VPN!M11+VPE!M12</f>
        <v>0</v>
      </c>
      <c r="W125" s="93">
        <f>ENTRADA_PT[[#This Row],[COSTO UNITARIO]]</f>
        <v>0</v>
      </c>
      <c r="X125" s="147">
        <f t="shared" si="2"/>
        <v>0</v>
      </c>
    </row>
    <row r="126" spans="11:24" x14ac:dyDescent="0.35">
      <c r="K126" s="95" t="str">
        <f>CP!A535</f>
        <v>PT07</v>
      </c>
      <c r="L126" s="95" t="str">
        <f>CP!B535</f>
        <v>AGOSTO</v>
      </c>
      <c r="M126" s="95" t="str">
        <f>IFERROR(VLOOKUP(K126,PT[],2,FALSE),"NO EXISTE")</f>
        <v>PALMITO TROZO  A-10</v>
      </c>
      <c r="N126" s="441">
        <f>CP!D535</f>
        <v>0</v>
      </c>
      <c r="O126" s="94">
        <f>IFERROR(CP!E535,0*1)</f>
        <v>0</v>
      </c>
      <c r="P126" s="94">
        <f>ENTRADA_PT[[#This Row],[CANTIDAD]]*ENTRADA_PT[[#This Row],[COSTO UNITARIO]]</f>
        <v>0</v>
      </c>
      <c r="R126" s="267" t="str">
        <f>ENTRADA_PT[[#This Row],[CÓDIGO]]</f>
        <v>PT07</v>
      </c>
      <c r="S126" s="95" t="str">
        <f>ENTRADA_PT[[#This Row],[FECHA]]</f>
        <v>AGOSTO</v>
      </c>
      <c r="T126" s="1" t="str">
        <f>IFERROR(VLOOKUP(R126,PT[],2,FALSE),"NO EXISTE")</f>
        <v>PALMITO TROZO  A-10</v>
      </c>
      <c r="U126" s="591">
        <f>IFERROR(SALIDA_PT[[#This Row],[CANTIDAD]]/ENTRADA_PT[[#This Row],[CANTIDAD]],0%)</f>
        <v>0</v>
      </c>
      <c r="V126" s="633">
        <f>VPN!M12+VPE!M13</f>
        <v>0</v>
      </c>
      <c r="W126" s="93">
        <f>ENTRADA_PT[[#This Row],[COSTO UNITARIO]]</f>
        <v>0</v>
      </c>
      <c r="X126" s="147">
        <f t="shared" si="2"/>
        <v>0</v>
      </c>
    </row>
    <row r="127" spans="11:24" x14ac:dyDescent="0.35">
      <c r="K127" s="95" t="str">
        <f>CP!A536</f>
        <v>PT08</v>
      </c>
      <c r="L127" s="95" t="str">
        <f>CP!B536</f>
        <v>AGOSTO</v>
      </c>
      <c r="M127" s="95" t="str">
        <f>IFERROR(VLOOKUP(K127,PT[],2,FALSE),"NO EXISTE")</f>
        <v>PALMITO RODAJA  A-10</v>
      </c>
      <c r="N127" s="441">
        <f>CP!D536</f>
        <v>0</v>
      </c>
      <c r="O127" s="94">
        <f>IFERROR(CP!E536,0*1)</f>
        <v>0</v>
      </c>
      <c r="P127" s="94">
        <f>ENTRADA_PT[[#This Row],[CANTIDAD]]*ENTRADA_PT[[#This Row],[COSTO UNITARIO]]</f>
        <v>0</v>
      </c>
      <c r="R127" s="267" t="str">
        <f>ENTRADA_PT[[#This Row],[CÓDIGO]]</f>
        <v>PT08</v>
      </c>
      <c r="S127" s="95" t="str">
        <f>ENTRADA_PT[[#This Row],[FECHA]]</f>
        <v>AGOSTO</v>
      </c>
      <c r="T127" s="1" t="str">
        <f>IFERROR(VLOOKUP(R127,PT[],2,FALSE),"NO EXISTE")</f>
        <v>PALMITO RODAJA  A-10</v>
      </c>
      <c r="U127" s="591">
        <f>IFERROR(SALIDA_PT[[#This Row],[CANTIDAD]]/ENTRADA_PT[[#This Row],[CANTIDAD]],0%)</f>
        <v>0</v>
      </c>
      <c r="V127" s="633">
        <f>VPN!M13+VPE!M14</f>
        <v>0</v>
      </c>
      <c r="W127" s="93">
        <f>ENTRADA_PT[[#This Row],[COSTO UNITARIO]]</f>
        <v>0</v>
      </c>
      <c r="X127" s="147">
        <f t="shared" si="2"/>
        <v>0</v>
      </c>
    </row>
    <row r="128" spans="11:24" x14ac:dyDescent="0.35">
      <c r="K128" s="95" t="str">
        <f>CP!A537</f>
        <v>PT09</v>
      </c>
      <c r="L128" s="95" t="str">
        <f>CP!B537</f>
        <v>AGOSTO</v>
      </c>
      <c r="M128" s="95" t="str">
        <f>IFERROR(VLOOKUP(K128,PT[],2,FALSE),"NO EXISTE")</f>
        <v>PIÑA RODAJA 850</v>
      </c>
      <c r="N128" s="441">
        <f>CP!D537</f>
        <v>0</v>
      </c>
      <c r="O128" s="94">
        <f>IFERROR(CP!E537,0*1)</f>
        <v>0</v>
      </c>
      <c r="P128" s="94">
        <f>ENTRADA_PT[[#This Row],[CANTIDAD]]*ENTRADA_PT[[#This Row],[COSTO UNITARIO]]</f>
        <v>0</v>
      </c>
      <c r="R128" s="267" t="str">
        <f>ENTRADA_PT[[#This Row],[CÓDIGO]]</f>
        <v>PT09</v>
      </c>
      <c r="S128" s="95" t="str">
        <f>ENTRADA_PT[[#This Row],[FECHA]]</f>
        <v>AGOSTO</v>
      </c>
      <c r="T128" s="1" t="str">
        <f>IFERROR(VLOOKUP(R128,PT[],2,FALSE),"NO EXISTE")</f>
        <v>PIÑA RODAJA 850</v>
      </c>
      <c r="U128" s="591">
        <f>IFERROR(SALIDA_PT[[#This Row],[CANTIDAD]]/ENTRADA_PT[[#This Row],[CANTIDAD]],0%)</f>
        <v>0</v>
      </c>
      <c r="V128" s="633">
        <f>VPN!M16+VPE!M17</f>
        <v>0</v>
      </c>
      <c r="W128" s="93">
        <f>ENTRADA_PT[[#This Row],[COSTO UNITARIO]]</f>
        <v>0</v>
      </c>
      <c r="X128" s="147">
        <f t="shared" si="2"/>
        <v>0</v>
      </c>
    </row>
    <row r="129" spans="11:24" x14ac:dyDescent="0.35">
      <c r="K129" s="95" t="str">
        <f>CP!A538</f>
        <v>PT10</v>
      </c>
      <c r="L129" s="95" t="str">
        <f>CP!B538</f>
        <v>AGOSTO</v>
      </c>
      <c r="M129" s="95" t="str">
        <f>IFERROR(VLOOKUP(K129,PT[],2,FALSE),"NO EXISTE")</f>
        <v>PIÑA TROZO 850</v>
      </c>
      <c r="N129" s="441">
        <f>CP!D538</f>
        <v>0</v>
      </c>
      <c r="O129" s="94">
        <f>IFERROR(CP!E538,0*1)</f>
        <v>0</v>
      </c>
      <c r="P129" s="94">
        <f>ENTRADA_PT[[#This Row],[CANTIDAD]]*ENTRADA_PT[[#This Row],[COSTO UNITARIO]]</f>
        <v>0</v>
      </c>
      <c r="R129" s="267" t="str">
        <f>ENTRADA_PT[[#This Row],[CÓDIGO]]</f>
        <v>PT10</v>
      </c>
      <c r="S129" s="95" t="str">
        <f>ENTRADA_PT[[#This Row],[FECHA]]</f>
        <v>AGOSTO</v>
      </c>
      <c r="T129" s="1" t="str">
        <f>IFERROR(VLOOKUP(R129,PT[],2,FALSE),"NO EXISTE")</f>
        <v>PIÑA TROZO 850</v>
      </c>
      <c r="U129" s="591">
        <f>IFERROR(SALIDA_PT[[#This Row],[CANTIDAD]]/ENTRADA_PT[[#This Row],[CANTIDAD]],0%)</f>
        <v>0</v>
      </c>
      <c r="V129" s="633">
        <f>VPN!M17+VPE!M18</f>
        <v>0</v>
      </c>
      <c r="W129" s="93">
        <f>ENTRADA_PT[[#This Row],[COSTO UNITARIO]]</f>
        <v>0</v>
      </c>
      <c r="X129" s="147">
        <f t="shared" si="2"/>
        <v>0</v>
      </c>
    </row>
    <row r="130" spans="11:24" x14ac:dyDescent="0.35">
      <c r="K130" s="95" t="str">
        <f>CP!A539</f>
        <v>PT11</v>
      </c>
      <c r="L130" s="95" t="str">
        <f>CP!B539</f>
        <v>AGOSTO</v>
      </c>
      <c r="M130" s="95" t="str">
        <f>IFERROR(VLOOKUP(K130,PT[],2,FALSE),"NO EXISTE")</f>
        <v>PIÑA TROZO A-10</v>
      </c>
      <c r="N130" s="441">
        <f>CP!D539</f>
        <v>0</v>
      </c>
      <c r="O130" s="94">
        <f>IFERROR(CP!E539,0*1)</f>
        <v>0</v>
      </c>
      <c r="P130" s="94">
        <f>ENTRADA_PT[[#This Row],[CANTIDAD]]*ENTRADA_PT[[#This Row],[COSTO UNITARIO]]</f>
        <v>0</v>
      </c>
      <c r="R130" s="267" t="str">
        <f>ENTRADA_PT[[#This Row],[CÓDIGO]]</f>
        <v>PT11</v>
      </c>
      <c r="S130" s="95" t="str">
        <f>ENTRADA_PT[[#This Row],[FECHA]]</f>
        <v>AGOSTO</v>
      </c>
      <c r="T130" s="1" t="str">
        <f>IFERROR(VLOOKUP(R130,PT[],2,FALSE),"NO EXISTE")</f>
        <v>PIÑA TROZO A-10</v>
      </c>
      <c r="U130" s="591">
        <f>IFERROR(SALIDA_PT[[#This Row],[CANTIDAD]]/ENTRADA_PT[[#This Row],[CANTIDAD]],0%)</f>
        <v>0</v>
      </c>
      <c r="V130" s="633">
        <f>VPN!M18+VPE!M19</f>
        <v>0</v>
      </c>
      <c r="W130" s="93">
        <f>ENTRADA_PT[[#This Row],[COSTO UNITARIO]]</f>
        <v>0</v>
      </c>
      <c r="X130" s="147">
        <f t="shared" si="2"/>
        <v>0</v>
      </c>
    </row>
    <row r="131" spans="11:24" x14ac:dyDescent="0.35">
      <c r="K131" s="95" t="str">
        <f>CP!A540</f>
        <v>PT12</v>
      </c>
      <c r="L131" s="95" t="str">
        <f>CP!B540</f>
        <v>AGOSTO</v>
      </c>
      <c r="M131" s="95" t="str">
        <f>IFERROR(VLOOKUP(K131,PT[],2,FALSE),"NO EXISTE")</f>
        <v>PIÑA RODAJA A-10</v>
      </c>
      <c r="N131" s="441">
        <f>CP!D540</f>
        <v>0</v>
      </c>
      <c r="O131" s="94">
        <f>IFERROR(CP!E540,0*1)</f>
        <v>0</v>
      </c>
      <c r="P131" s="94">
        <f>ENTRADA_PT[[#This Row],[CANTIDAD]]*ENTRADA_PT[[#This Row],[COSTO UNITARIO]]</f>
        <v>0</v>
      </c>
      <c r="R131" s="267" t="str">
        <f>ENTRADA_PT[[#This Row],[CÓDIGO]]</f>
        <v>PT12</v>
      </c>
      <c r="S131" s="95" t="str">
        <f>ENTRADA_PT[[#This Row],[FECHA]]</f>
        <v>AGOSTO</v>
      </c>
      <c r="T131" s="1" t="str">
        <f>IFERROR(VLOOKUP(R131,PT[],2,FALSE),"NO EXISTE")</f>
        <v>PIÑA RODAJA A-10</v>
      </c>
      <c r="U131" s="591">
        <f>IFERROR(SALIDA_PT[[#This Row],[CANTIDAD]]/ENTRADA_PT[[#This Row],[CANTIDAD]],0%)</f>
        <v>0</v>
      </c>
      <c r="V131" s="633">
        <f>VPN!M19+VPE!M20</f>
        <v>0</v>
      </c>
      <c r="W131" s="93">
        <f>ENTRADA_PT[[#This Row],[COSTO UNITARIO]]</f>
        <v>0</v>
      </c>
      <c r="X131" s="147">
        <f t="shared" si="2"/>
        <v>0</v>
      </c>
    </row>
    <row r="132" spans="11:24" x14ac:dyDescent="0.35">
      <c r="K132" s="95" t="str">
        <f>CP!A541</f>
        <v>PT13</v>
      </c>
      <c r="L132" s="95" t="str">
        <f>CP!B541</f>
        <v>AGOSTO</v>
      </c>
      <c r="M132" s="95" t="str">
        <f>IFERROR(VLOOKUP(K132,PT[],2,FALSE),"NO EXISTE")</f>
        <v>PIÑA RODAJA 567</v>
      </c>
      <c r="N132" s="441">
        <f>CP!D541</f>
        <v>270000</v>
      </c>
      <c r="O132" s="94">
        <f>IFERROR(CP!E541,0*1)</f>
        <v>0.96041166831383962</v>
      </c>
      <c r="P132" s="94">
        <f>ENTRADA_PT[[#This Row],[CANTIDAD]]*ENTRADA_PT[[#This Row],[COSTO UNITARIO]]</f>
        <v>259311.1504447367</v>
      </c>
      <c r="R132" s="267" t="str">
        <f>ENTRADA_PT[[#This Row],[CÓDIGO]]</f>
        <v>PT13</v>
      </c>
      <c r="S132" s="95" t="str">
        <f>ENTRADA_PT[[#This Row],[FECHA]]</f>
        <v>AGOSTO</v>
      </c>
      <c r="T132" s="1" t="str">
        <f>IFERROR(VLOOKUP(R132,PT[],2,FALSE),"NO EXISTE")</f>
        <v>PIÑA RODAJA 567</v>
      </c>
      <c r="U132" s="591">
        <f>IFERROR(SALIDA_PT[[#This Row],[CANTIDAD]]/ENTRADA_PT[[#This Row],[CANTIDAD]],0%)</f>
        <v>1</v>
      </c>
      <c r="V132" s="633">
        <f>VPN!M20+VPE!M21</f>
        <v>270000</v>
      </c>
      <c r="W132" s="93">
        <f>ENTRADA_PT[[#This Row],[COSTO UNITARIO]]</f>
        <v>0.96041166831383962</v>
      </c>
      <c r="X132" s="147">
        <f t="shared" si="2"/>
        <v>259311.1504447367</v>
      </c>
    </row>
    <row r="133" spans="11:24" x14ac:dyDescent="0.35">
      <c r="K133" s="95" t="str">
        <f>CP!A542</f>
        <v>PT14</v>
      </c>
      <c r="L133" s="95" t="str">
        <f>CP!B542</f>
        <v>AGOSTO</v>
      </c>
      <c r="M133" s="95" t="str">
        <f>IFERROR(VLOOKUP(K133,PT[],2,FALSE),"NO EXISTE")</f>
        <v>PIÑA TROZO 567</v>
      </c>
      <c r="N133" s="441">
        <f>CP!D542</f>
        <v>108000</v>
      </c>
      <c r="O133" s="94">
        <f>IFERROR(CP!E542,0*1)</f>
        <v>0.9604116683138394</v>
      </c>
      <c r="P133" s="94">
        <f>ENTRADA_PT[[#This Row],[CANTIDAD]]*ENTRADA_PT[[#This Row],[COSTO UNITARIO]]</f>
        <v>103724.46017789465</v>
      </c>
      <c r="R133" s="267" t="str">
        <f>ENTRADA_PT[[#This Row],[CÓDIGO]]</f>
        <v>PT14</v>
      </c>
      <c r="S133" s="95" t="str">
        <f>ENTRADA_PT[[#This Row],[FECHA]]</f>
        <v>AGOSTO</v>
      </c>
      <c r="T133" s="1" t="str">
        <f>IFERROR(VLOOKUP(R133,PT[],2,FALSE),"NO EXISTE")</f>
        <v>PIÑA TROZO 567</v>
      </c>
      <c r="U133" s="591">
        <f>IFERROR(SALIDA_PT[[#This Row],[CANTIDAD]]/ENTRADA_PT[[#This Row],[CANTIDAD]],0%)</f>
        <v>1</v>
      </c>
      <c r="V133" s="633">
        <f>VPN!M21+VPE!M22</f>
        <v>108000</v>
      </c>
      <c r="W133" s="93">
        <f>ENTRADA_PT[[#This Row],[COSTO UNITARIO]]</f>
        <v>0.9604116683138394</v>
      </c>
      <c r="X133" s="147">
        <f t="shared" si="2"/>
        <v>103724.46017789465</v>
      </c>
    </row>
    <row r="134" spans="11:24" x14ac:dyDescent="0.35">
      <c r="K134" s="95" t="str">
        <f>CP!A543</f>
        <v>PT15</v>
      </c>
      <c r="L134" s="95" t="str">
        <f>CP!B543</f>
        <v>AGOSTO</v>
      </c>
      <c r="M134" s="95" t="str">
        <f>IFERROR(VLOOKUP(K134,PT[],2,FALSE),"NO EXISTE")</f>
        <v>PIÑA RODAJA 822</v>
      </c>
      <c r="N134" s="441">
        <f>CP!D543</f>
        <v>73440</v>
      </c>
      <c r="O134" s="94">
        <f>IFERROR(CP!E543,0*1)</f>
        <v>1.2984286501572693</v>
      </c>
      <c r="P134" s="94">
        <f>ENTRADA_PT[[#This Row],[CANTIDAD]]*ENTRADA_PT[[#This Row],[COSTO UNITARIO]]</f>
        <v>95356.600067549851</v>
      </c>
      <c r="R134" s="267" t="str">
        <f>ENTRADA_PT[[#This Row],[CÓDIGO]]</f>
        <v>PT15</v>
      </c>
      <c r="S134" s="95" t="str">
        <f>ENTRADA_PT[[#This Row],[FECHA]]</f>
        <v>AGOSTO</v>
      </c>
      <c r="T134" s="1" t="str">
        <f>IFERROR(VLOOKUP(R134,PT[],2,FALSE),"NO EXISTE")</f>
        <v>PIÑA RODAJA 822</v>
      </c>
      <c r="U134" s="591">
        <f>IFERROR(SALIDA_PT[[#This Row],[CANTIDAD]]/ENTRADA_PT[[#This Row],[CANTIDAD]],0%)</f>
        <v>1</v>
      </c>
      <c r="V134" s="633">
        <f>VPN!M22+VPE!M23</f>
        <v>73440</v>
      </c>
      <c r="W134" s="93">
        <f>ENTRADA_PT[[#This Row],[COSTO UNITARIO]]</f>
        <v>1.2984286501572693</v>
      </c>
      <c r="X134" s="147">
        <f t="shared" si="2"/>
        <v>95356.600067549851</v>
      </c>
    </row>
    <row r="135" spans="11:24" ht="16" thickBot="1" x14ac:dyDescent="0.4">
      <c r="K135" s="95" t="str">
        <f>CP!A544</f>
        <v>PT16</v>
      </c>
      <c r="L135" s="95" t="str">
        <f>CP!B544</f>
        <v>AGOSTO</v>
      </c>
      <c r="M135" s="95" t="str">
        <f>IFERROR(VLOOKUP(K135,PT[],2,FALSE),"NO EXISTE")</f>
        <v>PIÑA TROZO 822</v>
      </c>
      <c r="N135" s="441">
        <f>CP!D544</f>
        <v>36720</v>
      </c>
      <c r="O135" s="94">
        <f>IFERROR(CP!E544,0*1)</f>
        <v>1.2984286501572693</v>
      </c>
      <c r="P135" s="94">
        <f>ENTRADA_PT[[#This Row],[CANTIDAD]]*ENTRADA_PT[[#This Row],[COSTO UNITARIO]]</f>
        <v>47678.300033774925</v>
      </c>
      <c r="R135" s="268" t="str">
        <f>ENTRADA_PT[[#This Row],[CÓDIGO]]</f>
        <v>PT16</v>
      </c>
      <c r="S135" s="126" t="str">
        <f>ENTRADA_PT[[#This Row],[FECHA]]</f>
        <v>AGOSTO</v>
      </c>
      <c r="T135" s="77" t="str">
        <f>IFERROR(VLOOKUP(R135,PT[],2,FALSE),"NO EXISTE")</f>
        <v>PIÑA TROZO 822</v>
      </c>
      <c r="U135" s="632">
        <f>IFERROR(SALIDA_PT[[#This Row],[CANTIDAD]]/ENTRADA_PT[[#This Row],[CANTIDAD]],0%)</f>
        <v>1</v>
      </c>
      <c r="V135" s="634">
        <f>VPN!M23+VPE!M24</f>
        <v>36720</v>
      </c>
      <c r="W135" s="560">
        <f>ENTRADA_PT[[#This Row],[COSTO UNITARIO]]</f>
        <v>1.2984286501572693</v>
      </c>
      <c r="X135" s="281">
        <f t="shared" si="2"/>
        <v>47678.300033774925</v>
      </c>
    </row>
    <row r="136" spans="11:24" x14ac:dyDescent="0.35">
      <c r="K136" s="95" t="str">
        <f>CP!A545</f>
        <v>PT01</v>
      </c>
      <c r="L136" s="95" t="str">
        <f>CP!B545</f>
        <v>SEPTIEMBRE</v>
      </c>
      <c r="M136" s="95" t="str">
        <f>IFERROR(VLOOKUP(K136,PT[],2,FALSE),"NO EXISTE")</f>
        <v xml:space="preserve">PALMITO ENTERO 800 </v>
      </c>
      <c r="N136" s="441">
        <f>CP!D545</f>
        <v>0</v>
      </c>
      <c r="O136" s="94">
        <f>IFERROR(CP!E545,0*1)</f>
        <v>0</v>
      </c>
      <c r="P136" s="94">
        <f>ENTRADA_PT[[#This Row],[CANTIDAD]]*ENTRADA_PT[[#This Row],[COSTO UNITARIO]]</f>
        <v>0</v>
      </c>
      <c r="R136" s="265" t="str">
        <f>ENTRADA_PT[[#This Row],[CÓDIGO]]</f>
        <v>PT01</v>
      </c>
      <c r="S136" s="266" t="str">
        <f>ENTRADA_PT[[#This Row],[FECHA]]</f>
        <v>SEPTIEMBRE</v>
      </c>
      <c r="T136" s="278" t="str">
        <f>IFERROR(VLOOKUP(R136,PT[],2,FALSE),"NO EXISTE")</f>
        <v xml:space="preserve">PALMITO ENTERO 800 </v>
      </c>
      <c r="U136" s="631">
        <f>IFERROR(SALIDA_PT[[#This Row],[CANTIDAD]]/ENTRADA_PT[[#This Row],[CANTIDAD]],0%)</f>
        <v>0</v>
      </c>
      <c r="V136" s="413">
        <f>VPN!N6+VPE!N7</f>
        <v>0</v>
      </c>
      <c r="W136" s="140">
        <f>ENTRADA_PT[[#This Row],[COSTO UNITARIO]]</f>
        <v>0</v>
      </c>
      <c r="X136" s="142">
        <f t="shared" si="2"/>
        <v>0</v>
      </c>
    </row>
    <row r="137" spans="11:24" x14ac:dyDescent="0.35">
      <c r="K137" s="95" t="str">
        <f>CP!A546</f>
        <v>PT02</v>
      </c>
      <c r="L137" s="95" t="str">
        <f>CP!B546</f>
        <v>SEPTIEMBRE</v>
      </c>
      <c r="M137" s="95" t="str">
        <f>IFERROR(VLOOKUP(K137,PT[],2,FALSE),"NO EXISTE")</f>
        <v>PALMITO RODAJA 800</v>
      </c>
      <c r="N137" s="441">
        <f>CP!D546</f>
        <v>0</v>
      </c>
      <c r="O137" s="94">
        <f>IFERROR(CP!E546,0*1)</f>
        <v>0</v>
      </c>
      <c r="P137" s="94">
        <f>ENTRADA_PT[[#This Row],[CANTIDAD]]*ENTRADA_PT[[#This Row],[COSTO UNITARIO]]</f>
        <v>0</v>
      </c>
      <c r="R137" s="267" t="str">
        <f>ENTRADA_PT[[#This Row],[CÓDIGO]]</f>
        <v>PT02</v>
      </c>
      <c r="S137" s="95" t="str">
        <f>ENTRADA_PT[[#This Row],[FECHA]]</f>
        <v>SEPTIEMBRE</v>
      </c>
      <c r="T137" s="1" t="str">
        <f>IFERROR(VLOOKUP(R137,PT[],2,FALSE),"NO EXISTE")</f>
        <v>PALMITO RODAJA 800</v>
      </c>
      <c r="U137" s="591">
        <f>IFERROR(SALIDA_PT[[#This Row],[CANTIDAD]]/ENTRADA_PT[[#This Row],[CANTIDAD]],0%)</f>
        <v>0</v>
      </c>
      <c r="V137" s="633">
        <f>VPN!N7+VPE!N8</f>
        <v>0</v>
      </c>
      <c r="W137" s="93">
        <f>ENTRADA_PT[[#This Row],[COSTO UNITARIO]]</f>
        <v>0</v>
      </c>
      <c r="X137" s="147">
        <f t="shared" si="2"/>
        <v>0</v>
      </c>
    </row>
    <row r="138" spans="11:24" x14ac:dyDescent="0.35">
      <c r="K138" s="95" t="str">
        <f>CP!A547</f>
        <v>PT03</v>
      </c>
      <c r="L138" s="95" t="str">
        <f>CP!B547</f>
        <v>SEPTIEMBRE</v>
      </c>
      <c r="M138" s="95" t="str">
        <f>IFERROR(VLOOKUP(K138,PT[],2,FALSE),"NO EXISTE")</f>
        <v>PALMITO TROZO 800</v>
      </c>
      <c r="N138" s="441">
        <f>CP!D547</f>
        <v>0</v>
      </c>
      <c r="O138" s="94">
        <f>IFERROR(CP!E547,0*1)</f>
        <v>0</v>
      </c>
      <c r="P138" s="94">
        <f>ENTRADA_PT[[#This Row],[CANTIDAD]]*ENTRADA_PT[[#This Row],[COSTO UNITARIO]]</f>
        <v>0</v>
      </c>
      <c r="R138" s="267" t="str">
        <f>ENTRADA_PT[[#This Row],[CÓDIGO]]</f>
        <v>PT03</v>
      </c>
      <c r="S138" s="95" t="str">
        <f>ENTRADA_PT[[#This Row],[FECHA]]</f>
        <v>SEPTIEMBRE</v>
      </c>
      <c r="T138" s="1" t="str">
        <f>IFERROR(VLOOKUP(R138,PT[],2,FALSE),"NO EXISTE")</f>
        <v>PALMITO TROZO 800</v>
      </c>
      <c r="U138" s="591">
        <f>IFERROR(SALIDA_PT[[#This Row],[CANTIDAD]]/ENTRADA_PT[[#This Row],[CANTIDAD]],0%)</f>
        <v>0</v>
      </c>
      <c r="V138" s="633">
        <f>VPN!N8+VPE!N9</f>
        <v>0</v>
      </c>
      <c r="W138" s="93">
        <f>ENTRADA_PT[[#This Row],[COSTO UNITARIO]]</f>
        <v>0</v>
      </c>
      <c r="X138" s="147">
        <f t="shared" si="2"/>
        <v>0</v>
      </c>
    </row>
    <row r="139" spans="11:24" x14ac:dyDescent="0.35">
      <c r="K139" s="95" t="str">
        <f>CP!A548</f>
        <v>PT04</v>
      </c>
      <c r="L139" s="95" t="str">
        <f>CP!B548</f>
        <v>SEPTIEMBRE</v>
      </c>
      <c r="M139" s="95" t="str">
        <f>IFERROR(VLOOKUP(K139,PT[],2,FALSE),"NO EXISTE")</f>
        <v>PALMITO ENTERO 400</v>
      </c>
      <c r="N139" s="441">
        <f>CP!D548</f>
        <v>0</v>
      </c>
      <c r="O139" s="94">
        <f>IFERROR(CP!E548,0*1)</f>
        <v>0</v>
      </c>
      <c r="P139" s="94">
        <f>ENTRADA_PT[[#This Row],[CANTIDAD]]*ENTRADA_PT[[#This Row],[COSTO UNITARIO]]</f>
        <v>0</v>
      </c>
      <c r="R139" s="267" t="str">
        <f>ENTRADA_PT[[#This Row],[CÓDIGO]]</f>
        <v>PT04</v>
      </c>
      <c r="S139" s="95" t="str">
        <f>ENTRADA_PT[[#This Row],[FECHA]]</f>
        <v>SEPTIEMBRE</v>
      </c>
      <c r="T139" s="1" t="str">
        <f>IFERROR(VLOOKUP(R139,PT[],2,FALSE),"NO EXISTE")</f>
        <v>PALMITO ENTERO 400</v>
      </c>
      <c r="U139" s="591">
        <f>IFERROR(SALIDA_PT[[#This Row],[CANTIDAD]]/ENTRADA_PT[[#This Row],[CANTIDAD]],0%)</f>
        <v>0</v>
      </c>
      <c r="V139" s="633">
        <f>VPN!N9+VPE!N10</f>
        <v>0</v>
      </c>
      <c r="W139" s="93">
        <f>ENTRADA_PT[[#This Row],[COSTO UNITARIO]]</f>
        <v>0</v>
      </c>
      <c r="X139" s="147">
        <f t="shared" si="2"/>
        <v>0</v>
      </c>
    </row>
    <row r="140" spans="11:24" x14ac:dyDescent="0.35">
      <c r="K140" s="95" t="str">
        <f>CP!A549</f>
        <v>PT05</v>
      </c>
      <c r="L140" s="95" t="str">
        <f>CP!B549</f>
        <v>SEPTIEMBRE</v>
      </c>
      <c r="M140" s="95" t="str">
        <f>IFERROR(VLOOKUP(K140,PT[],2,FALSE),"NO EXISTE")</f>
        <v>PALMITO RODAJA 400</v>
      </c>
      <c r="N140" s="441">
        <f>CP!D549</f>
        <v>0</v>
      </c>
      <c r="O140" s="94">
        <f>IFERROR(CP!E549,0*1)</f>
        <v>0</v>
      </c>
      <c r="P140" s="94">
        <f>ENTRADA_PT[[#This Row],[CANTIDAD]]*ENTRADA_PT[[#This Row],[COSTO UNITARIO]]</f>
        <v>0</v>
      </c>
      <c r="R140" s="267" t="str">
        <f>ENTRADA_PT[[#This Row],[CÓDIGO]]</f>
        <v>PT05</v>
      </c>
      <c r="S140" s="95" t="str">
        <f>ENTRADA_PT[[#This Row],[FECHA]]</f>
        <v>SEPTIEMBRE</v>
      </c>
      <c r="T140" s="1" t="str">
        <f>IFERROR(VLOOKUP(R140,PT[],2,FALSE),"NO EXISTE")</f>
        <v>PALMITO RODAJA 400</v>
      </c>
      <c r="U140" s="591">
        <f>IFERROR(SALIDA_PT[[#This Row],[CANTIDAD]]/ENTRADA_PT[[#This Row],[CANTIDAD]],0%)</f>
        <v>0</v>
      </c>
      <c r="V140" s="633">
        <f>VPN!N10+VPE!N11</f>
        <v>0</v>
      </c>
      <c r="W140" s="93">
        <f>ENTRADA_PT[[#This Row],[COSTO UNITARIO]]</f>
        <v>0</v>
      </c>
      <c r="X140" s="147">
        <f t="shared" si="2"/>
        <v>0</v>
      </c>
    </row>
    <row r="141" spans="11:24" x14ac:dyDescent="0.35">
      <c r="K141" s="95" t="str">
        <f>CP!A550</f>
        <v>PT06</v>
      </c>
      <c r="L141" s="95" t="str">
        <f>CP!B550</f>
        <v>SEPTIEMBRE</v>
      </c>
      <c r="M141" s="95" t="str">
        <f>IFERROR(VLOOKUP(K141,PT[],2,FALSE),"NO EXISTE")</f>
        <v>PALMITO TROZO 400</v>
      </c>
      <c r="N141" s="441">
        <f>CP!D550</f>
        <v>0</v>
      </c>
      <c r="O141" s="94">
        <f>IFERROR(CP!E550,0*1)</f>
        <v>0</v>
      </c>
      <c r="P141" s="94">
        <f>ENTRADA_PT[[#This Row],[CANTIDAD]]*ENTRADA_PT[[#This Row],[COSTO UNITARIO]]</f>
        <v>0</v>
      </c>
      <c r="R141" s="267" t="str">
        <f>ENTRADA_PT[[#This Row],[CÓDIGO]]</f>
        <v>PT06</v>
      </c>
      <c r="S141" s="95" t="str">
        <f>ENTRADA_PT[[#This Row],[FECHA]]</f>
        <v>SEPTIEMBRE</v>
      </c>
      <c r="T141" s="1" t="str">
        <f>IFERROR(VLOOKUP(R141,PT[],2,FALSE),"NO EXISTE")</f>
        <v>PALMITO TROZO 400</v>
      </c>
      <c r="U141" s="591">
        <f>IFERROR(SALIDA_PT[[#This Row],[CANTIDAD]]/ENTRADA_PT[[#This Row],[CANTIDAD]],0%)</f>
        <v>0</v>
      </c>
      <c r="V141" s="633">
        <f>VPN!N11+VPE!N12</f>
        <v>0</v>
      </c>
      <c r="W141" s="93">
        <f>ENTRADA_PT[[#This Row],[COSTO UNITARIO]]</f>
        <v>0</v>
      </c>
      <c r="X141" s="147">
        <f t="shared" si="2"/>
        <v>0</v>
      </c>
    </row>
    <row r="142" spans="11:24" x14ac:dyDescent="0.35">
      <c r="K142" s="95" t="str">
        <f>CP!A551</f>
        <v>PT07</v>
      </c>
      <c r="L142" s="95" t="str">
        <f>CP!B551</f>
        <v>SEPTIEMBRE</v>
      </c>
      <c r="M142" s="95" t="str">
        <f>IFERROR(VLOOKUP(K142,PT[],2,FALSE),"NO EXISTE")</f>
        <v>PALMITO TROZO  A-10</v>
      </c>
      <c r="N142" s="441">
        <f>CP!D551</f>
        <v>0</v>
      </c>
      <c r="O142" s="94">
        <f>IFERROR(CP!E551,0*1)</f>
        <v>0</v>
      </c>
      <c r="P142" s="94">
        <f>ENTRADA_PT[[#This Row],[CANTIDAD]]*ENTRADA_PT[[#This Row],[COSTO UNITARIO]]</f>
        <v>0</v>
      </c>
      <c r="R142" s="267" t="str">
        <f>ENTRADA_PT[[#This Row],[CÓDIGO]]</f>
        <v>PT07</v>
      </c>
      <c r="S142" s="95" t="str">
        <f>ENTRADA_PT[[#This Row],[FECHA]]</f>
        <v>SEPTIEMBRE</v>
      </c>
      <c r="T142" s="1" t="str">
        <f>IFERROR(VLOOKUP(R142,PT[],2,FALSE),"NO EXISTE")</f>
        <v>PALMITO TROZO  A-10</v>
      </c>
      <c r="U142" s="591">
        <f>IFERROR(SALIDA_PT[[#This Row],[CANTIDAD]]/ENTRADA_PT[[#This Row],[CANTIDAD]],0%)</f>
        <v>0</v>
      </c>
      <c r="V142" s="633">
        <f>VPN!N12+VPE!N13</f>
        <v>0</v>
      </c>
      <c r="W142" s="93">
        <f>ENTRADA_PT[[#This Row],[COSTO UNITARIO]]</f>
        <v>0</v>
      </c>
      <c r="X142" s="147">
        <f t="shared" si="2"/>
        <v>0</v>
      </c>
    </row>
    <row r="143" spans="11:24" x14ac:dyDescent="0.35">
      <c r="K143" s="95" t="str">
        <f>CP!A552</f>
        <v>PT08</v>
      </c>
      <c r="L143" s="95" t="str">
        <f>CP!B552</f>
        <v>SEPTIEMBRE</v>
      </c>
      <c r="M143" s="95" t="str">
        <f>IFERROR(VLOOKUP(K143,PT[],2,FALSE),"NO EXISTE")</f>
        <v>PALMITO RODAJA  A-10</v>
      </c>
      <c r="N143" s="441">
        <f>CP!D552</f>
        <v>0</v>
      </c>
      <c r="O143" s="94">
        <f>IFERROR(CP!E552,0*1)</f>
        <v>0</v>
      </c>
      <c r="P143" s="94">
        <f>ENTRADA_PT[[#This Row],[CANTIDAD]]*ENTRADA_PT[[#This Row],[COSTO UNITARIO]]</f>
        <v>0</v>
      </c>
      <c r="R143" s="267" t="str">
        <f>ENTRADA_PT[[#This Row],[CÓDIGO]]</f>
        <v>PT08</v>
      </c>
      <c r="S143" s="95" t="str">
        <f>ENTRADA_PT[[#This Row],[FECHA]]</f>
        <v>SEPTIEMBRE</v>
      </c>
      <c r="T143" s="1" t="str">
        <f>IFERROR(VLOOKUP(R143,PT[],2,FALSE),"NO EXISTE")</f>
        <v>PALMITO RODAJA  A-10</v>
      </c>
      <c r="U143" s="591">
        <f>IFERROR(SALIDA_PT[[#This Row],[CANTIDAD]]/ENTRADA_PT[[#This Row],[CANTIDAD]],0%)</f>
        <v>0</v>
      </c>
      <c r="V143" s="633">
        <f>VPN!N13+VPE!N14</f>
        <v>0</v>
      </c>
      <c r="W143" s="93">
        <f>ENTRADA_PT[[#This Row],[COSTO UNITARIO]]</f>
        <v>0</v>
      </c>
      <c r="X143" s="147">
        <f t="shared" si="2"/>
        <v>0</v>
      </c>
    </row>
    <row r="144" spans="11:24" x14ac:dyDescent="0.35">
      <c r="K144" s="95" t="str">
        <f>CP!A553</f>
        <v>PT09</v>
      </c>
      <c r="L144" s="95" t="str">
        <f>CP!B553</f>
        <v>SEPTIEMBRE</v>
      </c>
      <c r="M144" s="95" t="str">
        <f>IFERROR(VLOOKUP(K144,PT[],2,FALSE),"NO EXISTE")</f>
        <v>PIÑA RODAJA 850</v>
      </c>
      <c r="N144" s="441">
        <f>CP!D553</f>
        <v>0</v>
      </c>
      <c r="O144" s="94">
        <f>IFERROR(CP!E553,0*1)</f>
        <v>0</v>
      </c>
      <c r="P144" s="94">
        <f>ENTRADA_PT[[#This Row],[CANTIDAD]]*ENTRADA_PT[[#This Row],[COSTO UNITARIO]]</f>
        <v>0</v>
      </c>
      <c r="R144" s="267" t="str">
        <f>ENTRADA_PT[[#This Row],[CÓDIGO]]</f>
        <v>PT09</v>
      </c>
      <c r="S144" s="95" t="str">
        <f>ENTRADA_PT[[#This Row],[FECHA]]</f>
        <v>SEPTIEMBRE</v>
      </c>
      <c r="T144" s="1" t="str">
        <f>IFERROR(VLOOKUP(R144,PT[],2,FALSE),"NO EXISTE")</f>
        <v>PIÑA RODAJA 850</v>
      </c>
      <c r="U144" s="591">
        <f>IFERROR(SALIDA_PT[[#This Row],[CANTIDAD]]/ENTRADA_PT[[#This Row],[CANTIDAD]],0%)</f>
        <v>0</v>
      </c>
      <c r="V144" s="633">
        <f>VPN!N16+VPE!N17</f>
        <v>0</v>
      </c>
      <c r="W144" s="93">
        <f>ENTRADA_PT[[#This Row],[COSTO UNITARIO]]</f>
        <v>0</v>
      </c>
      <c r="X144" s="147">
        <f t="shared" si="2"/>
        <v>0</v>
      </c>
    </row>
    <row r="145" spans="11:24" x14ac:dyDescent="0.35">
      <c r="K145" s="95" t="str">
        <f>CP!A554</f>
        <v>PT10</v>
      </c>
      <c r="L145" s="95" t="str">
        <f>CP!B554</f>
        <v>SEPTIEMBRE</v>
      </c>
      <c r="M145" s="95" t="str">
        <f>IFERROR(VLOOKUP(K145,PT[],2,FALSE),"NO EXISTE")</f>
        <v>PIÑA TROZO 850</v>
      </c>
      <c r="N145" s="441">
        <f>CP!D554</f>
        <v>0</v>
      </c>
      <c r="O145" s="94">
        <f>IFERROR(CP!E554,0*1)</f>
        <v>0</v>
      </c>
      <c r="P145" s="94">
        <f>ENTRADA_PT[[#This Row],[CANTIDAD]]*ENTRADA_PT[[#This Row],[COSTO UNITARIO]]</f>
        <v>0</v>
      </c>
      <c r="R145" s="267" t="str">
        <f>ENTRADA_PT[[#This Row],[CÓDIGO]]</f>
        <v>PT10</v>
      </c>
      <c r="S145" s="95" t="str">
        <f>ENTRADA_PT[[#This Row],[FECHA]]</f>
        <v>SEPTIEMBRE</v>
      </c>
      <c r="T145" s="1" t="str">
        <f>IFERROR(VLOOKUP(R145,PT[],2,FALSE),"NO EXISTE")</f>
        <v>PIÑA TROZO 850</v>
      </c>
      <c r="U145" s="591">
        <f>IFERROR(SALIDA_PT[[#This Row],[CANTIDAD]]/ENTRADA_PT[[#This Row],[CANTIDAD]],0%)</f>
        <v>0</v>
      </c>
      <c r="V145" s="633">
        <f>VPN!N17+VPE!N18</f>
        <v>0</v>
      </c>
      <c r="W145" s="93">
        <f>ENTRADA_PT[[#This Row],[COSTO UNITARIO]]</f>
        <v>0</v>
      </c>
      <c r="X145" s="147">
        <f t="shared" si="2"/>
        <v>0</v>
      </c>
    </row>
    <row r="146" spans="11:24" x14ac:dyDescent="0.35">
      <c r="K146" s="95" t="str">
        <f>CP!A555</f>
        <v>PT11</v>
      </c>
      <c r="L146" s="95" t="str">
        <f>CP!B555</f>
        <v>SEPTIEMBRE</v>
      </c>
      <c r="M146" s="95" t="str">
        <f>IFERROR(VLOOKUP(K146,PT[],2,FALSE),"NO EXISTE")</f>
        <v>PIÑA TROZO A-10</v>
      </c>
      <c r="N146" s="441">
        <f>CP!D555</f>
        <v>0</v>
      </c>
      <c r="O146" s="94">
        <f>IFERROR(CP!E555,0*1)</f>
        <v>0</v>
      </c>
      <c r="P146" s="94">
        <f>ENTRADA_PT[[#This Row],[CANTIDAD]]*ENTRADA_PT[[#This Row],[COSTO UNITARIO]]</f>
        <v>0</v>
      </c>
      <c r="R146" s="267" t="str">
        <f>ENTRADA_PT[[#This Row],[CÓDIGO]]</f>
        <v>PT11</v>
      </c>
      <c r="S146" s="95" t="str">
        <f>ENTRADA_PT[[#This Row],[FECHA]]</f>
        <v>SEPTIEMBRE</v>
      </c>
      <c r="T146" s="1" t="str">
        <f>IFERROR(VLOOKUP(R146,PT[],2,FALSE),"NO EXISTE")</f>
        <v>PIÑA TROZO A-10</v>
      </c>
      <c r="U146" s="591">
        <f>IFERROR(SALIDA_PT[[#This Row],[CANTIDAD]]/ENTRADA_PT[[#This Row],[CANTIDAD]],0%)</f>
        <v>0</v>
      </c>
      <c r="V146" s="633">
        <f>VPN!N18+VPE!N19</f>
        <v>0</v>
      </c>
      <c r="W146" s="93">
        <f>ENTRADA_PT[[#This Row],[COSTO UNITARIO]]</f>
        <v>0</v>
      </c>
      <c r="X146" s="147">
        <f t="shared" si="2"/>
        <v>0</v>
      </c>
    </row>
    <row r="147" spans="11:24" x14ac:dyDescent="0.35">
      <c r="K147" s="95" t="str">
        <f>CP!A556</f>
        <v>PT12</v>
      </c>
      <c r="L147" s="95" t="str">
        <f>CP!B556</f>
        <v>SEPTIEMBRE</v>
      </c>
      <c r="M147" s="95" t="str">
        <f>IFERROR(VLOOKUP(K147,PT[],2,FALSE),"NO EXISTE")</f>
        <v>PIÑA RODAJA A-10</v>
      </c>
      <c r="N147" s="441">
        <f>CP!D556</f>
        <v>0</v>
      </c>
      <c r="O147" s="94">
        <f>IFERROR(CP!E556,0*1)</f>
        <v>0</v>
      </c>
      <c r="P147" s="94">
        <f>ENTRADA_PT[[#This Row],[CANTIDAD]]*ENTRADA_PT[[#This Row],[COSTO UNITARIO]]</f>
        <v>0</v>
      </c>
      <c r="R147" s="267" t="str">
        <f>ENTRADA_PT[[#This Row],[CÓDIGO]]</f>
        <v>PT12</v>
      </c>
      <c r="S147" s="95" t="str">
        <f>ENTRADA_PT[[#This Row],[FECHA]]</f>
        <v>SEPTIEMBRE</v>
      </c>
      <c r="T147" s="1" t="str">
        <f>IFERROR(VLOOKUP(R147,PT[],2,FALSE),"NO EXISTE")</f>
        <v>PIÑA RODAJA A-10</v>
      </c>
      <c r="U147" s="591">
        <f>IFERROR(SALIDA_PT[[#This Row],[CANTIDAD]]/ENTRADA_PT[[#This Row],[CANTIDAD]],0%)</f>
        <v>0</v>
      </c>
      <c r="V147" s="633">
        <f>VPN!N19+VPE!N20</f>
        <v>0</v>
      </c>
      <c r="W147" s="93">
        <f>ENTRADA_PT[[#This Row],[COSTO UNITARIO]]</f>
        <v>0</v>
      </c>
      <c r="X147" s="147">
        <f t="shared" si="2"/>
        <v>0</v>
      </c>
    </row>
    <row r="148" spans="11:24" x14ac:dyDescent="0.35">
      <c r="K148" s="95" t="str">
        <f>CP!A557</f>
        <v>PT13</v>
      </c>
      <c r="L148" s="95" t="str">
        <f>CP!B557</f>
        <v>SEPTIEMBRE</v>
      </c>
      <c r="M148" s="95" t="str">
        <f>IFERROR(VLOOKUP(K148,PT[],2,FALSE),"NO EXISTE")</f>
        <v>PIÑA RODAJA 567</v>
      </c>
      <c r="N148" s="441">
        <f>CP!D557</f>
        <v>270000</v>
      </c>
      <c r="O148" s="94">
        <f>IFERROR(CP!E557,0*1)</f>
        <v>0.96041166831383962</v>
      </c>
      <c r="P148" s="94">
        <f>ENTRADA_PT[[#This Row],[CANTIDAD]]*ENTRADA_PT[[#This Row],[COSTO UNITARIO]]</f>
        <v>259311.1504447367</v>
      </c>
      <c r="R148" s="267" t="str">
        <f>ENTRADA_PT[[#This Row],[CÓDIGO]]</f>
        <v>PT13</v>
      </c>
      <c r="S148" s="95" t="str">
        <f>ENTRADA_PT[[#This Row],[FECHA]]</f>
        <v>SEPTIEMBRE</v>
      </c>
      <c r="T148" s="1" t="str">
        <f>IFERROR(VLOOKUP(R148,PT[],2,FALSE),"NO EXISTE")</f>
        <v>PIÑA RODAJA 567</v>
      </c>
      <c r="U148" s="591">
        <f>IFERROR(SALIDA_PT[[#This Row],[CANTIDAD]]/ENTRADA_PT[[#This Row],[CANTIDAD]],0%)</f>
        <v>1</v>
      </c>
      <c r="V148" s="633">
        <f>VPN!N20+VPE!N21</f>
        <v>270000</v>
      </c>
      <c r="W148" s="93">
        <f>ENTRADA_PT[[#This Row],[COSTO UNITARIO]]</f>
        <v>0.96041166831383962</v>
      </c>
      <c r="X148" s="147">
        <f t="shared" si="2"/>
        <v>259311.1504447367</v>
      </c>
    </row>
    <row r="149" spans="11:24" x14ac:dyDescent="0.35">
      <c r="K149" s="95" t="str">
        <f>CP!A558</f>
        <v>PT14</v>
      </c>
      <c r="L149" s="95" t="str">
        <f>CP!B558</f>
        <v>SEPTIEMBRE</v>
      </c>
      <c r="M149" s="95" t="str">
        <f>IFERROR(VLOOKUP(K149,PT[],2,FALSE),"NO EXISTE")</f>
        <v>PIÑA TROZO 567</v>
      </c>
      <c r="N149" s="441">
        <f>CP!D558</f>
        <v>108000</v>
      </c>
      <c r="O149" s="94">
        <f>IFERROR(CP!E558,0*1)</f>
        <v>0.9604116683138394</v>
      </c>
      <c r="P149" s="94">
        <f>ENTRADA_PT[[#This Row],[CANTIDAD]]*ENTRADA_PT[[#This Row],[COSTO UNITARIO]]</f>
        <v>103724.46017789465</v>
      </c>
      <c r="R149" s="267" t="str">
        <f>ENTRADA_PT[[#This Row],[CÓDIGO]]</f>
        <v>PT14</v>
      </c>
      <c r="S149" s="95" t="str">
        <f>ENTRADA_PT[[#This Row],[FECHA]]</f>
        <v>SEPTIEMBRE</v>
      </c>
      <c r="T149" s="1" t="str">
        <f>IFERROR(VLOOKUP(R149,PT[],2,FALSE),"NO EXISTE")</f>
        <v>PIÑA TROZO 567</v>
      </c>
      <c r="U149" s="591">
        <f>IFERROR(SALIDA_PT[[#This Row],[CANTIDAD]]/ENTRADA_PT[[#This Row],[CANTIDAD]],0%)</f>
        <v>1</v>
      </c>
      <c r="V149" s="633">
        <f>VPN!N21+VPE!N22</f>
        <v>108000</v>
      </c>
      <c r="W149" s="93">
        <f>ENTRADA_PT[[#This Row],[COSTO UNITARIO]]</f>
        <v>0.9604116683138394</v>
      </c>
      <c r="X149" s="147">
        <f t="shared" si="2"/>
        <v>103724.46017789465</v>
      </c>
    </row>
    <row r="150" spans="11:24" x14ac:dyDescent="0.35">
      <c r="K150" s="95" t="str">
        <f>CP!A559</f>
        <v>PT15</v>
      </c>
      <c r="L150" s="95" t="str">
        <f>CP!B559</f>
        <v>SEPTIEMBRE</v>
      </c>
      <c r="M150" s="95" t="str">
        <f>IFERROR(VLOOKUP(K150,PT[],2,FALSE),"NO EXISTE")</f>
        <v>PIÑA RODAJA 822</v>
      </c>
      <c r="N150" s="441">
        <f>CP!D559</f>
        <v>73440</v>
      </c>
      <c r="O150" s="94">
        <f>IFERROR(CP!E559,0*1)</f>
        <v>1.2984286501572693</v>
      </c>
      <c r="P150" s="94">
        <f>ENTRADA_PT[[#This Row],[CANTIDAD]]*ENTRADA_PT[[#This Row],[COSTO UNITARIO]]</f>
        <v>95356.600067549851</v>
      </c>
      <c r="R150" s="267" t="str">
        <f>ENTRADA_PT[[#This Row],[CÓDIGO]]</f>
        <v>PT15</v>
      </c>
      <c r="S150" s="95" t="str">
        <f>ENTRADA_PT[[#This Row],[FECHA]]</f>
        <v>SEPTIEMBRE</v>
      </c>
      <c r="T150" s="1" t="str">
        <f>IFERROR(VLOOKUP(R150,PT[],2,FALSE),"NO EXISTE")</f>
        <v>PIÑA RODAJA 822</v>
      </c>
      <c r="U150" s="591">
        <f>IFERROR(SALIDA_PT[[#This Row],[CANTIDAD]]/ENTRADA_PT[[#This Row],[CANTIDAD]],0%)</f>
        <v>1</v>
      </c>
      <c r="V150" s="633">
        <f>VPN!N22+VPE!N23</f>
        <v>73440</v>
      </c>
      <c r="W150" s="93">
        <f>ENTRADA_PT[[#This Row],[COSTO UNITARIO]]</f>
        <v>1.2984286501572693</v>
      </c>
      <c r="X150" s="147">
        <f t="shared" si="2"/>
        <v>95356.600067549851</v>
      </c>
    </row>
    <row r="151" spans="11:24" ht="16" thickBot="1" x14ac:dyDescent="0.4">
      <c r="K151" s="95" t="str">
        <f>CP!A560</f>
        <v>PT16</v>
      </c>
      <c r="L151" s="95" t="str">
        <f>CP!B560</f>
        <v>SEPTIEMBRE</v>
      </c>
      <c r="M151" s="95" t="str">
        <f>IFERROR(VLOOKUP(K151,PT[],2,FALSE),"NO EXISTE")</f>
        <v>PIÑA TROZO 822</v>
      </c>
      <c r="N151" s="441">
        <f>CP!D560</f>
        <v>36720</v>
      </c>
      <c r="O151" s="94">
        <f>IFERROR(CP!E560,0*1)</f>
        <v>1.2984286501572693</v>
      </c>
      <c r="P151" s="94">
        <f>ENTRADA_PT[[#This Row],[CANTIDAD]]*ENTRADA_PT[[#This Row],[COSTO UNITARIO]]</f>
        <v>47678.300033774925</v>
      </c>
      <c r="R151" s="268" t="str">
        <f>ENTRADA_PT[[#This Row],[CÓDIGO]]</f>
        <v>PT16</v>
      </c>
      <c r="S151" s="126" t="str">
        <f>ENTRADA_PT[[#This Row],[FECHA]]</f>
        <v>SEPTIEMBRE</v>
      </c>
      <c r="T151" s="77" t="str">
        <f>IFERROR(VLOOKUP(R151,PT[],2,FALSE),"NO EXISTE")</f>
        <v>PIÑA TROZO 822</v>
      </c>
      <c r="U151" s="632">
        <f>IFERROR(SALIDA_PT[[#This Row],[CANTIDAD]]/ENTRADA_PT[[#This Row],[CANTIDAD]],0%)</f>
        <v>1</v>
      </c>
      <c r="V151" s="634">
        <f>VPN!N23+VPE!N24</f>
        <v>36720</v>
      </c>
      <c r="W151" s="560">
        <f>ENTRADA_PT[[#This Row],[COSTO UNITARIO]]</f>
        <v>1.2984286501572693</v>
      </c>
      <c r="X151" s="281">
        <f t="shared" si="2"/>
        <v>47678.300033774925</v>
      </c>
    </row>
    <row r="152" spans="11:24" x14ac:dyDescent="0.35">
      <c r="K152" s="95" t="str">
        <f>CP!A561</f>
        <v>PT01</v>
      </c>
      <c r="L152" s="95" t="str">
        <f>CP!B561</f>
        <v>OCTUBRE</v>
      </c>
      <c r="M152" s="95" t="str">
        <f>IFERROR(VLOOKUP(K152,PT[],2,FALSE),"NO EXISTE")</f>
        <v xml:space="preserve">PALMITO ENTERO 800 </v>
      </c>
      <c r="N152" s="441">
        <f>CP!D561</f>
        <v>0</v>
      </c>
      <c r="O152" s="94">
        <f>IFERROR(CP!E561,0*1)</f>
        <v>0</v>
      </c>
      <c r="P152" s="94">
        <f>ENTRADA_PT[[#This Row],[CANTIDAD]]*ENTRADA_PT[[#This Row],[COSTO UNITARIO]]</f>
        <v>0</v>
      </c>
      <c r="R152" s="265" t="str">
        <f>ENTRADA_PT[[#This Row],[CÓDIGO]]</f>
        <v>PT01</v>
      </c>
      <c r="S152" s="266" t="str">
        <f>ENTRADA_PT[[#This Row],[FECHA]]</f>
        <v>OCTUBRE</v>
      </c>
      <c r="T152" s="278" t="str">
        <f>IFERROR(VLOOKUP(R152,PT[],2,FALSE),"NO EXISTE")</f>
        <v xml:space="preserve">PALMITO ENTERO 800 </v>
      </c>
      <c r="U152" s="631">
        <f>IFERROR(SALIDA_PT[[#This Row],[CANTIDAD]]/ENTRADA_PT[[#This Row],[CANTIDAD]],0%)</f>
        <v>0</v>
      </c>
      <c r="V152" s="413">
        <f>VPN!O6+VPE!O7</f>
        <v>0</v>
      </c>
      <c r="W152" s="140">
        <f>ENTRADA_PT[[#This Row],[COSTO UNITARIO]]</f>
        <v>0</v>
      </c>
      <c r="X152" s="142">
        <f t="shared" ref="X152:X153" si="3">V152*W152</f>
        <v>0</v>
      </c>
    </row>
    <row r="153" spans="11:24" x14ac:dyDescent="0.35">
      <c r="K153" s="95" t="str">
        <f>CP!A562</f>
        <v>PT02</v>
      </c>
      <c r="L153" s="95" t="str">
        <f>CP!B562</f>
        <v>OCTUBRE</v>
      </c>
      <c r="M153" s="95" t="str">
        <f>IFERROR(VLOOKUP(K153,PT[],2,FALSE),"NO EXISTE")</f>
        <v>PALMITO RODAJA 800</v>
      </c>
      <c r="N153" s="441">
        <f>CP!D562</f>
        <v>0</v>
      </c>
      <c r="O153" s="94">
        <f>IFERROR(CP!E562,0*1)</f>
        <v>0</v>
      </c>
      <c r="P153" s="94">
        <f>ENTRADA_PT[[#This Row],[CANTIDAD]]*ENTRADA_PT[[#This Row],[COSTO UNITARIO]]</f>
        <v>0</v>
      </c>
      <c r="R153" s="267" t="str">
        <f>ENTRADA_PT[[#This Row],[CÓDIGO]]</f>
        <v>PT02</v>
      </c>
      <c r="S153" s="95" t="str">
        <f>ENTRADA_PT[[#This Row],[FECHA]]</f>
        <v>OCTUBRE</v>
      </c>
      <c r="T153" s="1" t="str">
        <f>IFERROR(VLOOKUP(R153,PT[],2,FALSE),"NO EXISTE")</f>
        <v>PALMITO RODAJA 800</v>
      </c>
      <c r="U153" s="591">
        <f>IFERROR(SALIDA_PT[[#This Row],[CANTIDAD]]/ENTRADA_PT[[#This Row],[CANTIDAD]],0%)</f>
        <v>0</v>
      </c>
      <c r="V153" s="633">
        <f>VPN!O7+VPE!O8</f>
        <v>0</v>
      </c>
      <c r="W153" s="93">
        <f>ENTRADA_PT[[#This Row],[COSTO UNITARIO]]</f>
        <v>0</v>
      </c>
      <c r="X153" s="147">
        <f t="shared" si="3"/>
        <v>0</v>
      </c>
    </row>
    <row r="154" spans="11:24" x14ac:dyDescent="0.35">
      <c r="K154" s="95" t="str">
        <f>CP!A563</f>
        <v>PT03</v>
      </c>
      <c r="L154" s="95" t="str">
        <f>CP!B563</f>
        <v>OCTUBRE</v>
      </c>
      <c r="M154" s="95" t="str">
        <f>IFERROR(VLOOKUP(K154,PT[],2,FALSE),"NO EXISTE")</f>
        <v>PALMITO TROZO 800</v>
      </c>
      <c r="N154" s="441">
        <f>CP!D563</f>
        <v>0</v>
      </c>
      <c r="O154" s="94">
        <f>IFERROR(CP!E563,0*1)</f>
        <v>0</v>
      </c>
      <c r="P154" s="94">
        <f>ENTRADA_PT[[#This Row],[CANTIDAD]]*ENTRADA_PT[[#This Row],[COSTO UNITARIO]]</f>
        <v>0</v>
      </c>
      <c r="R154" s="267" t="str">
        <f>ENTRADA_PT[[#This Row],[CÓDIGO]]</f>
        <v>PT03</v>
      </c>
      <c r="S154" s="95" t="str">
        <f>ENTRADA_PT[[#This Row],[FECHA]]</f>
        <v>OCTUBRE</v>
      </c>
      <c r="T154" s="1" t="str">
        <f>IFERROR(VLOOKUP(R154,PT[],2,FALSE),"NO EXISTE")</f>
        <v>PALMITO TROZO 800</v>
      </c>
      <c r="U154" s="591">
        <f>IFERROR(SALIDA_PT[[#This Row],[CANTIDAD]]/ENTRADA_PT[[#This Row],[CANTIDAD]],0%)</f>
        <v>0</v>
      </c>
      <c r="V154" s="633">
        <f>VPN!O8+VPE!O9</f>
        <v>0</v>
      </c>
      <c r="W154" s="93">
        <f>ENTRADA_PT[[#This Row],[COSTO UNITARIO]]</f>
        <v>0</v>
      </c>
      <c r="X154" s="147">
        <f t="shared" ref="X154:X199" si="4">V154*W154</f>
        <v>0</v>
      </c>
    </row>
    <row r="155" spans="11:24" x14ac:dyDescent="0.35">
      <c r="K155" s="95" t="str">
        <f>CP!A564</f>
        <v>PT04</v>
      </c>
      <c r="L155" s="95" t="str">
        <f>CP!B564</f>
        <v>OCTUBRE</v>
      </c>
      <c r="M155" s="95" t="str">
        <f>IFERROR(VLOOKUP(K155,PT[],2,FALSE),"NO EXISTE")</f>
        <v>PALMITO ENTERO 400</v>
      </c>
      <c r="N155" s="441">
        <f>CP!D564</f>
        <v>0</v>
      </c>
      <c r="O155" s="94">
        <f>IFERROR(CP!E564,0*1)</f>
        <v>0</v>
      </c>
      <c r="P155" s="94">
        <f>ENTRADA_PT[[#This Row],[CANTIDAD]]*ENTRADA_PT[[#This Row],[COSTO UNITARIO]]</f>
        <v>0</v>
      </c>
      <c r="R155" s="267" t="str">
        <f>ENTRADA_PT[[#This Row],[CÓDIGO]]</f>
        <v>PT04</v>
      </c>
      <c r="S155" s="95" t="str">
        <f>ENTRADA_PT[[#This Row],[FECHA]]</f>
        <v>OCTUBRE</v>
      </c>
      <c r="T155" s="1" t="str">
        <f>IFERROR(VLOOKUP(R155,PT[],2,FALSE),"NO EXISTE")</f>
        <v>PALMITO ENTERO 400</v>
      </c>
      <c r="U155" s="591">
        <f>IFERROR(SALIDA_PT[[#This Row],[CANTIDAD]]/ENTRADA_PT[[#This Row],[CANTIDAD]],0%)</f>
        <v>0</v>
      </c>
      <c r="V155" s="633">
        <f>VPN!O9+VPE!O10</f>
        <v>0</v>
      </c>
      <c r="W155" s="93">
        <f>ENTRADA_PT[[#This Row],[COSTO UNITARIO]]</f>
        <v>0</v>
      </c>
      <c r="X155" s="147">
        <f t="shared" si="4"/>
        <v>0</v>
      </c>
    </row>
    <row r="156" spans="11:24" x14ac:dyDescent="0.35">
      <c r="K156" s="95" t="str">
        <f>CP!A565</f>
        <v>PT05</v>
      </c>
      <c r="L156" s="95" t="str">
        <f>CP!B565</f>
        <v>OCTUBRE</v>
      </c>
      <c r="M156" s="95" t="str">
        <f>IFERROR(VLOOKUP(K156,PT[],2,FALSE),"NO EXISTE")</f>
        <v>PALMITO RODAJA 400</v>
      </c>
      <c r="N156" s="441">
        <f>CP!D565</f>
        <v>0</v>
      </c>
      <c r="O156" s="94">
        <f>IFERROR(CP!E565,0*1)</f>
        <v>0</v>
      </c>
      <c r="P156" s="94">
        <f>ENTRADA_PT[[#This Row],[CANTIDAD]]*ENTRADA_PT[[#This Row],[COSTO UNITARIO]]</f>
        <v>0</v>
      </c>
      <c r="R156" s="267" t="str">
        <f>ENTRADA_PT[[#This Row],[CÓDIGO]]</f>
        <v>PT05</v>
      </c>
      <c r="S156" s="95" t="str">
        <f>ENTRADA_PT[[#This Row],[FECHA]]</f>
        <v>OCTUBRE</v>
      </c>
      <c r="T156" s="1" t="str">
        <f>IFERROR(VLOOKUP(R156,PT[],2,FALSE),"NO EXISTE")</f>
        <v>PALMITO RODAJA 400</v>
      </c>
      <c r="U156" s="591">
        <f>IFERROR(SALIDA_PT[[#This Row],[CANTIDAD]]/ENTRADA_PT[[#This Row],[CANTIDAD]],0%)</f>
        <v>0</v>
      </c>
      <c r="V156" s="633">
        <f>VPN!O10+VPE!O11</f>
        <v>0</v>
      </c>
      <c r="W156" s="93">
        <f>ENTRADA_PT[[#This Row],[COSTO UNITARIO]]</f>
        <v>0</v>
      </c>
      <c r="X156" s="147">
        <f t="shared" si="4"/>
        <v>0</v>
      </c>
    </row>
    <row r="157" spans="11:24" x14ac:dyDescent="0.35">
      <c r="K157" s="95" t="str">
        <f>CP!A566</f>
        <v>PT06</v>
      </c>
      <c r="L157" s="95" t="str">
        <f>CP!B566</f>
        <v>OCTUBRE</v>
      </c>
      <c r="M157" s="95" t="str">
        <f>IFERROR(VLOOKUP(K157,PT[],2,FALSE),"NO EXISTE")</f>
        <v>PALMITO TROZO 400</v>
      </c>
      <c r="N157" s="441">
        <f>CP!D566</f>
        <v>0</v>
      </c>
      <c r="O157" s="94">
        <f>IFERROR(CP!E566,0*1)</f>
        <v>0</v>
      </c>
      <c r="P157" s="94">
        <f>ENTRADA_PT[[#This Row],[CANTIDAD]]*ENTRADA_PT[[#This Row],[COSTO UNITARIO]]</f>
        <v>0</v>
      </c>
      <c r="R157" s="267" t="str">
        <f>ENTRADA_PT[[#This Row],[CÓDIGO]]</f>
        <v>PT06</v>
      </c>
      <c r="S157" s="95" t="str">
        <f>ENTRADA_PT[[#This Row],[FECHA]]</f>
        <v>OCTUBRE</v>
      </c>
      <c r="T157" s="1" t="str">
        <f>IFERROR(VLOOKUP(R157,PT[],2,FALSE),"NO EXISTE")</f>
        <v>PALMITO TROZO 400</v>
      </c>
      <c r="U157" s="591">
        <f>IFERROR(SALIDA_PT[[#This Row],[CANTIDAD]]/ENTRADA_PT[[#This Row],[CANTIDAD]],0%)</f>
        <v>0</v>
      </c>
      <c r="V157" s="633">
        <f>VPN!O11+VPE!O12</f>
        <v>0</v>
      </c>
      <c r="W157" s="93">
        <f>ENTRADA_PT[[#This Row],[COSTO UNITARIO]]</f>
        <v>0</v>
      </c>
      <c r="X157" s="147">
        <f t="shared" si="4"/>
        <v>0</v>
      </c>
    </row>
    <row r="158" spans="11:24" x14ac:dyDescent="0.35">
      <c r="K158" s="95" t="str">
        <f>CP!A567</f>
        <v>PT07</v>
      </c>
      <c r="L158" s="95" t="str">
        <f>CP!B567</f>
        <v>OCTUBRE</v>
      </c>
      <c r="M158" s="95" t="str">
        <f>IFERROR(VLOOKUP(K158,PT[],2,FALSE),"NO EXISTE")</f>
        <v>PALMITO TROZO  A-10</v>
      </c>
      <c r="N158" s="441">
        <f>CP!D567</f>
        <v>0</v>
      </c>
      <c r="O158" s="94">
        <f>IFERROR(CP!E567,0*1)</f>
        <v>0</v>
      </c>
      <c r="P158" s="94">
        <f>ENTRADA_PT[[#This Row],[CANTIDAD]]*ENTRADA_PT[[#This Row],[COSTO UNITARIO]]</f>
        <v>0</v>
      </c>
      <c r="R158" s="267" t="str">
        <f>ENTRADA_PT[[#This Row],[CÓDIGO]]</f>
        <v>PT07</v>
      </c>
      <c r="S158" s="95" t="str">
        <f>ENTRADA_PT[[#This Row],[FECHA]]</f>
        <v>OCTUBRE</v>
      </c>
      <c r="T158" s="1" t="str">
        <f>IFERROR(VLOOKUP(R158,PT[],2,FALSE),"NO EXISTE")</f>
        <v>PALMITO TROZO  A-10</v>
      </c>
      <c r="U158" s="591">
        <f>IFERROR(SALIDA_PT[[#This Row],[CANTIDAD]]/ENTRADA_PT[[#This Row],[CANTIDAD]],0%)</f>
        <v>0</v>
      </c>
      <c r="V158" s="633">
        <f>VPN!O12+VPE!O13</f>
        <v>0</v>
      </c>
      <c r="W158" s="93">
        <f>ENTRADA_PT[[#This Row],[COSTO UNITARIO]]</f>
        <v>0</v>
      </c>
      <c r="X158" s="147">
        <f t="shared" si="4"/>
        <v>0</v>
      </c>
    </row>
    <row r="159" spans="11:24" x14ac:dyDescent="0.35">
      <c r="K159" s="95" t="str">
        <f>CP!A568</f>
        <v>PT08</v>
      </c>
      <c r="L159" s="95" t="str">
        <f>CP!B568</f>
        <v>OCTUBRE</v>
      </c>
      <c r="M159" s="95" t="str">
        <f>IFERROR(VLOOKUP(K159,PT[],2,FALSE),"NO EXISTE")</f>
        <v>PALMITO RODAJA  A-10</v>
      </c>
      <c r="N159" s="441">
        <f>CP!D568</f>
        <v>0</v>
      </c>
      <c r="O159" s="94">
        <f>IFERROR(CP!E568,0*1)</f>
        <v>0</v>
      </c>
      <c r="P159" s="94">
        <f>ENTRADA_PT[[#This Row],[CANTIDAD]]*ENTRADA_PT[[#This Row],[COSTO UNITARIO]]</f>
        <v>0</v>
      </c>
      <c r="R159" s="267" t="str">
        <f>ENTRADA_PT[[#This Row],[CÓDIGO]]</f>
        <v>PT08</v>
      </c>
      <c r="S159" s="95" t="str">
        <f>ENTRADA_PT[[#This Row],[FECHA]]</f>
        <v>OCTUBRE</v>
      </c>
      <c r="T159" s="1" t="str">
        <f>IFERROR(VLOOKUP(R159,PT[],2,FALSE),"NO EXISTE")</f>
        <v>PALMITO RODAJA  A-10</v>
      </c>
      <c r="U159" s="591">
        <f>IFERROR(SALIDA_PT[[#This Row],[CANTIDAD]]/ENTRADA_PT[[#This Row],[CANTIDAD]],0%)</f>
        <v>0</v>
      </c>
      <c r="V159" s="633">
        <f>VPN!O13+VPE!O14</f>
        <v>0</v>
      </c>
      <c r="W159" s="93">
        <f>ENTRADA_PT[[#This Row],[COSTO UNITARIO]]</f>
        <v>0</v>
      </c>
      <c r="X159" s="147">
        <f t="shared" si="4"/>
        <v>0</v>
      </c>
    </row>
    <row r="160" spans="11:24" x14ac:dyDescent="0.35">
      <c r="K160" s="95" t="str">
        <f>CP!A569</f>
        <v>PT09</v>
      </c>
      <c r="L160" s="95" t="str">
        <f>CP!B569</f>
        <v>OCTUBRE</v>
      </c>
      <c r="M160" s="95" t="str">
        <f>IFERROR(VLOOKUP(K160,PT[],2,FALSE),"NO EXISTE")</f>
        <v>PIÑA RODAJA 850</v>
      </c>
      <c r="N160" s="441">
        <f>CP!D569</f>
        <v>0</v>
      </c>
      <c r="O160" s="94">
        <f>IFERROR(CP!E569,0*1)</f>
        <v>0</v>
      </c>
      <c r="P160" s="94">
        <f>ENTRADA_PT[[#This Row],[CANTIDAD]]*ENTRADA_PT[[#This Row],[COSTO UNITARIO]]</f>
        <v>0</v>
      </c>
      <c r="R160" s="267" t="str">
        <f>ENTRADA_PT[[#This Row],[CÓDIGO]]</f>
        <v>PT09</v>
      </c>
      <c r="S160" s="95" t="str">
        <f>ENTRADA_PT[[#This Row],[FECHA]]</f>
        <v>OCTUBRE</v>
      </c>
      <c r="T160" s="1" t="str">
        <f>IFERROR(VLOOKUP(R160,PT[],2,FALSE),"NO EXISTE")</f>
        <v>PIÑA RODAJA 850</v>
      </c>
      <c r="U160" s="591">
        <f>IFERROR(SALIDA_PT[[#This Row],[CANTIDAD]]/ENTRADA_PT[[#This Row],[CANTIDAD]],0%)</f>
        <v>0</v>
      </c>
      <c r="V160" s="633">
        <f>VPN!O16+VPE!O17</f>
        <v>0</v>
      </c>
      <c r="W160" s="93">
        <f>ENTRADA_PT[[#This Row],[COSTO UNITARIO]]</f>
        <v>0</v>
      </c>
      <c r="X160" s="147">
        <f t="shared" si="4"/>
        <v>0</v>
      </c>
    </row>
    <row r="161" spans="11:24" x14ac:dyDescent="0.35">
      <c r="K161" s="95" t="str">
        <f>CP!A570</f>
        <v>PT10</v>
      </c>
      <c r="L161" s="95" t="str">
        <f>CP!B570</f>
        <v>OCTUBRE</v>
      </c>
      <c r="M161" s="95" t="str">
        <f>IFERROR(VLOOKUP(K161,PT[],2,FALSE),"NO EXISTE")</f>
        <v>PIÑA TROZO 850</v>
      </c>
      <c r="N161" s="441">
        <f>CP!D570</f>
        <v>0</v>
      </c>
      <c r="O161" s="94">
        <f>IFERROR(CP!E570,0*1)</f>
        <v>0</v>
      </c>
      <c r="P161" s="94">
        <f>ENTRADA_PT[[#This Row],[CANTIDAD]]*ENTRADA_PT[[#This Row],[COSTO UNITARIO]]</f>
        <v>0</v>
      </c>
      <c r="R161" s="267" t="str">
        <f>ENTRADA_PT[[#This Row],[CÓDIGO]]</f>
        <v>PT10</v>
      </c>
      <c r="S161" s="95" t="str">
        <f>ENTRADA_PT[[#This Row],[FECHA]]</f>
        <v>OCTUBRE</v>
      </c>
      <c r="T161" s="1" t="str">
        <f>IFERROR(VLOOKUP(R161,PT[],2,FALSE),"NO EXISTE")</f>
        <v>PIÑA TROZO 850</v>
      </c>
      <c r="U161" s="591">
        <f>IFERROR(SALIDA_PT[[#This Row],[CANTIDAD]]/ENTRADA_PT[[#This Row],[CANTIDAD]],0%)</f>
        <v>0</v>
      </c>
      <c r="V161" s="633">
        <f>VPN!O17+VPE!O18</f>
        <v>0</v>
      </c>
      <c r="W161" s="93">
        <f>ENTRADA_PT[[#This Row],[COSTO UNITARIO]]</f>
        <v>0</v>
      </c>
      <c r="X161" s="147">
        <f t="shared" si="4"/>
        <v>0</v>
      </c>
    </row>
    <row r="162" spans="11:24" x14ac:dyDescent="0.35">
      <c r="K162" s="95" t="str">
        <f>CP!A571</f>
        <v>PT11</v>
      </c>
      <c r="L162" s="95" t="str">
        <f>CP!B571</f>
        <v>OCTUBRE</v>
      </c>
      <c r="M162" s="95" t="str">
        <f>IFERROR(VLOOKUP(K162,PT[],2,FALSE),"NO EXISTE")</f>
        <v>PIÑA TROZO A-10</v>
      </c>
      <c r="N162" s="441">
        <f>CP!D571</f>
        <v>0</v>
      </c>
      <c r="O162" s="94">
        <f>IFERROR(CP!E571,0*1)</f>
        <v>0</v>
      </c>
      <c r="P162" s="94">
        <f>ENTRADA_PT[[#This Row],[CANTIDAD]]*ENTRADA_PT[[#This Row],[COSTO UNITARIO]]</f>
        <v>0</v>
      </c>
      <c r="R162" s="267" t="str">
        <f>ENTRADA_PT[[#This Row],[CÓDIGO]]</f>
        <v>PT11</v>
      </c>
      <c r="S162" s="95" t="str">
        <f>ENTRADA_PT[[#This Row],[FECHA]]</f>
        <v>OCTUBRE</v>
      </c>
      <c r="T162" s="1" t="str">
        <f>IFERROR(VLOOKUP(R162,PT[],2,FALSE),"NO EXISTE")</f>
        <v>PIÑA TROZO A-10</v>
      </c>
      <c r="U162" s="591">
        <f>IFERROR(SALIDA_PT[[#This Row],[CANTIDAD]]/ENTRADA_PT[[#This Row],[CANTIDAD]],0%)</f>
        <v>0</v>
      </c>
      <c r="V162" s="633">
        <f>VPN!O18+VPE!O19</f>
        <v>0</v>
      </c>
      <c r="W162" s="93">
        <f>ENTRADA_PT[[#This Row],[COSTO UNITARIO]]</f>
        <v>0</v>
      </c>
      <c r="X162" s="147">
        <f t="shared" si="4"/>
        <v>0</v>
      </c>
    </row>
    <row r="163" spans="11:24" x14ac:dyDescent="0.35">
      <c r="K163" s="95" t="str">
        <f>CP!A572</f>
        <v>PT12</v>
      </c>
      <c r="L163" s="95" t="str">
        <f>CP!B572</f>
        <v>OCTUBRE</v>
      </c>
      <c r="M163" s="95" t="str">
        <f>IFERROR(VLOOKUP(K163,PT[],2,FALSE),"NO EXISTE")</f>
        <v>PIÑA RODAJA A-10</v>
      </c>
      <c r="N163" s="441">
        <f>CP!D572</f>
        <v>0</v>
      </c>
      <c r="O163" s="94">
        <f>IFERROR(CP!E572,0*1)</f>
        <v>0</v>
      </c>
      <c r="P163" s="94">
        <f>ENTRADA_PT[[#This Row],[CANTIDAD]]*ENTRADA_PT[[#This Row],[COSTO UNITARIO]]</f>
        <v>0</v>
      </c>
      <c r="R163" s="267" t="str">
        <f>ENTRADA_PT[[#This Row],[CÓDIGO]]</f>
        <v>PT12</v>
      </c>
      <c r="S163" s="95" t="str">
        <f>ENTRADA_PT[[#This Row],[FECHA]]</f>
        <v>OCTUBRE</v>
      </c>
      <c r="T163" s="1" t="str">
        <f>IFERROR(VLOOKUP(R163,PT[],2,FALSE),"NO EXISTE")</f>
        <v>PIÑA RODAJA A-10</v>
      </c>
      <c r="U163" s="591">
        <f>IFERROR(SALIDA_PT[[#This Row],[CANTIDAD]]/ENTRADA_PT[[#This Row],[CANTIDAD]],0%)</f>
        <v>0</v>
      </c>
      <c r="V163" s="633">
        <f>VPN!O19+VPE!O20</f>
        <v>0</v>
      </c>
      <c r="W163" s="93">
        <f>ENTRADA_PT[[#This Row],[COSTO UNITARIO]]</f>
        <v>0</v>
      </c>
      <c r="X163" s="147">
        <f t="shared" si="4"/>
        <v>0</v>
      </c>
    </row>
    <row r="164" spans="11:24" x14ac:dyDescent="0.35">
      <c r="K164" s="95" t="str">
        <f>CP!A573</f>
        <v>PT13</v>
      </c>
      <c r="L164" s="95" t="str">
        <f>CP!B573</f>
        <v>OCTUBRE</v>
      </c>
      <c r="M164" s="95" t="str">
        <f>IFERROR(VLOOKUP(K164,PT[],2,FALSE),"NO EXISTE")</f>
        <v>PIÑA RODAJA 567</v>
      </c>
      <c r="N164" s="441">
        <f>CP!D573</f>
        <v>324000</v>
      </c>
      <c r="O164" s="94">
        <f>IFERROR(CP!E573,0*1)</f>
        <v>0.96041166831383962</v>
      </c>
      <c r="P164" s="94">
        <f>ENTRADA_PT[[#This Row],[CANTIDAD]]*ENTRADA_PT[[#This Row],[COSTO UNITARIO]]</f>
        <v>311173.38053368405</v>
      </c>
      <c r="R164" s="267" t="str">
        <f>ENTRADA_PT[[#This Row],[CÓDIGO]]</f>
        <v>PT13</v>
      </c>
      <c r="S164" s="95" t="str">
        <f>ENTRADA_PT[[#This Row],[FECHA]]</f>
        <v>OCTUBRE</v>
      </c>
      <c r="T164" s="1" t="str">
        <f>IFERROR(VLOOKUP(R164,PT[],2,FALSE),"NO EXISTE")</f>
        <v>PIÑA RODAJA 567</v>
      </c>
      <c r="U164" s="591">
        <f>IFERROR(SALIDA_PT[[#This Row],[CANTIDAD]]/ENTRADA_PT[[#This Row],[CANTIDAD]],0%)</f>
        <v>1</v>
      </c>
      <c r="V164" s="633">
        <f>VPN!O20+VPE!O21</f>
        <v>324000</v>
      </c>
      <c r="W164" s="93">
        <f>ENTRADA_PT[[#This Row],[COSTO UNITARIO]]</f>
        <v>0.96041166831383962</v>
      </c>
      <c r="X164" s="147">
        <f t="shared" si="4"/>
        <v>311173.38053368405</v>
      </c>
    </row>
    <row r="165" spans="11:24" x14ac:dyDescent="0.35">
      <c r="K165" s="95" t="str">
        <f>CP!A574</f>
        <v>PT14</v>
      </c>
      <c r="L165" s="95" t="str">
        <f>CP!B574</f>
        <v>OCTUBRE</v>
      </c>
      <c r="M165" s="95" t="str">
        <f>IFERROR(VLOOKUP(K165,PT[],2,FALSE),"NO EXISTE")</f>
        <v>PIÑA TROZO 567</v>
      </c>
      <c r="N165" s="441">
        <f>CP!D574</f>
        <v>162000</v>
      </c>
      <c r="O165" s="94">
        <f>IFERROR(CP!E574,0*1)</f>
        <v>0.96041166831383962</v>
      </c>
      <c r="P165" s="94">
        <f>ENTRADA_PT[[#This Row],[CANTIDAD]]*ENTRADA_PT[[#This Row],[COSTO UNITARIO]]</f>
        <v>155586.69026684202</v>
      </c>
      <c r="R165" s="267" t="str">
        <f>ENTRADA_PT[[#This Row],[CÓDIGO]]</f>
        <v>PT14</v>
      </c>
      <c r="S165" s="95" t="str">
        <f>ENTRADA_PT[[#This Row],[FECHA]]</f>
        <v>OCTUBRE</v>
      </c>
      <c r="T165" s="1" t="str">
        <f>IFERROR(VLOOKUP(R165,PT[],2,FALSE),"NO EXISTE")</f>
        <v>PIÑA TROZO 567</v>
      </c>
      <c r="U165" s="591">
        <f>IFERROR(SALIDA_PT[[#This Row],[CANTIDAD]]/ENTRADA_PT[[#This Row],[CANTIDAD]],0%)</f>
        <v>1</v>
      </c>
      <c r="V165" s="633">
        <f>VPN!O21+VPE!O22</f>
        <v>162000</v>
      </c>
      <c r="W165" s="93">
        <f>ENTRADA_PT[[#This Row],[COSTO UNITARIO]]</f>
        <v>0.96041166831383962</v>
      </c>
      <c r="X165" s="147">
        <f t="shared" si="4"/>
        <v>155586.69026684202</v>
      </c>
    </row>
    <row r="166" spans="11:24" x14ac:dyDescent="0.35">
      <c r="K166" s="95" t="str">
        <f>CP!A575</f>
        <v>PT15</v>
      </c>
      <c r="L166" s="95" t="str">
        <f>CP!B575</f>
        <v>OCTUBRE</v>
      </c>
      <c r="M166" s="95" t="str">
        <f>IFERROR(VLOOKUP(K166,PT[],2,FALSE),"NO EXISTE")</f>
        <v>PIÑA RODAJA 822</v>
      </c>
      <c r="N166" s="441">
        <f>CP!D575</f>
        <v>36720</v>
      </c>
      <c r="O166" s="94">
        <f>IFERROR(CP!E575,0*1)</f>
        <v>1.2984286501572693</v>
      </c>
      <c r="P166" s="94">
        <f>ENTRADA_PT[[#This Row],[CANTIDAD]]*ENTRADA_PT[[#This Row],[COSTO UNITARIO]]</f>
        <v>47678.300033774925</v>
      </c>
      <c r="R166" s="267" t="str">
        <f>ENTRADA_PT[[#This Row],[CÓDIGO]]</f>
        <v>PT15</v>
      </c>
      <c r="S166" s="95" t="str">
        <f>ENTRADA_PT[[#This Row],[FECHA]]</f>
        <v>OCTUBRE</v>
      </c>
      <c r="T166" s="1" t="str">
        <f>IFERROR(VLOOKUP(R166,PT[],2,FALSE),"NO EXISTE")</f>
        <v>PIÑA RODAJA 822</v>
      </c>
      <c r="U166" s="591">
        <f>IFERROR(SALIDA_PT[[#This Row],[CANTIDAD]]/ENTRADA_PT[[#This Row],[CANTIDAD]],0%)</f>
        <v>1</v>
      </c>
      <c r="V166" s="633">
        <f>VPN!O22+VPE!O23</f>
        <v>36720</v>
      </c>
      <c r="W166" s="93">
        <f>ENTRADA_PT[[#This Row],[COSTO UNITARIO]]</f>
        <v>1.2984286501572693</v>
      </c>
      <c r="X166" s="147">
        <f t="shared" si="4"/>
        <v>47678.300033774925</v>
      </c>
    </row>
    <row r="167" spans="11:24" ht="16" thickBot="1" x14ac:dyDescent="0.4">
      <c r="K167" s="95" t="str">
        <f>CP!A576</f>
        <v>PT16</v>
      </c>
      <c r="L167" s="95" t="str">
        <f>CP!B576</f>
        <v>OCTUBRE</v>
      </c>
      <c r="M167" s="95" t="str">
        <f>IFERROR(VLOOKUP(K167,PT[],2,FALSE),"NO EXISTE")</f>
        <v>PIÑA TROZO 822</v>
      </c>
      <c r="N167" s="441">
        <f>CP!D576</f>
        <v>0</v>
      </c>
      <c r="O167" s="94">
        <f>IFERROR(CP!E576,0*1)</f>
        <v>0</v>
      </c>
      <c r="P167" s="94">
        <f>ENTRADA_PT[[#This Row],[CANTIDAD]]*ENTRADA_PT[[#This Row],[COSTO UNITARIO]]</f>
        <v>0</v>
      </c>
      <c r="R167" s="268" t="str">
        <f>ENTRADA_PT[[#This Row],[CÓDIGO]]</f>
        <v>PT16</v>
      </c>
      <c r="S167" s="126" t="str">
        <f>ENTRADA_PT[[#This Row],[FECHA]]</f>
        <v>OCTUBRE</v>
      </c>
      <c r="T167" s="77" t="str">
        <f>IFERROR(VLOOKUP(R167,PT[],2,FALSE),"NO EXISTE")</f>
        <v>PIÑA TROZO 822</v>
      </c>
      <c r="U167" s="632">
        <f>IFERROR(SALIDA_PT[[#This Row],[CANTIDAD]]/ENTRADA_PT[[#This Row],[CANTIDAD]],0%)</f>
        <v>0</v>
      </c>
      <c r="V167" s="634">
        <f>VPN!O23+VPE!O24</f>
        <v>0</v>
      </c>
      <c r="W167" s="560">
        <f>ENTRADA_PT[[#This Row],[COSTO UNITARIO]]</f>
        <v>0</v>
      </c>
      <c r="X167" s="281">
        <f t="shared" si="4"/>
        <v>0</v>
      </c>
    </row>
    <row r="168" spans="11:24" x14ac:dyDescent="0.35">
      <c r="K168" s="95" t="str">
        <f>CP!A577</f>
        <v>PT01</v>
      </c>
      <c r="L168" s="95" t="str">
        <f>CP!B577</f>
        <v>NOVIEMBRE</v>
      </c>
      <c r="M168" s="95" t="str">
        <f>IFERROR(VLOOKUP(K168,PT[],2,FALSE),"NO EXISTE")</f>
        <v xml:space="preserve">PALMITO ENTERO 800 </v>
      </c>
      <c r="N168" s="441">
        <f>CP!D577</f>
        <v>0</v>
      </c>
      <c r="O168" s="94">
        <f>IFERROR(CP!E577,0*1)</f>
        <v>0</v>
      </c>
      <c r="P168" s="94">
        <f>ENTRADA_PT[[#This Row],[CANTIDAD]]*ENTRADA_PT[[#This Row],[COSTO UNITARIO]]</f>
        <v>0</v>
      </c>
      <c r="R168" s="265" t="str">
        <f>ENTRADA_PT[[#This Row],[CÓDIGO]]</f>
        <v>PT01</v>
      </c>
      <c r="S168" s="266" t="str">
        <f>ENTRADA_PT[[#This Row],[FECHA]]</f>
        <v>NOVIEMBRE</v>
      </c>
      <c r="T168" s="278" t="str">
        <f>IFERROR(VLOOKUP(R168,PT[],2,FALSE),"NO EXISTE")</f>
        <v xml:space="preserve">PALMITO ENTERO 800 </v>
      </c>
      <c r="U168" s="631">
        <f>IFERROR(SALIDA_PT[[#This Row],[CANTIDAD]]/ENTRADA_PT[[#This Row],[CANTIDAD]],0%)</f>
        <v>0</v>
      </c>
      <c r="V168" s="413">
        <f>VPN!P6+VPE!P7</f>
        <v>0</v>
      </c>
      <c r="W168" s="140">
        <f>ENTRADA_PT[[#This Row],[COSTO UNITARIO]]</f>
        <v>0</v>
      </c>
      <c r="X168" s="142">
        <f t="shared" si="4"/>
        <v>0</v>
      </c>
    </row>
    <row r="169" spans="11:24" x14ac:dyDescent="0.35">
      <c r="K169" s="95" t="str">
        <f>CP!A578</f>
        <v>PT02</v>
      </c>
      <c r="L169" s="95" t="str">
        <f>CP!B578</f>
        <v>NOVIEMBRE</v>
      </c>
      <c r="M169" s="95" t="str">
        <f>IFERROR(VLOOKUP(K169,PT[],2,FALSE),"NO EXISTE")</f>
        <v>PALMITO RODAJA 800</v>
      </c>
      <c r="N169" s="441">
        <f>CP!D578</f>
        <v>0</v>
      </c>
      <c r="O169" s="94">
        <f>IFERROR(CP!E578,0*1)</f>
        <v>0</v>
      </c>
      <c r="P169" s="94">
        <f>ENTRADA_PT[[#This Row],[CANTIDAD]]*ENTRADA_PT[[#This Row],[COSTO UNITARIO]]</f>
        <v>0</v>
      </c>
      <c r="R169" s="267" t="str">
        <f>ENTRADA_PT[[#This Row],[CÓDIGO]]</f>
        <v>PT02</v>
      </c>
      <c r="S169" s="95" t="str">
        <f>ENTRADA_PT[[#This Row],[FECHA]]</f>
        <v>NOVIEMBRE</v>
      </c>
      <c r="T169" s="1" t="str">
        <f>IFERROR(VLOOKUP(R169,PT[],2,FALSE),"NO EXISTE")</f>
        <v>PALMITO RODAJA 800</v>
      </c>
      <c r="U169" s="591">
        <f>IFERROR(SALIDA_PT[[#This Row],[CANTIDAD]]/ENTRADA_PT[[#This Row],[CANTIDAD]],0%)</f>
        <v>0</v>
      </c>
      <c r="V169" s="633">
        <f>VPN!P7+VPE!P8</f>
        <v>0</v>
      </c>
      <c r="W169" s="93">
        <f>ENTRADA_PT[[#This Row],[COSTO UNITARIO]]</f>
        <v>0</v>
      </c>
      <c r="X169" s="147">
        <f t="shared" si="4"/>
        <v>0</v>
      </c>
    </row>
    <row r="170" spans="11:24" x14ac:dyDescent="0.35">
      <c r="K170" s="95" t="str">
        <f>CP!A579</f>
        <v>PT03</v>
      </c>
      <c r="L170" s="95" t="str">
        <f>CP!B579</f>
        <v>NOVIEMBRE</v>
      </c>
      <c r="M170" s="95" t="str">
        <f>IFERROR(VLOOKUP(K170,PT[],2,FALSE),"NO EXISTE")</f>
        <v>PALMITO TROZO 800</v>
      </c>
      <c r="N170" s="441">
        <f>CP!D579</f>
        <v>0</v>
      </c>
      <c r="O170" s="94">
        <f>IFERROR(CP!E579,0*1)</f>
        <v>0</v>
      </c>
      <c r="P170" s="94">
        <f>ENTRADA_PT[[#This Row],[CANTIDAD]]*ENTRADA_PT[[#This Row],[COSTO UNITARIO]]</f>
        <v>0</v>
      </c>
      <c r="R170" s="267" t="str">
        <f>ENTRADA_PT[[#This Row],[CÓDIGO]]</f>
        <v>PT03</v>
      </c>
      <c r="S170" s="95" t="str">
        <f>ENTRADA_PT[[#This Row],[FECHA]]</f>
        <v>NOVIEMBRE</v>
      </c>
      <c r="T170" s="1" t="str">
        <f>IFERROR(VLOOKUP(R170,PT[],2,FALSE),"NO EXISTE")</f>
        <v>PALMITO TROZO 800</v>
      </c>
      <c r="U170" s="591">
        <f>IFERROR(SALIDA_PT[[#This Row],[CANTIDAD]]/ENTRADA_PT[[#This Row],[CANTIDAD]],0%)</f>
        <v>0</v>
      </c>
      <c r="V170" s="633">
        <f>VPN!P8+VPE!P9</f>
        <v>0</v>
      </c>
      <c r="W170" s="93">
        <f>ENTRADA_PT[[#This Row],[COSTO UNITARIO]]</f>
        <v>0</v>
      </c>
      <c r="X170" s="147">
        <f t="shared" si="4"/>
        <v>0</v>
      </c>
    </row>
    <row r="171" spans="11:24" x14ac:dyDescent="0.35">
      <c r="K171" s="95" t="str">
        <f>CP!A580</f>
        <v>PT04</v>
      </c>
      <c r="L171" s="95" t="str">
        <f>CP!B580</f>
        <v>NOVIEMBRE</v>
      </c>
      <c r="M171" s="95" t="str">
        <f>IFERROR(VLOOKUP(K171,PT[],2,FALSE),"NO EXISTE")</f>
        <v>PALMITO ENTERO 400</v>
      </c>
      <c r="N171" s="441">
        <f>CP!D580</f>
        <v>0</v>
      </c>
      <c r="O171" s="94">
        <f>IFERROR(CP!E580,0*1)</f>
        <v>0</v>
      </c>
      <c r="P171" s="94">
        <f>ENTRADA_PT[[#This Row],[CANTIDAD]]*ENTRADA_PT[[#This Row],[COSTO UNITARIO]]</f>
        <v>0</v>
      </c>
      <c r="R171" s="267" t="str">
        <f>ENTRADA_PT[[#This Row],[CÓDIGO]]</f>
        <v>PT04</v>
      </c>
      <c r="S171" s="95" t="str">
        <f>ENTRADA_PT[[#This Row],[FECHA]]</f>
        <v>NOVIEMBRE</v>
      </c>
      <c r="T171" s="1" t="str">
        <f>IFERROR(VLOOKUP(R171,PT[],2,FALSE),"NO EXISTE")</f>
        <v>PALMITO ENTERO 400</v>
      </c>
      <c r="U171" s="591">
        <f>IFERROR(SALIDA_PT[[#This Row],[CANTIDAD]]/ENTRADA_PT[[#This Row],[CANTIDAD]],0%)</f>
        <v>0</v>
      </c>
      <c r="V171" s="633">
        <f>VPN!P9+VPE!P10</f>
        <v>0</v>
      </c>
      <c r="W171" s="93">
        <f>ENTRADA_PT[[#This Row],[COSTO UNITARIO]]</f>
        <v>0</v>
      </c>
      <c r="X171" s="147">
        <f t="shared" si="4"/>
        <v>0</v>
      </c>
    </row>
    <row r="172" spans="11:24" x14ac:dyDescent="0.35">
      <c r="K172" s="95" t="str">
        <f>CP!A581</f>
        <v>PT05</v>
      </c>
      <c r="L172" s="95" t="str">
        <f>CP!B581</f>
        <v>NOVIEMBRE</v>
      </c>
      <c r="M172" s="95" t="str">
        <f>IFERROR(VLOOKUP(K172,PT[],2,FALSE),"NO EXISTE")</f>
        <v>PALMITO RODAJA 400</v>
      </c>
      <c r="N172" s="441">
        <f>CP!D581</f>
        <v>0</v>
      </c>
      <c r="O172" s="94">
        <f>IFERROR(CP!E581,0*1)</f>
        <v>0</v>
      </c>
      <c r="P172" s="94">
        <f>ENTRADA_PT[[#This Row],[CANTIDAD]]*ENTRADA_PT[[#This Row],[COSTO UNITARIO]]</f>
        <v>0</v>
      </c>
      <c r="R172" s="267" t="str">
        <f>ENTRADA_PT[[#This Row],[CÓDIGO]]</f>
        <v>PT05</v>
      </c>
      <c r="S172" s="95" t="str">
        <f>ENTRADA_PT[[#This Row],[FECHA]]</f>
        <v>NOVIEMBRE</v>
      </c>
      <c r="T172" s="1" t="str">
        <f>IFERROR(VLOOKUP(R172,PT[],2,FALSE),"NO EXISTE")</f>
        <v>PALMITO RODAJA 400</v>
      </c>
      <c r="U172" s="591">
        <f>IFERROR(SALIDA_PT[[#This Row],[CANTIDAD]]/ENTRADA_PT[[#This Row],[CANTIDAD]],0%)</f>
        <v>0</v>
      </c>
      <c r="V172" s="633">
        <f>VPN!P10+VPE!P11</f>
        <v>0</v>
      </c>
      <c r="W172" s="93">
        <f>ENTRADA_PT[[#This Row],[COSTO UNITARIO]]</f>
        <v>0</v>
      </c>
      <c r="X172" s="147">
        <f t="shared" si="4"/>
        <v>0</v>
      </c>
    </row>
    <row r="173" spans="11:24" x14ac:dyDescent="0.35">
      <c r="K173" s="95" t="str">
        <f>CP!A582</f>
        <v>PT06</v>
      </c>
      <c r="L173" s="95" t="str">
        <f>CP!B582</f>
        <v>NOVIEMBRE</v>
      </c>
      <c r="M173" s="95" t="str">
        <f>IFERROR(VLOOKUP(K173,PT[],2,FALSE),"NO EXISTE")</f>
        <v>PALMITO TROZO 400</v>
      </c>
      <c r="N173" s="441">
        <f>CP!D582</f>
        <v>0</v>
      </c>
      <c r="O173" s="94">
        <f>IFERROR(CP!E582,0*1)</f>
        <v>0</v>
      </c>
      <c r="P173" s="94">
        <f>ENTRADA_PT[[#This Row],[CANTIDAD]]*ENTRADA_PT[[#This Row],[COSTO UNITARIO]]</f>
        <v>0</v>
      </c>
      <c r="R173" s="267" t="str">
        <f>ENTRADA_PT[[#This Row],[CÓDIGO]]</f>
        <v>PT06</v>
      </c>
      <c r="S173" s="95" t="str">
        <f>ENTRADA_PT[[#This Row],[FECHA]]</f>
        <v>NOVIEMBRE</v>
      </c>
      <c r="T173" s="1" t="str">
        <f>IFERROR(VLOOKUP(R173,PT[],2,FALSE),"NO EXISTE")</f>
        <v>PALMITO TROZO 400</v>
      </c>
      <c r="U173" s="591">
        <f>IFERROR(SALIDA_PT[[#This Row],[CANTIDAD]]/ENTRADA_PT[[#This Row],[CANTIDAD]],0%)</f>
        <v>0</v>
      </c>
      <c r="V173" s="633">
        <f>VPN!P11+VPE!P12</f>
        <v>0</v>
      </c>
      <c r="W173" s="93">
        <f>ENTRADA_PT[[#This Row],[COSTO UNITARIO]]</f>
        <v>0</v>
      </c>
      <c r="X173" s="147">
        <f t="shared" si="4"/>
        <v>0</v>
      </c>
    </row>
    <row r="174" spans="11:24" x14ac:dyDescent="0.35">
      <c r="K174" s="95" t="str">
        <f>CP!A583</f>
        <v>PT07</v>
      </c>
      <c r="L174" s="95" t="str">
        <f>CP!B583</f>
        <v>NOVIEMBRE</v>
      </c>
      <c r="M174" s="95" t="str">
        <f>IFERROR(VLOOKUP(K174,PT[],2,FALSE),"NO EXISTE")</f>
        <v>PALMITO TROZO  A-10</v>
      </c>
      <c r="N174" s="441">
        <f>CP!D583</f>
        <v>0</v>
      </c>
      <c r="O174" s="94">
        <f>IFERROR(CP!E583,0*1)</f>
        <v>0</v>
      </c>
      <c r="P174" s="94">
        <f>ENTRADA_PT[[#This Row],[CANTIDAD]]*ENTRADA_PT[[#This Row],[COSTO UNITARIO]]</f>
        <v>0</v>
      </c>
      <c r="R174" s="267" t="str">
        <f>ENTRADA_PT[[#This Row],[CÓDIGO]]</f>
        <v>PT07</v>
      </c>
      <c r="S174" s="95" t="str">
        <f>ENTRADA_PT[[#This Row],[FECHA]]</f>
        <v>NOVIEMBRE</v>
      </c>
      <c r="T174" s="1" t="str">
        <f>IFERROR(VLOOKUP(R174,PT[],2,FALSE),"NO EXISTE")</f>
        <v>PALMITO TROZO  A-10</v>
      </c>
      <c r="U174" s="591">
        <f>IFERROR(SALIDA_PT[[#This Row],[CANTIDAD]]/ENTRADA_PT[[#This Row],[CANTIDAD]],0%)</f>
        <v>0</v>
      </c>
      <c r="V174" s="633">
        <f>VPN!P12+VPE!P13</f>
        <v>0</v>
      </c>
      <c r="W174" s="93">
        <f>ENTRADA_PT[[#This Row],[COSTO UNITARIO]]</f>
        <v>0</v>
      </c>
      <c r="X174" s="147">
        <f t="shared" si="4"/>
        <v>0</v>
      </c>
    </row>
    <row r="175" spans="11:24" x14ac:dyDescent="0.35">
      <c r="K175" s="95" t="str">
        <f>CP!A584</f>
        <v>PT08</v>
      </c>
      <c r="L175" s="95" t="str">
        <f>CP!B584</f>
        <v>NOVIEMBRE</v>
      </c>
      <c r="M175" s="95" t="str">
        <f>IFERROR(VLOOKUP(K175,PT[],2,FALSE),"NO EXISTE")</f>
        <v>PALMITO RODAJA  A-10</v>
      </c>
      <c r="N175" s="441">
        <f>CP!D584</f>
        <v>0</v>
      </c>
      <c r="O175" s="94">
        <f>IFERROR(CP!E584,0*1)</f>
        <v>0</v>
      </c>
      <c r="P175" s="94">
        <f>ENTRADA_PT[[#This Row],[CANTIDAD]]*ENTRADA_PT[[#This Row],[COSTO UNITARIO]]</f>
        <v>0</v>
      </c>
      <c r="R175" s="267" t="str">
        <f>ENTRADA_PT[[#This Row],[CÓDIGO]]</f>
        <v>PT08</v>
      </c>
      <c r="S175" s="95" t="str">
        <f>ENTRADA_PT[[#This Row],[FECHA]]</f>
        <v>NOVIEMBRE</v>
      </c>
      <c r="T175" s="1" t="str">
        <f>IFERROR(VLOOKUP(R175,PT[],2,FALSE),"NO EXISTE")</f>
        <v>PALMITO RODAJA  A-10</v>
      </c>
      <c r="U175" s="591">
        <f>IFERROR(SALIDA_PT[[#This Row],[CANTIDAD]]/ENTRADA_PT[[#This Row],[CANTIDAD]],0%)</f>
        <v>0</v>
      </c>
      <c r="V175" s="633">
        <f>VPN!P13+VPE!P14</f>
        <v>0</v>
      </c>
      <c r="W175" s="93">
        <f>ENTRADA_PT[[#This Row],[COSTO UNITARIO]]</f>
        <v>0</v>
      </c>
      <c r="X175" s="147">
        <f t="shared" si="4"/>
        <v>0</v>
      </c>
    </row>
    <row r="176" spans="11:24" x14ac:dyDescent="0.35">
      <c r="K176" s="95" t="str">
        <f>CP!A585</f>
        <v>PT09</v>
      </c>
      <c r="L176" s="95" t="str">
        <f>CP!B585</f>
        <v>NOVIEMBRE</v>
      </c>
      <c r="M176" s="95" t="str">
        <f>IFERROR(VLOOKUP(K176,PT[],2,FALSE),"NO EXISTE")</f>
        <v>PIÑA RODAJA 850</v>
      </c>
      <c r="N176" s="441">
        <f>CP!D585</f>
        <v>0</v>
      </c>
      <c r="O176" s="94">
        <f>IFERROR(CP!E585,0*1)</f>
        <v>0</v>
      </c>
      <c r="P176" s="94">
        <f>ENTRADA_PT[[#This Row],[CANTIDAD]]*ENTRADA_PT[[#This Row],[COSTO UNITARIO]]</f>
        <v>0</v>
      </c>
      <c r="R176" s="267" t="str">
        <f>ENTRADA_PT[[#This Row],[CÓDIGO]]</f>
        <v>PT09</v>
      </c>
      <c r="S176" s="95" t="str">
        <f>ENTRADA_PT[[#This Row],[FECHA]]</f>
        <v>NOVIEMBRE</v>
      </c>
      <c r="T176" s="1" t="str">
        <f>IFERROR(VLOOKUP(R176,PT[],2,FALSE),"NO EXISTE")</f>
        <v>PIÑA RODAJA 850</v>
      </c>
      <c r="U176" s="591">
        <f>IFERROR(SALIDA_PT[[#This Row],[CANTIDAD]]/ENTRADA_PT[[#This Row],[CANTIDAD]],0%)</f>
        <v>0</v>
      </c>
      <c r="V176" s="633">
        <f>VPN!P16+VPE!P17</f>
        <v>0</v>
      </c>
      <c r="W176" s="93">
        <f>ENTRADA_PT[[#This Row],[COSTO UNITARIO]]</f>
        <v>0</v>
      </c>
      <c r="X176" s="147">
        <f t="shared" si="4"/>
        <v>0</v>
      </c>
    </row>
    <row r="177" spans="11:24" x14ac:dyDescent="0.35">
      <c r="K177" s="95" t="str">
        <f>CP!A586</f>
        <v>PT10</v>
      </c>
      <c r="L177" s="95" t="str">
        <f>CP!B586</f>
        <v>NOVIEMBRE</v>
      </c>
      <c r="M177" s="95" t="str">
        <f>IFERROR(VLOOKUP(K177,PT[],2,FALSE),"NO EXISTE")</f>
        <v>PIÑA TROZO 850</v>
      </c>
      <c r="N177" s="441">
        <f>CP!D586</f>
        <v>0</v>
      </c>
      <c r="O177" s="94">
        <f>IFERROR(CP!E586,0*1)</f>
        <v>0</v>
      </c>
      <c r="P177" s="94">
        <f>ENTRADA_PT[[#This Row],[CANTIDAD]]*ENTRADA_PT[[#This Row],[COSTO UNITARIO]]</f>
        <v>0</v>
      </c>
      <c r="R177" s="267" t="str">
        <f>ENTRADA_PT[[#This Row],[CÓDIGO]]</f>
        <v>PT10</v>
      </c>
      <c r="S177" s="95" t="str">
        <f>ENTRADA_PT[[#This Row],[FECHA]]</f>
        <v>NOVIEMBRE</v>
      </c>
      <c r="T177" s="1" t="str">
        <f>IFERROR(VLOOKUP(R177,PT[],2,FALSE),"NO EXISTE")</f>
        <v>PIÑA TROZO 850</v>
      </c>
      <c r="U177" s="591">
        <f>IFERROR(SALIDA_PT[[#This Row],[CANTIDAD]]/ENTRADA_PT[[#This Row],[CANTIDAD]],0%)</f>
        <v>0</v>
      </c>
      <c r="V177" s="633">
        <f>VPN!P17+VPE!P18</f>
        <v>0</v>
      </c>
      <c r="W177" s="93">
        <f>ENTRADA_PT[[#This Row],[COSTO UNITARIO]]</f>
        <v>0</v>
      </c>
      <c r="X177" s="147">
        <f t="shared" si="4"/>
        <v>0</v>
      </c>
    </row>
    <row r="178" spans="11:24" x14ac:dyDescent="0.35">
      <c r="K178" s="95" t="str">
        <f>CP!A587</f>
        <v>PT11</v>
      </c>
      <c r="L178" s="95" t="str">
        <f>CP!B587</f>
        <v>NOVIEMBRE</v>
      </c>
      <c r="M178" s="95" t="str">
        <f>IFERROR(VLOOKUP(K178,PT[],2,FALSE),"NO EXISTE")</f>
        <v>PIÑA TROZO A-10</v>
      </c>
      <c r="N178" s="441">
        <f>CP!D587</f>
        <v>0</v>
      </c>
      <c r="O178" s="94">
        <f>IFERROR(CP!E587,0*1)</f>
        <v>0</v>
      </c>
      <c r="P178" s="94">
        <f>ENTRADA_PT[[#This Row],[CANTIDAD]]*ENTRADA_PT[[#This Row],[COSTO UNITARIO]]</f>
        <v>0</v>
      </c>
      <c r="R178" s="267" t="str">
        <f>ENTRADA_PT[[#This Row],[CÓDIGO]]</f>
        <v>PT11</v>
      </c>
      <c r="S178" s="95" t="str">
        <f>ENTRADA_PT[[#This Row],[FECHA]]</f>
        <v>NOVIEMBRE</v>
      </c>
      <c r="T178" s="1" t="str">
        <f>IFERROR(VLOOKUP(R178,PT[],2,FALSE),"NO EXISTE")</f>
        <v>PIÑA TROZO A-10</v>
      </c>
      <c r="U178" s="591">
        <f>IFERROR(SALIDA_PT[[#This Row],[CANTIDAD]]/ENTRADA_PT[[#This Row],[CANTIDAD]],0%)</f>
        <v>0</v>
      </c>
      <c r="V178" s="633">
        <f>VPN!P18+VPE!P19</f>
        <v>0</v>
      </c>
      <c r="W178" s="93">
        <f>ENTRADA_PT[[#This Row],[COSTO UNITARIO]]</f>
        <v>0</v>
      </c>
      <c r="X178" s="147">
        <f t="shared" si="4"/>
        <v>0</v>
      </c>
    </row>
    <row r="179" spans="11:24" x14ac:dyDescent="0.35">
      <c r="K179" s="95" t="str">
        <f>CP!A588</f>
        <v>PT12</v>
      </c>
      <c r="L179" s="95" t="str">
        <f>CP!B588</f>
        <v>NOVIEMBRE</v>
      </c>
      <c r="M179" s="95" t="str">
        <f>IFERROR(VLOOKUP(K179,PT[],2,FALSE),"NO EXISTE")</f>
        <v>PIÑA RODAJA A-10</v>
      </c>
      <c r="N179" s="441">
        <f>CP!D588</f>
        <v>0</v>
      </c>
      <c r="O179" s="94">
        <f>IFERROR(CP!E588,0*1)</f>
        <v>0</v>
      </c>
      <c r="P179" s="94">
        <f>ENTRADA_PT[[#This Row],[CANTIDAD]]*ENTRADA_PT[[#This Row],[COSTO UNITARIO]]</f>
        <v>0</v>
      </c>
      <c r="R179" s="267" t="str">
        <f>ENTRADA_PT[[#This Row],[CÓDIGO]]</f>
        <v>PT12</v>
      </c>
      <c r="S179" s="95" t="str">
        <f>ENTRADA_PT[[#This Row],[FECHA]]</f>
        <v>NOVIEMBRE</v>
      </c>
      <c r="T179" s="1" t="str">
        <f>IFERROR(VLOOKUP(R179,PT[],2,FALSE),"NO EXISTE")</f>
        <v>PIÑA RODAJA A-10</v>
      </c>
      <c r="U179" s="591">
        <f>IFERROR(SALIDA_PT[[#This Row],[CANTIDAD]]/ENTRADA_PT[[#This Row],[CANTIDAD]],0%)</f>
        <v>0</v>
      </c>
      <c r="V179" s="633">
        <f>VPN!P19+VPE!P20</f>
        <v>0</v>
      </c>
      <c r="W179" s="93">
        <f>ENTRADA_PT[[#This Row],[COSTO UNITARIO]]</f>
        <v>0</v>
      </c>
      <c r="X179" s="147">
        <f t="shared" si="4"/>
        <v>0</v>
      </c>
    </row>
    <row r="180" spans="11:24" x14ac:dyDescent="0.35">
      <c r="K180" s="95" t="str">
        <f>CP!A589</f>
        <v>PT13</v>
      </c>
      <c r="L180" s="95" t="str">
        <f>CP!B589</f>
        <v>NOVIEMBRE</v>
      </c>
      <c r="M180" s="95" t="str">
        <f>IFERROR(VLOOKUP(K180,PT[],2,FALSE),"NO EXISTE")</f>
        <v>PIÑA RODAJA 567</v>
      </c>
      <c r="N180" s="441">
        <f>CP!D589</f>
        <v>324000</v>
      </c>
      <c r="O180" s="94">
        <f>IFERROR(CP!E589,0*1)</f>
        <v>0.96041166831383962</v>
      </c>
      <c r="P180" s="94">
        <f>ENTRADA_PT[[#This Row],[CANTIDAD]]*ENTRADA_PT[[#This Row],[COSTO UNITARIO]]</f>
        <v>311173.38053368405</v>
      </c>
      <c r="R180" s="267" t="str">
        <f>ENTRADA_PT[[#This Row],[CÓDIGO]]</f>
        <v>PT13</v>
      </c>
      <c r="S180" s="95" t="str">
        <f>ENTRADA_PT[[#This Row],[FECHA]]</f>
        <v>NOVIEMBRE</v>
      </c>
      <c r="T180" s="1" t="str">
        <f>IFERROR(VLOOKUP(R180,PT[],2,FALSE),"NO EXISTE")</f>
        <v>PIÑA RODAJA 567</v>
      </c>
      <c r="U180" s="591">
        <f>IFERROR(SALIDA_PT[[#This Row],[CANTIDAD]]/ENTRADA_PT[[#This Row],[CANTIDAD]],0%)</f>
        <v>1</v>
      </c>
      <c r="V180" s="633">
        <f>VPN!P20+VPE!P21</f>
        <v>324000</v>
      </c>
      <c r="W180" s="93">
        <f>ENTRADA_PT[[#This Row],[COSTO UNITARIO]]</f>
        <v>0.96041166831383962</v>
      </c>
      <c r="X180" s="147">
        <f t="shared" si="4"/>
        <v>311173.38053368405</v>
      </c>
    </row>
    <row r="181" spans="11:24" x14ac:dyDescent="0.35">
      <c r="K181" s="95" t="str">
        <f>CP!A590</f>
        <v>PT14</v>
      </c>
      <c r="L181" s="95" t="str">
        <f>CP!B590</f>
        <v>NOVIEMBRE</v>
      </c>
      <c r="M181" s="95" t="str">
        <f>IFERROR(VLOOKUP(K181,PT[],2,FALSE),"NO EXISTE")</f>
        <v>PIÑA TROZO 567</v>
      </c>
      <c r="N181" s="441">
        <f>CP!D590</f>
        <v>162000</v>
      </c>
      <c r="O181" s="94">
        <f>IFERROR(CP!E590,0*1)</f>
        <v>0.96041166831383962</v>
      </c>
      <c r="P181" s="94">
        <f>ENTRADA_PT[[#This Row],[CANTIDAD]]*ENTRADA_PT[[#This Row],[COSTO UNITARIO]]</f>
        <v>155586.69026684202</v>
      </c>
      <c r="R181" s="267" t="str">
        <f>ENTRADA_PT[[#This Row],[CÓDIGO]]</f>
        <v>PT14</v>
      </c>
      <c r="S181" s="95" t="str">
        <f>ENTRADA_PT[[#This Row],[FECHA]]</f>
        <v>NOVIEMBRE</v>
      </c>
      <c r="T181" s="1" t="str">
        <f>IFERROR(VLOOKUP(R181,PT[],2,FALSE),"NO EXISTE")</f>
        <v>PIÑA TROZO 567</v>
      </c>
      <c r="U181" s="591">
        <f>IFERROR(SALIDA_PT[[#This Row],[CANTIDAD]]/ENTRADA_PT[[#This Row],[CANTIDAD]],0%)</f>
        <v>1</v>
      </c>
      <c r="V181" s="633">
        <f>VPN!P21+VPE!P22</f>
        <v>162000</v>
      </c>
      <c r="W181" s="93">
        <f>ENTRADA_PT[[#This Row],[COSTO UNITARIO]]</f>
        <v>0.96041166831383962</v>
      </c>
      <c r="X181" s="147">
        <f t="shared" si="4"/>
        <v>155586.69026684202</v>
      </c>
    </row>
    <row r="182" spans="11:24" x14ac:dyDescent="0.35">
      <c r="K182" s="95" t="str">
        <f>CP!A591</f>
        <v>PT15</v>
      </c>
      <c r="L182" s="95" t="str">
        <f>CP!B591</f>
        <v>NOVIEMBRE</v>
      </c>
      <c r="M182" s="95" t="str">
        <f>IFERROR(VLOOKUP(K182,PT[],2,FALSE),"NO EXISTE")</f>
        <v>PIÑA RODAJA 822</v>
      </c>
      <c r="N182" s="441">
        <f>CP!D591</f>
        <v>36720</v>
      </c>
      <c r="O182" s="94">
        <f>IFERROR(CP!E591,0*1)</f>
        <v>1.2984286501572693</v>
      </c>
      <c r="P182" s="94">
        <f>ENTRADA_PT[[#This Row],[CANTIDAD]]*ENTRADA_PT[[#This Row],[COSTO UNITARIO]]</f>
        <v>47678.300033774925</v>
      </c>
      <c r="R182" s="267" t="str">
        <f>ENTRADA_PT[[#This Row],[CÓDIGO]]</f>
        <v>PT15</v>
      </c>
      <c r="S182" s="95" t="str">
        <f>ENTRADA_PT[[#This Row],[FECHA]]</f>
        <v>NOVIEMBRE</v>
      </c>
      <c r="T182" s="1" t="str">
        <f>IFERROR(VLOOKUP(R182,PT[],2,FALSE),"NO EXISTE")</f>
        <v>PIÑA RODAJA 822</v>
      </c>
      <c r="U182" s="591">
        <f>IFERROR(SALIDA_PT[[#This Row],[CANTIDAD]]/ENTRADA_PT[[#This Row],[CANTIDAD]],0%)</f>
        <v>1</v>
      </c>
      <c r="V182" s="633">
        <f>VPN!P22+VPE!P23</f>
        <v>36720</v>
      </c>
      <c r="W182" s="93">
        <f>ENTRADA_PT[[#This Row],[COSTO UNITARIO]]</f>
        <v>1.2984286501572693</v>
      </c>
      <c r="X182" s="147">
        <f t="shared" si="4"/>
        <v>47678.300033774925</v>
      </c>
    </row>
    <row r="183" spans="11:24" ht="16" thickBot="1" x14ac:dyDescent="0.4">
      <c r="K183" s="95" t="str">
        <f>CP!A592</f>
        <v>PT16</v>
      </c>
      <c r="L183" s="95" t="str">
        <f>CP!B592</f>
        <v>NOVIEMBRE</v>
      </c>
      <c r="M183" s="95" t="str">
        <f>IFERROR(VLOOKUP(K183,PT[],2,FALSE),"NO EXISTE")</f>
        <v>PIÑA TROZO 822</v>
      </c>
      <c r="N183" s="441">
        <f>CP!D592</f>
        <v>0</v>
      </c>
      <c r="O183" s="94">
        <f>IFERROR(CP!E592,0*1)</f>
        <v>0</v>
      </c>
      <c r="P183" s="94">
        <f>ENTRADA_PT[[#This Row],[CANTIDAD]]*ENTRADA_PT[[#This Row],[COSTO UNITARIO]]</f>
        <v>0</v>
      </c>
      <c r="R183" s="268" t="str">
        <f>ENTRADA_PT[[#This Row],[CÓDIGO]]</f>
        <v>PT16</v>
      </c>
      <c r="S183" s="126" t="str">
        <f>ENTRADA_PT[[#This Row],[FECHA]]</f>
        <v>NOVIEMBRE</v>
      </c>
      <c r="T183" s="77" t="str">
        <f>IFERROR(VLOOKUP(R183,PT[],2,FALSE),"NO EXISTE")</f>
        <v>PIÑA TROZO 822</v>
      </c>
      <c r="U183" s="632">
        <f>IFERROR(SALIDA_PT[[#This Row],[CANTIDAD]]/ENTRADA_PT[[#This Row],[CANTIDAD]],0%)</f>
        <v>0</v>
      </c>
      <c r="V183" s="634">
        <f>VPN!P23+VPE!P24</f>
        <v>0</v>
      </c>
      <c r="W183" s="560">
        <f>ENTRADA_PT[[#This Row],[COSTO UNITARIO]]</f>
        <v>0</v>
      </c>
      <c r="X183" s="281">
        <f t="shared" si="4"/>
        <v>0</v>
      </c>
    </row>
    <row r="184" spans="11:24" x14ac:dyDescent="0.35">
      <c r="K184" s="95" t="str">
        <f>CP!A593</f>
        <v>PT01</v>
      </c>
      <c r="L184" s="95" t="str">
        <f>CP!B593</f>
        <v>DICIEMBRE</v>
      </c>
      <c r="M184" s="95" t="str">
        <f>IFERROR(VLOOKUP(K184,PT[],2,FALSE),"NO EXISTE")</f>
        <v xml:space="preserve">PALMITO ENTERO 800 </v>
      </c>
      <c r="N184" s="441">
        <f>CP!D593</f>
        <v>0</v>
      </c>
      <c r="O184" s="94">
        <f>IFERROR(CP!E593,0*1)</f>
        <v>0</v>
      </c>
      <c r="P184" s="94">
        <f>ENTRADA_PT[[#This Row],[CANTIDAD]]*ENTRADA_PT[[#This Row],[COSTO UNITARIO]]</f>
        <v>0</v>
      </c>
      <c r="R184" s="440" t="str">
        <f>ENTRADA_PT[[#This Row],[CÓDIGO]]</f>
        <v>PT01</v>
      </c>
      <c r="S184" s="440" t="str">
        <f>ENTRADA_PT[[#This Row],[FECHA]]</f>
        <v>DICIEMBRE</v>
      </c>
      <c r="T184" s="276" t="str">
        <f>IFERROR(VLOOKUP(R184,PT[],2,FALSE),"NO EXISTE")</f>
        <v xml:space="preserve">PALMITO ENTERO 800 </v>
      </c>
      <c r="U184" s="630">
        <f>IFERROR(SALIDA_PT[[#This Row],[CANTIDAD]]/ENTRADA_PT[[#This Row],[CANTIDAD]],0%)</f>
        <v>0</v>
      </c>
      <c r="V184" s="633">
        <f>VPN!Q6+VPE!Q7</f>
        <v>0</v>
      </c>
      <c r="W184" s="277">
        <f>ENTRADA_PT[[#This Row],[COSTO UNITARIO]]</f>
        <v>0</v>
      </c>
      <c r="X184" s="277">
        <f t="shared" si="4"/>
        <v>0</v>
      </c>
    </row>
    <row r="185" spans="11:24" x14ac:dyDescent="0.35">
      <c r="K185" s="95" t="str">
        <f>CP!A594</f>
        <v>PT02</v>
      </c>
      <c r="L185" s="95" t="str">
        <f>CP!B594</f>
        <v>DICIEMBRE</v>
      </c>
      <c r="M185" s="95" t="str">
        <f>IFERROR(VLOOKUP(K185,PT[],2,FALSE),"NO EXISTE")</f>
        <v>PALMITO RODAJA 800</v>
      </c>
      <c r="N185" s="441">
        <f>CP!D594</f>
        <v>0</v>
      </c>
      <c r="O185" s="94">
        <f>IFERROR(CP!E594,0*1)</f>
        <v>0</v>
      </c>
      <c r="P185" s="94">
        <f>ENTRADA_PT[[#This Row],[CANTIDAD]]*ENTRADA_PT[[#This Row],[COSTO UNITARIO]]</f>
        <v>0</v>
      </c>
      <c r="R185" s="95" t="str">
        <f>ENTRADA_PT[[#This Row],[CÓDIGO]]</f>
        <v>PT02</v>
      </c>
      <c r="S185" s="95" t="str">
        <f>ENTRADA_PT[[#This Row],[FECHA]]</f>
        <v>DICIEMBRE</v>
      </c>
      <c r="T185" s="1" t="str">
        <f>IFERROR(VLOOKUP(R185,PT[],2,FALSE),"NO EXISTE")</f>
        <v>PALMITO RODAJA 800</v>
      </c>
      <c r="U185" s="591">
        <f>IFERROR(SALIDA_PT[[#This Row],[CANTIDAD]]/ENTRADA_PT[[#This Row],[CANTIDAD]],0%)</f>
        <v>0</v>
      </c>
      <c r="V185" s="633">
        <f>VPN!Q7+VPE!Q8</f>
        <v>0</v>
      </c>
      <c r="W185" s="93">
        <f>ENTRADA_PT[[#This Row],[COSTO UNITARIO]]</f>
        <v>0</v>
      </c>
      <c r="X185" s="93">
        <f t="shared" si="4"/>
        <v>0</v>
      </c>
    </row>
    <row r="186" spans="11:24" x14ac:dyDescent="0.35">
      <c r="K186" s="95" t="str">
        <f>CP!A595</f>
        <v>PT03</v>
      </c>
      <c r="L186" s="95" t="str">
        <f>CP!B595</f>
        <v>DICIEMBRE</v>
      </c>
      <c r="M186" s="95" t="str">
        <f>IFERROR(VLOOKUP(K186,PT[],2,FALSE),"NO EXISTE")</f>
        <v>PALMITO TROZO 800</v>
      </c>
      <c r="N186" s="441">
        <f>CP!D595</f>
        <v>0</v>
      </c>
      <c r="O186" s="94">
        <f>IFERROR(CP!E595,0*1)</f>
        <v>0</v>
      </c>
      <c r="P186" s="94">
        <f>ENTRADA_PT[[#This Row],[CANTIDAD]]*ENTRADA_PT[[#This Row],[COSTO UNITARIO]]</f>
        <v>0</v>
      </c>
      <c r="R186" s="95" t="str">
        <f>ENTRADA_PT[[#This Row],[CÓDIGO]]</f>
        <v>PT03</v>
      </c>
      <c r="S186" s="95" t="str">
        <f>ENTRADA_PT[[#This Row],[FECHA]]</f>
        <v>DICIEMBRE</v>
      </c>
      <c r="T186" s="1" t="str">
        <f>IFERROR(VLOOKUP(R186,PT[],2,FALSE),"NO EXISTE")</f>
        <v>PALMITO TROZO 800</v>
      </c>
      <c r="U186" s="591">
        <f>IFERROR(SALIDA_PT[[#This Row],[CANTIDAD]]/ENTRADA_PT[[#This Row],[CANTIDAD]],0%)</f>
        <v>0</v>
      </c>
      <c r="V186" s="633">
        <f>VPN!Q8+VPE!Q9</f>
        <v>0</v>
      </c>
      <c r="W186" s="93">
        <f>ENTRADA_PT[[#This Row],[COSTO UNITARIO]]</f>
        <v>0</v>
      </c>
      <c r="X186" s="93">
        <f t="shared" si="4"/>
        <v>0</v>
      </c>
    </row>
    <row r="187" spans="11:24" x14ac:dyDescent="0.35">
      <c r="K187" s="95" t="str">
        <f>CP!A596</f>
        <v>PT04</v>
      </c>
      <c r="L187" s="95" t="str">
        <f>CP!B596</f>
        <v>DICIEMBRE</v>
      </c>
      <c r="M187" s="95" t="str">
        <f>IFERROR(VLOOKUP(K187,PT[],2,FALSE),"NO EXISTE")</f>
        <v>PALMITO ENTERO 400</v>
      </c>
      <c r="N187" s="441">
        <f>CP!D596</f>
        <v>0</v>
      </c>
      <c r="O187" s="94">
        <f>IFERROR(CP!E596,0*1)</f>
        <v>0</v>
      </c>
      <c r="P187" s="94">
        <f>ENTRADA_PT[[#This Row],[CANTIDAD]]*ENTRADA_PT[[#This Row],[COSTO UNITARIO]]</f>
        <v>0</v>
      </c>
      <c r="R187" s="95" t="str">
        <f>ENTRADA_PT[[#This Row],[CÓDIGO]]</f>
        <v>PT04</v>
      </c>
      <c r="S187" s="95" t="str">
        <f>ENTRADA_PT[[#This Row],[FECHA]]</f>
        <v>DICIEMBRE</v>
      </c>
      <c r="T187" s="1" t="str">
        <f>IFERROR(VLOOKUP(R187,PT[],2,FALSE),"NO EXISTE")</f>
        <v>PALMITO ENTERO 400</v>
      </c>
      <c r="U187" s="591">
        <f>IFERROR(SALIDA_PT[[#This Row],[CANTIDAD]]/ENTRADA_PT[[#This Row],[CANTIDAD]],0%)</f>
        <v>0</v>
      </c>
      <c r="V187" s="633">
        <f>VPN!Q9+VPE!Q10</f>
        <v>0</v>
      </c>
      <c r="W187" s="93">
        <f>ENTRADA_PT[[#This Row],[COSTO UNITARIO]]</f>
        <v>0</v>
      </c>
      <c r="X187" s="93">
        <f t="shared" si="4"/>
        <v>0</v>
      </c>
    </row>
    <row r="188" spans="11:24" x14ac:dyDescent="0.35">
      <c r="K188" s="95" t="str">
        <f>CP!A597</f>
        <v>PT05</v>
      </c>
      <c r="L188" s="95" t="str">
        <f>CP!B597</f>
        <v>DICIEMBRE</v>
      </c>
      <c r="M188" s="95" t="str">
        <f>IFERROR(VLOOKUP(K188,PT[],2,FALSE),"NO EXISTE")</f>
        <v>PALMITO RODAJA 400</v>
      </c>
      <c r="N188" s="441">
        <f>CP!D597</f>
        <v>0</v>
      </c>
      <c r="O188" s="94">
        <f>IFERROR(CP!E597,0*1)</f>
        <v>0</v>
      </c>
      <c r="P188" s="94">
        <f>ENTRADA_PT[[#This Row],[CANTIDAD]]*ENTRADA_PT[[#This Row],[COSTO UNITARIO]]</f>
        <v>0</v>
      </c>
      <c r="R188" s="95" t="str">
        <f>ENTRADA_PT[[#This Row],[CÓDIGO]]</f>
        <v>PT05</v>
      </c>
      <c r="S188" s="95" t="str">
        <f>ENTRADA_PT[[#This Row],[FECHA]]</f>
        <v>DICIEMBRE</v>
      </c>
      <c r="T188" s="1" t="str">
        <f>IFERROR(VLOOKUP(R188,PT[],2,FALSE),"NO EXISTE")</f>
        <v>PALMITO RODAJA 400</v>
      </c>
      <c r="U188" s="591">
        <f>IFERROR(SALIDA_PT[[#This Row],[CANTIDAD]]/ENTRADA_PT[[#This Row],[CANTIDAD]],0%)</f>
        <v>0</v>
      </c>
      <c r="V188" s="633">
        <f>VPN!Q10+VPE!Q11</f>
        <v>0</v>
      </c>
      <c r="W188" s="93">
        <f>ENTRADA_PT[[#This Row],[COSTO UNITARIO]]</f>
        <v>0</v>
      </c>
      <c r="X188" s="93">
        <f t="shared" si="4"/>
        <v>0</v>
      </c>
    </row>
    <row r="189" spans="11:24" x14ac:dyDescent="0.35">
      <c r="K189" s="95" t="str">
        <f>CP!A598</f>
        <v>PT06</v>
      </c>
      <c r="L189" s="95" t="str">
        <f>CP!B598</f>
        <v>DICIEMBRE</v>
      </c>
      <c r="M189" s="95" t="str">
        <f>IFERROR(VLOOKUP(K189,PT[],2,FALSE),"NO EXISTE")</f>
        <v>PALMITO TROZO 400</v>
      </c>
      <c r="N189" s="441">
        <f>CP!D598</f>
        <v>0</v>
      </c>
      <c r="O189" s="94">
        <f>IFERROR(CP!E598,0*1)</f>
        <v>0</v>
      </c>
      <c r="P189" s="94">
        <f>ENTRADA_PT[[#This Row],[CANTIDAD]]*ENTRADA_PT[[#This Row],[COSTO UNITARIO]]</f>
        <v>0</v>
      </c>
      <c r="R189" s="95" t="str">
        <f>ENTRADA_PT[[#This Row],[CÓDIGO]]</f>
        <v>PT06</v>
      </c>
      <c r="S189" s="95" t="str">
        <f>ENTRADA_PT[[#This Row],[FECHA]]</f>
        <v>DICIEMBRE</v>
      </c>
      <c r="T189" s="1" t="str">
        <f>IFERROR(VLOOKUP(R189,PT[],2,FALSE),"NO EXISTE")</f>
        <v>PALMITO TROZO 400</v>
      </c>
      <c r="U189" s="591">
        <f>IFERROR(SALIDA_PT[[#This Row],[CANTIDAD]]/ENTRADA_PT[[#This Row],[CANTIDAD]],0%)</f>
        <v>0</v>
      </c>
      <c r="V189" s="633">
        <f>VPN!Q11+VPE!Q12</f>
        <v>0</v>
      </c>
      <c r="W189" s="93">
        <f>ENTRADA_PT[[#This Row],[COSTO UNITARIO]]</f>
        <v>0</v>
      </c>
      <c r="X189" s="93">
        <f t="shared" si="4"/>
        <v>0</v>
      </c>
    </row>
    <row r="190" spans="11:24" x14ac:dyDescent="0.35">
      <c r="K190" s="95" t="str">
        <f>CP!A599</f>
        <v>PT07</v>
      </c>
      <c r="L190" s="95" t="str">
        <f>CP!B599</f>
        <v>DICIEMBRE</v>
      </c>
      <c r="M190" s="95" t="str">
        <f>IFERROR(VLOOKUP(K190,PT[],2,FALSE),"NO EXISTE")</f>
        <v>PALMITO TROZO  A-10</v>
      </c>
      <c r="N190" s="441">
        <f>CP!D599</f>
        <v>0</v>
      </c>
      <c r="O190" s="94">
        <f>IFERROR(CP!E599,0*1)</f>
        <v>0</v>
      </c>
      <c r="P190" s="94">
        <f>ENTRADA_PT[[#This Row],[CANTIDAD]]*ENTRADA_PT[[#This Row],[COSTO UNITARIO]]</f>
        <v>0</v>
      </c>
      <c r="R190" s="95" t="str">
        <f>ENTRADA_PT[[#This Row],[CÓDIGO]]</f>
        <v>PT07</v>
      </c>
      <c r="S190" s="95" t="str">
        <f>ENTRADA_PT[[#This Row],[FECHA]]</f>
        <v>DICIEMBRE</v>
      </c>
      <c r="T190" s="1" t="str">
        <f>IFERROR(VLOOKUP(R190,PT[],2,FALSE),"NO EXISTE")</f>
        <v>PALMITO TROZO  A-10</v>
      </c>
      <c r="U190" s="591">
        <f>IFERROR(SALIDA_PT[[#This Row],[CANTIDAD]]/ENTRADA_PT[[#This Row],[CANTIDAD]],0%)</f>
        <v>0</v>
      </c>
      <c r="V190" s="633">
        <f>VPN!Q12+VPE!Q13</f>
        <v>0</v>
      </c>
      <c r="W190" s="93">
        <f>ENTRADA_PT[[#This Row],[COSTO UNITARIO]]</f>
        <v>0</v>
      </c>
      <c r="X190" s="93">
        <f t="shared" si="4"/>
        <v>0</v>
      </c>
    </row>
    <row r="191" spans="11:24" x14ac:dyDescent="0.35">
      <c r="K191" s="95" t="str">
        <f>CP!A600</f>
        <v>PT08</v>
      </c>
      <c r="L191" s="95" t="str">
        <f>CP!B600</f>
        <v>DICIEMBRE</v>
      </c>
      <c r="M191" s="95" t="str">
        <f>IFERROR(VLOOKUP(K191,PT[],2,FALSE),"NO EXISTE")</f>
        <v>PALMITO RODAJA  A-10</v>
      </c>
      <c r="N191" s="441">
        <f>CP!D600</f>
        <v>0</v>
      </c>
      <c r="O191" s="94">
        <f>IFERROR(CP!E600,0*1)</f>
        <v>0</v>
      </c>
      <c r="P191" s="94">
        <f>ENTRADA_PT[[#This Row],[CANTIDAD]]*ENTRADA_PT[[#This Row],[COSTO UNITARIO]]</f>
        <v>0</v>
      </c>
      <c r="R191" s="95" t="str">
        <f>ENTRADA_PT[[#This Row],[CÓDIGO]]</f>
        <v>PT08</v>
      </c>
      <c r="S191" s="95" t="str">
        <f>ENTRADA_PT[[#This Row],[FECHA]]</f>
        <v>DICIEMBRE</v>
      </c>
      <c r="T191" s="1" t="str">
        <f>IFERROR(VLOOKUP(R191,PT[],2,FALSE),"NO EXISTE")</f>
        <v>PALMITO RODAJA  A-10</v>
      </c>
      <c r="U191" s="591">
        <f>IFERROR(SALIDA_PT[[#This Row],[CANTIDAD]]/ENTRADA_PT[[#This Row],[CANTIDAD]],0%)</f>
        <v>0</v>
      </c>
      <c r="V191" s="633">
        <f>VPN!Q13+VPE!Q14</f>
        <v>0</v>
      </c>
      <c r="W191" s="93">
        <f>ENTRADA_PT[[#This Row],[COSTO UNITARIO]]</f>
        <v>0</v>
      </c>
      <c r="X191" s="93">
        <f t="shared" si="4"/>
        <v>0</v>
      </c>
    </row>
    <row r="192" spans="11:24" x14ac:dyDescent="0.35">
      <c r="K192" s="95" t="str">
        <f>CP!A601</f>
        <v>PT09</v>
      </c>
      <c r="L192" s="95" t="str">
        <f>CP!B601</f>
        <v>DICIEMBRE</v>
      </c>
      <c r="M192" s="95" t="str">
        <f>IFERROR(VLOOKUP(K192,PT[],2,FALSE),"NO EXISTE")</f>
        <v>PIÑA RODAJA 850</v>
      </c>
      <c r="N192" s="441">
        <f>CP!D601</f>
        <v>0</v>
      </c>
      <c r="O192" s="94">
        <f>IFERROR(CP!E601,0*1)</f>
        <v>0</v>
      </c>
      <c r="P192" s="94">
        <f>ENTRADA_PT[[#This Row],[CANTIDAD]]*ENTRADA_PT[[#This Row],[COSTO UNITARIO]]</f>
        <v>0</v>
      </c>
      <c r="R192" s="95" t="str">
        <f>ENTRADA_PT[[#This Row],[CÓDIGO]]</f>
        <v>PT09</v>
      </c>
      <c r="S192" s="95" t="str">
        <f>ENTRADA_PT[[#This Row],[FECHA]]</f>
        <v>DICIEMBRE</v>
      </c>
      <c r="T192" s="1" t="str">
        <f>IFERROR(VLOOKUP(R192,PT[],2,FALSE),"NO EXISTE")</f>
        <v>PIÑA RODAJA 850</v>
      </c>
      <c r="U192" s="591">
        <f>IFERROR(SALIDA_PT[[#This Row],[CANTIDAD]]/ENTRADA_PT[[#This Row],[CANTIDAD]],0%)</f>
        <v>0</v>
      </c>
      <c r="V192" s="633">
        <f>VPN!Q16+VPE!Q17</f>
        <v>0</v>
      </c>
      <c r="W192" s="93">
        <f>ENTRADA_PT[[#This Row],[COSTO UNITARIO]]</f>
        <v>0</v>
      </c>
      <c r="X192" s="93">
        <f t="shared" si="4"/>
        <v>0</v>
      </c>
    </row>
    <row r="193" spans="11:24" x14ac:dyDescent="0.35">
      <c r="K193" s="95" t="str">
        <f>CP!A602</f>
        <v>PT10</v>
      </c>
      <c r="L193" s="95" t="str">
        <f>CP!B602</f>
        <v>DICIEMBRE</v>
      </c>
      <c r="M193" s="95" t="str">
        <f>IFERROR(VLOOKUP(K193,PT[],2,FALSE),"NO EXISTE")</f>
        <v>PIÑA TROZO 850</v>
      </c>
      <c r="N193" s="441">
        <f>CP!D602</f>
        <v>0</v>
      </c>
      <c r="O193" s="94">
        <f>IFERROR(CP!E602,0*1)</f>
        <v>0</v>
      </c>
      <c r="P193" s="94">
        <f>ENTRADA_PT[[#This Row],[CANTIDAD]]*ENTRADA_PT[[#This Row],[COSTO UNITARIO]]</f>
        <v>0</v>
      </c>
      <c r="R193" s="95" t="str">
        <f>ENTRADA_PT[[#This Row],[CÓDIGO]]</f>
        <v>PT10</v>
      </c>
      <c r="S193" s="95" t="str">
        <f>ENTRADA_PT[[#This Row],[FECHA]]</f>
        <v>DICIEMBRE</v>
      </c>
      <c r="T193" s="1" t="str">
        <f>IFERROR(VLOOKUP(R193,PT[],2,FALSE),"NO EXISTE")</f>
        <v>PIÑA TROZO 850</v>
      </c>
      <c r="U193" s="591">
        <f>IFERROR(SALIDA_PT[[#This Row],[CANTIDAD]]/ENTRADA_PT[[#This Row],[CANTIDAD]],0%)</f>
        <v>0</v>
      </c>
      <c r="V193" s="633">
        <f>VPN!Q17+VPE!Q18</f>
        <v>0</v>
      </c>
      <c r="W193" s="93">
        <f>ENTRADA_PT[[#This Row],[COSTO UNITARIO]]</f>
        <v>0</v>
      </c>
      <c r="X193" s="93">
        <f t="shared" si="4"/>
        <v>0</v>
      </c>
    </row>
    <row r="194" spans="11:24" x14ac:dyDescent="0.35">
      <c r="K194" s="95" t="str">
        <f>CP!A603</f>
        <v>PT11</v>
      </c>
      <c r="L194" s="95" t="str">
        <f>CP!B603</f>
        <v>DICIEMBRE</v>
      </c>
      <c r="M194" s="95" t="str">
        <f>IFERROR(VLOOKUP(K194,PT[],2,FALSE),"NO EXISTE")</f>
        <v>PIÑA TROZO A-10</v>
      </c>
      <c r="N194" s="441">
        <f>CP!D603</f>
        <v>0</v>
      </c>
      <c r="O194" s="94">
        <f>IFERROR(CP!E603,0*1)</f>
        <v>0</v>
      </c>
      <c r="P194" s="94">
        <f>ENTRADA_PT[[#This Row],[CANTIDAD]]*ENTRADA_PT[[#This Row],[COSTO UNITARIO]]</f>
        <v>0</v>
      </c>
      <c r="R194" s="95" t="str">
        <f>ENTRADA_PT[[#This Row],[CÓDIGO]]</f>
        <v>PT11</v>
      </c>
      <c r="S194" s="95" t="str">
        <f>ENTRADA_PT[[#This Row],[FECHA]]</f>
        <v>DICIEMBRE</v>
      </c>
      <c r="T194" s="1" t="str">
        <f>IFERROR(VLOOKUP(R194,PT[],2,FALSE),"NO EXISTE")</f>
        <v>PIÑA TROZO A-10</v>
      </c>
      <c r="U194" s="591">
        <f>IFERROR(SALIDA_PT[[#This Row],[CANTIDAD]]/ENTRADA_PT[[#This Row],[CANTIDAD]],0%)</f>
        <v>0</v>
      </c>
      <c r="V194" s="633">
        <f>VPN!Q18+VPE!Q19</f>
        <v>0</v>
      </c>
      <c r="W194" s="93">
        <f>ENTRADA_PT[[#This Row],[COSTO UNITARIO]]</f>
        <v>0</v>
      </c>
      <c r="X194" s="93">
        <f t="shared" si="4"/>
        <v>0</v>
      </c>
    </row>
    <row r="195" spans="11:24" x14ac:dyDescent="0.35">
      <c r="K195" s="95" t="str">
        <f>CP!A604</f>
        <v>PT12</v>
      </c>
      <c r="L195" s="95" t="str">
        <f>CP!B604</f>
        <v>DICIEMBRE</v>
      </c>
      <c r="M195" s="95" t="str">
        <f>IFERROR(VLOOKUP(K195,PT[],2,FALSE),"NO EXISTE")</f>
        <v>PIÑA RODAJA A-10</v>
      </c>
      <c r="N195" s="441">
        <f>CP!D604</f>
        <v>0</v>
      </c>
      <c r="O195" s="94">
        <f>IFERROR(CP!E604,0*1)</f>
        <v>0</v>
      </c>
      <c r="P195" s="94">
        <f>ENTRADA_PT[[#This Row],[CANTIDAD]]*ENTRADA_PT[[#This Row],[COSTO UNITARIO]]</f>
        <v>0</v>
      </c>
      <c r="R195" s="95" t="str">
        <f>ENTRADA_PT[[#This Row],[CÓDIGO]]</f>
        <v>PT12</v>
      </c>
      <c r="S195" s="95" t="str">
        <f>ENTRADA_PT[[#This Row],[FECHA]]</f>
        <v>DICIEMBRE</v>
      </c>
      <c r="T195" s="1" t="str">
        <f>IFERROR(VLOOKUP(R195,PT[],2,FALSE),"NO EXISTE")</f>
        <v>PIÑA RODAJA A-10</v>
      </c>
      <c r="U195" s="591">
        <f>IFERROR(SALIDA_PT[[#This Row],[CANTIDAD]]/ENTRADA_PT[[#This Row],[CANTIDAD]],0%)</f>
        <v>0</v>
      </c>
      <c r="V195" s="633">
        <f>VPN!Q19+VPE!Q20</f>
        <v>0</v>
      </c>
      <c r="W195" s="93">
        <f>ENTRADA_PT[[#This Row],[COSTO UNITARIO]]</f>
        <v>0</v>
      </c>
      <c r="X195" s="93">
        <f t="shared" si="4"/>
        <v>0</v>
      </c>
    </row>
    <row r="196" spans="11:24" x14ac:dyDescent="0.35">
      <c r="K196" s="95" t="str">
        <f>CP!A605</f>
        <v>PT13</v>
      </c>
      <c r="L196" s="95" t="str">
        <f>CP!B605</f>
        <v>DICIEMBRE</v>
      </c>
      <c r="M196" s="95" t="str">
        <f>IFERROR(VLOOKUP(K196,PT[],2,FALSE),"NO EXISTE")</f>
        <v>PIÑA RODAJA 567</v>
      </c>
      <c r="N196" s="441">
        <f>CP!D605</f>
        <v>324000</v>
      </c>
      <c r="O196" s="94">
        <f>IFERROR(CP!E605,0*1)</f>
        <v>0.96041166831383962</v>
      </c>
      <c r="P196" s="94">
        <f>ENTRADA_PT[[#This Row],[CANTIDAD]]*ENTRADA_PT[[#This Row],[COSTO UNITARIO]]</f>
        <v>311173.38053368405</v>
      </c>
      <c r="R196" s="95" t="str">
        <f>ENTRADA_PT[[#This Row],[CÓDIGO]]</f>
        <v>PT13</v>
      </c>
      <c r="S196" s="95" t="str">
        <f>ENTRADA_PT[[#This Row],[FECHA]]</f>
        <v>DICIEMBRE</v>
      </c>
      <c r="T196" s="1" t="str">
        <f>IFERROR(VLOOKUP(R196,PT[],2,FALSE),"NO EXISTE")</f>
        <v>PIÑA RODAJA 567</v>
      </c>
      <c r="U196" s="591">
        <f>IFERROR(SALIDA_PT[[#This Row],[CANTIDAD]]/ENTRADA_PT[[#This Row],[CANTIDAD]],0%)</f>
        <v>1</v>
      </c>
      <c r="V196" s="633">
        <f>VPN!Q20+VPE!Q21</f>
        <v>324000</v>
      </c>
      <c r="W196" s="93">
        <f>ENTRADA_PT[[#This Row],[COSTO UNITARIO]]</f>
        <v>0.96041166831383962</v>
      </c>
      <c r="X196" s="93">
        <f t="shared" si="4"/>
        <v>311173.38053368405</v>
      </c>
    </row>
    <row r="197" spans="11:24" x14ac:dyDescent="0.35">
      <c r="K197" s="95" t="str">
        <f>CP!A606</f>
        <v>PT14</v>
      </c>
      <c r="L197" s="95" t="str">
        <f>CP!B606</f>
        <v>DICIEMBRE</v>
      </c>
      <c r="M197" s="95" t="str">
        <f>IFERROR(VLOOKUP(K197,PT[],2,FALSE),"NO EXISTE")</f>
        <v>PIÑA TROZO 567</v>
      </c>
      <c r="N197" s="441">
        <f>CP!D606</f>
        <v>162000</v>
      </c>
      <c r="O197" s="94">
        <f>IFERROR(CP!E606,0*1)</f>
        <v>0.96041166831383962</v>
      </c>
      <c r="P197" s="94">
        <f>ENTRADA_PT[[#This Row],[CANTIDAD]]*ENTRADA_PT[[#This Row],[COSTO UNITARIO]]</f>
        <v>155586.69026684202</v>
      </c>
      <c r="R197" s="95" t="str">
        <f>ENTRADA_PT[[#This Row],[CÓDIGO]]</f>
        <v>PT14</v>
      </c>
      <c r="S197" s="95" t="str">
        <f>ENTRADA_PT[[#This Row],[FECHA]]</f>
        <v>DICIEMBRE</v>
      </c>
      <c r="T197" s="1" t="str">
        <f>IFERROR(VLOOKUP(R197,PT[],2,FALSE),"NO EXISTE")</f>
        <v>PIÑA TROZO 567</v>
      </c>
      <c r="U197" s="591">
        <f>IFERROR(SALIDA_PT[[#This Row],[CANTIDAD]]/ENTRADA_PT[[#This Row],[CANTIDAD]],0%)</f>
        <v>1</v>
      </c>
      <c r="V197" s="633">
        <f>VPN!Q21+VPE!Q22</f>
        <v>162000</v>
      </c>
      <c r="W197" s="93">
        <f>ENTRADA_PT[[#This Row],[COSTO UNITARIO]]</f>
        <v>0.96041166831383962</v>
      </c>
      <c r="X197" s="93">
        <f t="shared" si="4"/>
        <v>155586.69026684202</v>
      </c>
    </row>
    <row r="198" spans="11:24" x14ac:dyDescent="0.35">
      <c r="K198" s="95" t="str">
        <f>CP!A607</f>
        <v>PT15</v>
      </c>
      <c r="L198" s="95" t="str">
        <f>CP!B607</f>
        <v>DICIEMBRE</v>
      </c>
      <c r="M198" s="95" t="str">
        <f>IFERROR(VLOOKUP(K198,PT[],2,FALSE),"NO EXISTE")</f>
        <v>PIÑA RODAJA 822</v>
      </c>
      <c r="N198" s="441">
        <f>CP!D607</f>
        <v>36720</v>
      </c>
      <c r="O198" s="94">
        <f>IFERROR(CP!E607,0*1)</f>
        <v>1.2984286501572693</v>
      </c>
      <c r="P198" s="94">
        <f>ENTRADA_PT[[#This Row],[CANTIDAD]]*ENTRADA_PT[[#This Row],[COSTO UNITARIO]]</f>
        <v>47678.300033774925</v>
      </c>
      <c r="R198" s="95" t="str">
        <f>ENTRADA_PT[[#This Row],[CÓDIGO]]</f>
        <v>PT15</v>
      </c>
      <c r="S198" s="95" t="str">
        <f>ENTRADA_PT[[#This Row],[FECHA]]</f>
        <v>DICIEMBRE</v>
      </c>
      <c r="T198" s="1" t="str">
        <f>IFERROR(VLOOKUP(R198,PT[],2,FALSE),"NO EXISTE")</f>
        <v>PIÑA RODAJA 822</v>
      </c>
      <c r="U198" s="591">
        <f>IFERROR(SALIDA_PT[[#This Row],[CANTIDAD]]/ENTRADA_PT[[#This Row],[CANTIDAD]],0%)</f>
        <v>1</v>
      </c>
      <c r="V198" s="633">
        <f>VPN!Q22+VPE!Q23</f>
        <v>36720</v>
      </c>
      <c r="W198" s="93">
        <f>ENTRADA_PT[[#This Row],[COSTO UNITARIO]]</f>
        <v>1.2984286501572693</v>
      </c>
      <c r="X198" s="93">
        <f t="shared" si="4"/>
        <v>47678.300033774925</v>
      </c>
    </row>
    <row r="199" spans="11:24" x14ac:dyDescent="0.35">
      <c r="K199" s="95" t="str">
        <f>CP!A608</f>
        <v>PT16</v>
      </c>
      <c r="L199" s="95" t="str">
        <f>CP!B608</f>
        <v>DICIEMBRE</v>
      </c>
      <c r="M199" s="95" t="str">
        <f>IFERROR(VLOOKUP(K199,PT[],2,FALSE),"NO EXISTE")</f>
        <v>PIÑA TROZO 822</v>
      </c>
      <c r="N199" s="441">
        <f>CP!D608</f>
        <v>0</v>
      </c>
      <c r="O199" s="94">
        <f>IFERROR(CP!E608,0*1)</f>
        <v>0</v>
      </c>
      <c r="P199" s="94">
        <f>ENTRADA_PT[[#This Row],[CANTIDAD]]*ENTRADA_PT[[#This Row],[COSTO UNITARIO]]</f>
        <v>0</v>
      </c>
      <c r="R199" s="95" t="str">
        <f>ENTRADA_PT[[#This Row],[CÓDIGO]]</f>
        <v>PT16</v>
      </c>
      <c r="S199" s="95" t="str">
        <f>ENTRADA_PT[[#This Row],[FECHA]]</f>
        <v>DICIEMBRE</v>
      </c>
      <c r="T199" s="1" t="str">
        <f>IFERROR(VLOOKUP(R199,PT[],2,FALSE),"NO EXISTE")</f>
        <v>PIÑA TROZO 822</v>
      </c>
      <c r="U199" s="591">
        <f>IFERROR(SALIDA_PT[[#This Row],[CANTIDAD]]/ENTRADA_PT[[#This Row],[CANTIDAD]],0%)</f>
        <v>0</v>
      </c>
      <c r="V199" s="633">
        <f>VPN!Q23+VPE!Q24</f>
        <v>0</v>
      </c>
      <c r="W199" s="93">
        <f>ENTRADA_PT[[#This Row],[COSTO UNITARIO]]</f>
        <v>0</v>
      </c>
      <c r="X199" s="93">
        <f t="shared" si="4"/>
        <v>0</v>
      </c>
    </row>
    <row r="286" spans="2:24" ht="14.5" x14ac:dyDescent="0.35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 s="442"/>
      <c r="S286" s="442"/>
      <c r="T286" s="442"/>
      <c r="U286" s="592"/>
      <c r="V286" s="442"/>
      <c r="W286" s="443"/>
      <c r="X286" s="443"/>
    </row>
    <row r="287" spans="2:24" ht="14.5" x14ac:dyDescent="0.35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 s="442"/>
      <c r="S287" s="442"/>
      <c r="T287" s="442"/>
      <c r="U287" s="592"/>
      <c r="V287" s="442"/>
      <c r="W287" s="443"/>
      <c r="X287" s="443"/>
    </row>
    <row r="288" spans="2:24" ht="14.5" x14ac:dyDescent="0.35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 s="442"/>
      <c r="S288" s="442"/>
      <c r="T288" s="442"/>
      <c r="U288" s="592"/>
      <c r="V288" s="442"/>
      <c r="W288" s="443"/>
      <c r="X288" s="443"/>
    </row>
    <row r="289" spans="2:24" ht="14.5" x14ac:dyDescent="0.35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 s="442"/>
      <c r="S289" s="442"/>
      <c r="T289" s="442"/>
      <c r="U289" s="592"/>
      <c r="V289" s="442"/>
      <c r="W289" s="443"/>
      <c r="X289" s="443"/>
    </row>
    <row r="290" spans="2:24" ht="14.5" x14ac:dyDescent="0.35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 s="442"/>
      <c r="S290" s="442"/>
      <c r="T290" s="442"/>
      <c r="U290" s="592"/>
      <c r="V290" s="442"/>
      <c r="W290" s="443"/>
      <c r="X290" s="443"/>
    </row>
  </sheetData>
  <mergeCells count="4">
    <mergeCell ref="B5:H6"/>
    <mergeCell ref="K5:O6"/>
    <mergeCell ref="R5:W6"/>
    <mergeCell ref="B2:D2"/>
  </mergeCells>
  <pageMargins left="0.7" right="0.7" top="0.75" bottom="0.75" header="0.3" footer="0.3"/>
  <pageSetup paperSize="9" orientation="portrait" horizontalDpi="0" verticalDpi="0" r:id="rId1"/>
  <legacyDrawing r:id="rId2"/>
  <tableParts count="3"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53106-7BB4-4392-A824-AF491145CB2F}">
  <sheetPr codeName="Hoja17">
    <tabColor theme="8" tint="0.79998168889431442"/>
  </sheetPr>
  <dimension ref="B1:U35"/>
  <sheetViews>
    <sheetView showGridLines="0" zoomScale="56" workbookViewId="0">
      <selection activeCell="D8" sqref="D8"/>
    </sheetView>
  </sheetViews>
  <sheetFormatPr baseColWidth="10" defaultRowHeight="14.5" x14ac:dyDescent="0.35"/>
  <cols>
    <col min="1" max="1" width="15.90625" customWidth="1"/>
    <col min="2" max="2" width="11" bestFit="1" customWidth="1"/>
    <col min="3" max="3" width="18.08984375" customWidth="1"/>
    <col min="4" max="5" width="14.7265625" bestFit="1" customWidth="1"/>
    <col min="6" max="15" width="13.6328125" bestFit="1" customWidth="1"/>
    <col min="16" max="16" width="15.36328125" customWidth="1"/>
    <col min="17" max="18" width="12.6328125" bestFit="1" customWidth="1"/>
    <col min="19" max="20" width="11.08984375" bestFit="1" customWidth="1"/>
    <col min="21" max="21" width="11" bestFit="1" customWidth="1"/>
  </cols>
  <sheetData>
    <row r="1" spans="2:21" ht="15" thickBot="1" x14ac:dyDescent="0.4"/>
    <row r="2" spans="2:21" ht="24" customHeight="1" x14ac:dyDescent="0.35">
      <c r="B2" s="980" t="s">
        <v>549</v>
      </c>
      <c r="C2" s="1072"/>
      <c r="D2" s="1072"/>
      <c r="E2" s="981"/>
    </row>
    <row r="3" spans="2:21" ht="23.5" customHeight="1" thickBot="1" x14ac:dyDescent="0.4">
      <c r="B3" s="982"/>
      <c r="C3" s="1073"/>
      <c r="D3" s="1073"/>
      <c r="E3" s="983"/>
    </row>
    <row r="4" spans="2:21" ht="15" thickBot="1" x14ac:dyDescent="0.4"/>
    <row r="5" spans="2:21" ht="15" thickBot="1" x14ac:dyDescent="0.4">
      <c r="B5" s="1068" t="s">
        <v>279</v>
      </c>
      <c r="C5" s="308" t="s">
        <v>205</v>
      </c>
      <c r="D5" s="308" t="s">
        <v>182</v>
      </c>
      <c r="E5" s="308" t="s">
        <v>183</v>
      </c>
      <c r="F5" s="308" t="s">
        <v>184</v>
      </c>
      <c r="G5" s="308" t="s">
        <v>185</v>
      </c>
      <c r="H5" s="308" t="s">
        <v>186</v>
      </c>
      <c r="I5" s="308" t="s">
        <v>187</v>
      </c>
      <c r="J5" s="308" t="s">
        <v>188</v>
      </c>
      <c r="K5" s="308" t="s">
        <v>189</v>
      </c>
      <c r="L5" s="308" t="s">
        <v>190</v>
      </c>
      <c r="M5" s="308" t="s">
        <v>191</v>
      </c>
      <c r="N5" s="308" t="s">
        <v>192</v>
      </c>
      <c r="O5" s="309" t="s">
        <v>193</v>
      </c>
      <c r="P5" s="1069" t="s">
        <v>277</v>
      </c>
      <c r="Q5" s="1070"/>
      <c r="R5" s="1070"/>
      <c r="S5" s="1070"/>
      <c r="T5" s="1070"/>
      <c r="U5" s="1071"/>
    </row>
    <row r="6" spans="2:21" x14ac:dyDescent="0.35">
      <c r="B6" s="1068"/>
      <c r="C6" s="308" t="s">
        <v>274</v>
      </c>
      <c r="D6" s="306">
        <f>VPN!F36+VPN!F46+VPE!F37+VPE!F47</f>
        <v>607860</v>
      </c>
      <c r="E6" s="306">
        <f>VPN!G36+VPN!G46+VPE!G37+VPE!G47</f>
        <v>607860</v>
      </c>
      <c r="F6" s="306">
        <f>VPN!H36+VPN!H46+VPE!H37+VPE!H47</f>
        <v>607860</v>
      </c>
      <c r="G6" s="306">
        <f>VPN!I36+VPN!I46+VPE!I37+VPE!I47</f>
        <v>607860</v>
      </c>
      <c r="H6" s="306">
        <f>VPN!J36+VPN!J46+VPE!J37+VPE!J47</f>
        <v>607860</v>
      </c>
      <c r="I6" s="306">
        <f>VPN!K36+VPN!K46+VPE!K37+VPE!K47</f>
        <v>607860</v>
      </c>
      <c r="J6" s="306">
        <f>VPN!L36+VPN!L46+VPE!L37+VPE!L47</f>
        <v>607860</v>
      </c>
      <c r="K6" s="306">
        <f>VPN!M36+VPN!M46+VPE!M37+VPE!M47</f>
        <v>607860</v>
      </c>
      <c r="L6" s="306">
        <f>VPN!N36+VPN!N46+VPE!N37+VPE!N47</f>
        <v>607860</v>
      </c>
      <c r="M6" s="306">
        <f>VPN!O36+VPN!O46+VPE!O37+VPE!O47</f>
        <v>618390</v>
      </c>
      <c r="N6" s="306">
        <f>VPN!P36+VPN!P46+VPE!P37+VPE!P47</f>
        <v>618390</v>
      </c>
      <c r="O6" s="307">
        <f>VPN!Q36+VPN!Q46+VPE!Q37+VPE!Q47</f>
        <v>618390</v>
      </c>
      <c r="P6" s="298"/>
      <c r="Q6" s="295"/>
      <c r="R6" s="295"/>
      <c r="S6" s="295"/>
      <c r="T6" s="295"/>
      <c r="U6" s="299"/>
    </row>
    <row r="7" spans="2:21" x14ac:dyDescent="0.35">
      <c r="B7" s="1068"/>
      <c r="C7" s="308" t="s">
        <v>275</v>
      </c>
      <c r="D7" s="218">
        <f>D6*(1-DP!$C$12)</f>
        <v>0</v>
      </c>
      <c r="E7" s="218">
        <f>E6*(1-DP!$C$12)</f>
        <v>0</v>
      </c>
      <c r="F7" s="218">
        <f>F6*(1-DP!$C$12)</f>
        <v>0</v>
      </c>
      <c r="G7" s="218">
        <f>G6*(1-DP!$C$12)</f>
        <v>0</v>
      </c>
      <c r="H7" s="218">
        <f>H6*(1-DP!$C$12)</f>
        <v>0</v>
      </c>
      <c r="I7" s="218">
        <f>I6*(1-DP!$C$12)</f>
        <v>0</v>
      </c>
      <c r="J7" s="218">
        <f>J6*(1-DP!$C$12)</f>
        <v>0</v>
      </c>
      <c r="K7" s="218">
        <f>K6*(1-DP!$C$12)</f>
        <v>0</v>
      </c>
      <c r="L7" s="218">
        <f>L6*(1-DP!$C$12)</f>
        <v>0</v>
      </c>
      <c r="M7" s="218">
        <f>M6*(1-DP!$C$12)</f>
        <v>0</v>
      </c>
      <c r="N7" s="218">
        <f>N6*(1-DP!$C$12)</f>
        <v>0</v>
      </c>
      <c r="O7" s="296">
        <f>O6*(1-DP!$C$12)</f>
        <v>0</v>
      </c>
      <c r="P7" s="298"/>
      <c r="Q7" s="295"/>
      <c r="R7" s="295"/>
      <c r="S7" s="295"/>
      <c r="T7" s="295"/>
      <c r="U7" s="299"/>
    </row>
    <row r="8" spans="2:21" x14ac:dyDescent="0.35">
      <c r="B8" s="294">
        <v>0</v>
      </c>
      <c r="C8" s="11" t="s">
        <v>278</v>
      </c>
      <c r="D8" s="218">
        <f>D6*DP!$C$12</f>
        <v>607860</v>
      </c>
      <c r="E8" s="218">
        <f>E6*DP!$C$12</f>
        <v>607860</v>
      </c>
      <c r="F8" s="218">
        <f>F6*DP!$C$12</f>
        <v>607860</v>
      </c>
      <c r="G8" s="218">
        <f>G6*DP!$C$12</f>
        <v>607860</v>
      </c>
      <c r="H8" s="218">
        <f>H6*DP!$C$12</f>
        <v>607860</v>
      </c>
      <c r="I8" s="218">
        <f>I6*DP!$C$12</f>
        <v>607860</v>
      </c>
      <c r="J8" s="218">
        <f>J6*DP!$C$12</f>
        <v>607860</v>
      </c>
      <c r="K8" s="218">
        <f>K6*DP!$C$12</f>
        <v>607860</v>
      </c>
      <c r="L8" s="218">
        <f>L6*DP!$C$12</f>
        <v>607860</v>
      </c>
      <c r="M8" s="218">
        <f>M6*DP!$C$12</f>
        <v>618390</v>
      </c>
      <c r="N8" s="218">
        <f>N6*DP!$C$12</f>
        <v>618390</v>
      </c>
      <c r="O8" s="297">
        <f>O6*DP!$C$12</f>
        <v>618390</v>
      </c>
      <c r="P8" s="298"/>
      <c r="Q8" s="295"/>
      <c r="R8" s="295"/>
      <c r="S8" s="295"/>
      <c r="T8" s="295"/>
      <c r="U8" s="299"/>
    </row>
    <row r="9" spans="2:21" x14ac:dyDescent="0.35">
      <c r="B9" s="294">
        <v>1</v>
      </c>
      <c r="C9" s="11" t="s">
        <v>278</v>
      </c>
      <c r="D9" s="293"/>
      <c r="E9" s="218">
        <f>D6*DP!$C$12</f>
        <v>607860</v>
      </c>
      <c r="F9" s="218">
        <f>E6*DP!$C$12</f>
        <v>607860</v>
      </c>
      <c r="G9" s="218">
        <f>F6*DP!$C$12</f>
        <v>607860</v>
      </c>
      <c r="H9" s="218">
        <f>G6*DP!$C$12</f>
        <v>607860</v>
      </c>
      <c r="I9" s="218">
        <f>H6*DP!$C$12</f>
        <v>607860</v>
      </c>
      <c r="J9" s="218">
        <f>I6*DP!$C$12</f>
        <v>607860</v>
      </c>
      <c r="K9" s="218">
        <f>J6*DP!$C$12</f>
        <v>607860</v>
      </c>
      <c r="L9" s="218">
        <f>K6*DP!$C$12</f>
        <v>607860</v>
      </c>
      <c r="M9" s="218">
        <f>L6*DP!$C$12</f>
        <v>607860</v>
      </c>
      <c r="N9" s="218">
        <f>M6*DP!$C$12</f>
        <v>618390</v>
      </c>
      <c r="O9" s="297">
        <f>N6*DP!$C$12</f>
        <v>618390</v>
      </c>
      <c r="P9" s="300">
        <f>O6*DP!$C$12</f>
        <v>618390</v>
      </c>
      <c r="Q9" s="295"/>
      <c r="R9" s="295"/>
      <c r="S9" s="295"/>
      <c r="T9" s="295"/>
      <c r="U9" s="299"/>
    </row>
    <row r="10" spans="2:21" x14ac:dyDescent="0.35">
      <c r="B10" s="294">
        <v>2</v>
      </c>
      <c r="C10" s="11" t="s">
        <v>278</v>
      </c>
      <c r="D10" s="293"/>
      <c r="E10" s="11"/>
      <c r="F10" s="218">
        <f>D6*DP!$C$12</f>
        <v>607860</v>
      </c>
      <c r="G10" s="218">
        <f>E6*DP!$C$12</f>
        <v>607860</v>
      </c>
      <c r="H10" s="218">
        <f>F6*DP!$C$12</f>
        <v>607860</v>
      </c>
      <c r="I10" s="218">
        <f>G6*DP!$C$12</f>
        <v>607860</v>
      </c>
      <c r="J10" s="218">
        <f>H6*DP!$C$12</f>
        <v>607860</v>
      </c>
      <c r="K10" s="218">
        <f>I6*DP!$C$12</f>
        <v>607860</v>
      </c>
      <c r="L10" s="218">
        <f>J6*DP!$C$12</f>
        <v>607860</v>
      </c>
      <c r="M10" s="218">
        <f>K6*DP!$C$12</f>
        <v>607860</v>
      </c>
      <c r="N10" s="218">
        <f>L6*DP!$C$12</f>
        <v>607860</v>
      </c>
      <c r="O10" s="296">
        <f>M6*DP!$C$12</f>
        <v>618390</v>
      </c>
      <c r="P10" s="301">
        <f>N6*DP!$C$12</f>
        <v>618390</v>
      </c>
      <c r="Q10" s="218">
        <f>O6*DP!$C$12</f>
        <v>618390</v>
      </c>
      <c r="R10" s="295"/>
      <c r="S10" s="295"/>
      <c r="T10" s="295"/>
      <c r="U10" s="299"/>
    </row>
    <row r="11" spans="2:21" x14ac:dyDescent="0.35">
      <c r="B11" s="294">
        <v>3</v>
      </c>
      <c r="C11" s="11" t="s">
        <v>278</v>
      </c>
      <c r="D11" s="293"/>
      <c r="E11" s="11"/>
      <c r="F11" s="11"/>
      <c r="G11" s="218">
        <f>D6*DP!$C$12</f>
        <v>607860</v>
      </c>
      <c r="H11" s="218">
        <f>E6*DP!$C$12</f>
        <v>607860</v>
      </c>
      <c r="I11" s="218">
        <f>F6*DP!$C$12</f>
        <v>607860</v>
      </c>
      <c r="J11" s="218">
        <f>G6*DP!$C$12</f>
        <v>607860</v>
      </c>
      <c r="K11" s="218">
        <f>H6*DP!$C$12</f>
        <v>607860</v>
      </c>
      <c r="L11" s="218">
        <f>I6*DP!$C$12</f>
        <v>607860</v>
      </c>
      <c r="M11" s="218">
        <f>J6*DP!$C$12</f>
        <v>607860</v>
      </c>
      <c r="N11" s="218">
        <f>K6*DP!$C$12</f>
        <v>607860</v>
      </c>
      <c r="O11" s="296">
        <f>L6*DP!$C$12</f>
        <v>607860</v>
      </c>
      <c r="P11" s="301">
        <f>M6*DP!$C$12</f>
        <v>618390</v>
      </c>
      <c r="Q11" s="218">
        <f>N6*DP!$C$12</f>
        <v>618390</v>
      </c>
      <c r="R11" s="218">
        <f>O6*DP!$C$12</f>
        <v>618390</v>
      </c>
      <c r="S11" s="295"/>
      <c r="T11" s="295"/>
      <c r="U11" s="299"/>
    </row>
    <row r="12" spans="2:21" x14ac:dyDescent="0.35">
      <c r="B12" s="294">
        <v>4</v>
      </c>
      <c r="C12" s="11" t="s">
        <v>278</v>
      </c>
      <c r="D12" s="293"/>
      <c r="E12" s="11"/>
      <c r="F12" s="11"/>
      <c r="G12" s="11"/>
      <c r="H12" s="11">
        <f>D6*DP!$C$12</f>
        <v>607860</v>
      </c>
      <c r="I12" s="11">
        <f>E6*DP!$C$12</f>
        <v>607860</v>
      </c>
      <c r="J12" s="11">
        <f>F6*DP!$C$12</f>
        <v>607860</v>
      </c>
      <c r="K12" s="11">
        <f>G6*DP!$C$12</f>
        <v>607860</v>
      </c>
      <c r="L12" s="11">
        <f>H6*DP!$C$12</f>
        <v>607860</v>
      </c>
      <c r="M12" s="11">
        <f>I6*DP!$C$12</f>
        <v>607860</v>
      </c>
      <c r="N12" s="11">
        <f>J6*DP!$C$12</f>
        <v>607860</v>
      </c>
      <c r="O12" s="292">
        <f>K6*DP!$C$12</f>
        <v>607860</v>
      </c>
      <c r="P12" s="302">
        <f>L6*DP!$C$12</f>
        <v>607860</v>
      </c>
      <c r="Q12" s="11">
        <f>M6*DP!$C$12</f>
        <v>618390</v>
      </c>
      <c r="R12" s="11">
        <f>N6*DP!$C$12</f>
        <v>618390</v>
      </c>
      <c r="S12" s="11">
        <f>O6*DP!$C$12</f>
        <v>618390</v>
      </c>
      <c r="T12" s="295"/>
      <c r="U12" s="299"/>
    </row>
    <row r="13" spans="2:21" x14ac:dyDescent="0.35">
      <c r="B13" s="294">
        <v>5</v>
      </c>
      <c r="C13" s="11" t="s">
        <v>278</v>
      </c>
      <c r="D13" s="293"/>
      <c r="E13" s="11"/>
      <c r="F13" s="11"/>
      <c r="G13" s="11"/>
      <c r="H13" s="11"/>
      <c r="I13" s="11">
        <f>D6*DP!$C$12</f>
        <v>607860</v>
      </c>
      <c r="J13" s="11">
        <f>E6*DP!$C$12</f>
        <v>607860</v>
      </c>
      <c r="K13" s="11">
        <f>F6*DP!$C$12</f>
        <v>607860</v>
      </c>
      <c r="L13" s="11">
        <f>G6*DP!$C$12</f>
        <v>607860</v>
      </c>
      <c r="M13" s="11">
        <f>H6*DP!$C$12</f>
        <v>607860</v>
      </c>
      <c r="N13" s="11">
        <f>I6*DP!$C$12</f>
        <v>607860</v>
      </c>
      <c r="O13" s="292">
        <f>J6*DP!$C$12</f>
        <v>607860</v>
      </c>
      <c r="P13" s="302">
        <f>K6*DP!$C$12</f>
        <v>607860</v>
      </c>
      <c r="Q13" s="11">
        <f>L6*DP!$C$12</f>
        <v>607860</v>
      </c>
      <c r="R13" s="11">
        <f>M6*DP!$C$12</f>
        <v>618390</v>
      </c>
      <c r="S13" s="11">
        <f>N6*DP!$C$12</f>
        <v>618390</v>
      </c>
      <c r="T13" s="11">
        <f>O6*DP!$C$12</f>
        <v>618390</v>
      </c>
      <c r="U13" s="299"/>
    </row>
    <row r="14" spans="2:21" ht="15" thickBot="1" x14ac:dyDescent="0.4">
      <c r="B14" s="294">
        <v>6</v>
      </c>
      <c r="C14" s="11" t="s">
        <v>278</v>
      </c>
      <c r="D14" s="293"/>
      <c r="E14" s="11"/>
      <c r="F14" s="11"/>
      <c r="G14" s="11"/>
      <c r="H14" s="11"/>
      <c r="I14" s="11"/>
      <c r="J14" s="11">
        <f>D6*DP!$C$12</f>
        <v>607860</v>
      </c>
      <c r="K14" s="11">
        <f>E6*DP!$C$12</f>
        <v>607860</v>
      </c>
      <c r="L14" s="11">
        <f>F6*DP!$C$12</f>
        <v>607860</v>
      </c>
      <c r="M14" s="11">
        <f>G6*DP!$C$12</f>
        <v>607860</v>
      </c>
      <c r="N14" s="11">
        <f>H6*DP!$C$12</f>
        <v>607860</v>
      </c>
      <c r="O14" s="292">
        <f>I6*DP!$C$12</f>
        <v>607860</v>
      </c>
      <c r="P14" s="303">
        <f>J6*DP!$C$12</f>
        <v>607860</v>
      </c>
      <c r="Q14" s="304">
        <f>K6*DP!$C$12</f>
        <v>607860</v>
      </c>
      <c r="R14" s="304">
        <f>L6*DP!$C$12</f>
        <v>607860</v>
      </c>
      <c r="S14" s="304">
        <f>M6*DP!$C$12</f>
        <v>618390</v>
      </c>
      <c r="T14" s="304">
        <f>N6*DP!$C$12</f>
        <v>618390</v>
      </c>
      <c r="U14" s="305">
        <f>O6*DP!$C$12</f>
        <v>618390</v>
      </c>
    </row>
    <row r="15" spans="2:21" x14ac:dyDescent="0.35">
      <c r="P15" s="295"/>
      <c r="Q15" s="295"/>
      <c r="R15" s="295"/>
      <c r="S15" s="295"/>
      <c r="T15" s="295"/>
      <c r="U15" s="295"/>
    </row>
    <row r="18" spans="2:16" ht="29" x14ac:dyDescent="0.35">
      <c r="B18" s="310" t="s">
        <v>279</v>
      </c>
      <c r="C18" s="310" t="s">
        <v>280</v>
      </c>
      <c r="D18" s="311" t="s">
        <v>182</v>
      </c>
      <c r="E18" s="311" t="s">
        <v>183</v>
      </c>
      <c r="F18" s="311" t="s">
        <v>184</v>
      </c>
      <c r="G18" s="311" t="s">
        <v>185</v>
      </c>
      <c r="H18" s="311" t="s">
        <v>186</v>
      </c>
      <c r="I18" s="311" t="s">
        <v>187</v>
      </c>
      <c r="J18" s="311" t="s">
        <v>188</v>
      </c>
      <c r="K18" s="311" t="s">
        <v>189</v>
      </c>
      <c r="L18" s="311" t="s">
        <v>190</v>
      </c>
      <c r="M18" s="311" t="s">
        <v>191</v>
      </c>
      <c r="N18" s="311" t="s">
        <v>192</v>
      </c>
      <c r="O18" s="311" t="s">
        <v>193</v>
      </c>
      <c r="P18" s="311" t="s">
        <v>277</v>
      </c>
    </row>
    <row r="19" spans="2:16" x14ac:dyDescent="0.35">
      <c r="B19" s="312">
        <v>0</v>
      </c>
      <c r="C19" s="11" t="s">
        <v>276</v>
      </c>
      <c r="D19" s="218">
        <f>D7+D8</f>
        <v>607860</v>
      </c>
      <c r="E19" s="218">
        <f t="shared" ref="E19:O19" si="0">E7+E8</f>
        <v>607860</v>
      </c>
      <c r="F19" s="218">
        <f t="shared" si="0"/>
        <v>607860</v>
      </c>
      <c r="G19" s="218">
        <f t="shared" si="0"/>
        <v>607860</v>
      </c>
      <c r="H19" s="218">
        <f t="shared" si="0"/>
        <v>607860</v>
      </c>
      <c r="I19" s="218">
        <f t="shared" si="0"/>
        <v>607860</v>
      </c>
      <c r="J19" s="218">
        <f t="shared" si="0"/>
        <v>607860</v>
      </c>
      <c r="K19" s="218">
        <f t="shared" si="0"/>
        <v>607860</v>
      </c>
      <c r="L19" s="218">
        <f t="shared" si="0"/>
        <v>607860</v>
      </c>
      <c r="M19" s="218">
        <f t="shared" si="0"/>
        <v>618390</v>
      </c>
      <c r="N19" s="218">
        <f t="shared" si="0"/>
        <v>618390</v>
      </c>
      <c r="O19" s="218">
        <f t="shared" si="0"/>
        <v>618390</v>
      </c>
      <c r="P19" s="11"/>
    </row>
    <row r="20" spans="2:16" x14ac:dyDescent="0.35">
      <c r="B20" s="312">
        <v>1</v>
      </c>
      <c r="C20" s="11" t="s">
        <v>276</v>
      </c>
      <c r="D20" s="218">
        <f>D7+D9</f>
        <v>0</v>
      </c>
      <c r="E20" s="218">
        <f t="shared" ref="E20:O20" si="1">E7+E9</f>
        <v>607860</v>
      </c>
      <c r="F20" s="218">
        <f t="shared" si="1"/>
        <v>607860</v>
      </c>
      <c r="G20" s="218">
        <f t="shared" si="1"/>
        <v>607860</v>
      </c>
      <c r="H20" s="218">
        <f t="shared" si="1"/>
        <v>607860</v>
      </c>
      <c r="I20" s="218">
        <f t="shared" si="1"/>
        <v>607860</v>
      </c>
      <c r="J20" s="218">
        <f t="shared" si="1"/>
        <v>607860</v>
      </c>
      <c r="K20" s="218">
        <f t="shared" si="1"/>
        <v>607860</v>
      </c>
      <c r="L20" s="218">
        <f t="shared" si="1"/>
        <v>607860</v>
      </c>
      <c r="M20" s="218">
        <f t="shared" si="1"/>
        <v>607860</v>
      </c>
      <c r="N20" s="218">
        <f t="shared" si="1"/>
        <v>618390</v>
      </c>
      <c r="O20" s="218">
        <f t="shared" si="1"/>
        <v>618390</v>
      </c>
      <c r="P20" s="218">
        <f>SUM(P9:T9)</f>
        <v>618390</v>
      </c>
    </row>
    <row r="21" spans="2:16" x14ac:dyDescent="0.35">
      <c r="B21" s="312">
        <v>2</v>
      </c>
      <c r="C21" s="11" t="s">
        <v>276</v>
      </c>
      <c r="D21" s="218">
        <f>D7+D10</f>
        <v>0</v>
      </c>
      <c r="E21" s="218">
        <f t="shared" ref="E21:O21" si="2">E7+E10</f>
        <v>0</v>
      </c>
      <c r="F21" s="218">
        <f t="shared" si="2"/>
        <v>607860</v>
      </c>
      <c r="G21" s="218">
        <f t="shared" si="2"/>
        <v>607860</v>
      </c>
      <c r="H21" s="218">
        <f t="shared" si="2"/>
        <v>607860</v>
      </c>
      <c r="I21" s="218">
        <f t="shared" si="2"/>
        <v>607860</v>
      </c>
      <c r="J21" s="218">
        <f t="shared" si="2"/>
        <v>607860</v>
      </c>
      <c r="K21" s="218">
        <f t="shared" si="2"/>
        <v>607860</v>
      </c>
      <c r="L21" s="218">
        <f t="shared" si="2"/>
        <v>607860</v>
      </c>
      <c r="M21" s="218">
        <f t="shared" si="2"/>
        <v>607860</v>
      </c>
      <c r="N21" s="218">
        <f t="shared" si="2"/>
        <v>607860</v>
      </c>
      <c r="O21" s="218">
        <f t="shared" si="2"/>
        <v>618390</v>
      </c>
      <c r="P21" s="218">
        <f t="shared" ref="P21:P25" si="3">SUM(P10:T10)</f>
        <v>1236780</v>
      </c>
    </row>
    <row r="22" spans="2:16" x14ac:dyDescent="0.35">
      <c r="B22" s="312">
        <v>3</v>
      </c>
      <c r="C22" s="11" t="s">
        <v>276</v>
      </c>
      <c r="D22" s="218">
        <f>D7+D11</f>
        <v>0</v>
      </c>
      <c r="E22" s="218">
        <f t="shared" ref="E22:O22" si="4">E7+E11</f>
        <v>0</v>
      </c>
      <c r="F22" s="218">
        <f t="shared" si="4"/>
        <v>0</v>
      </c>
      <c r="G22" s="218">
        <f t="shared" si="4"/>
        <v>607860</v>
      </c>
      <c r="H22" s="218">
        <f t="shared" si="4"/>
        <v>607860</v>
      </c>
      <c r="I22" s="218">
        <f t="shared" si="4"/>
        <v>607860</v>
      </c>
      <c r="J22" s="218">
        <f t="shared" si="4"/>
        <v>607860</v>
      </c>
      <c r="K22" s="218">
        <f t="shared" si="4"/>
        <v>607860</v>
      </c>
      <c r="L22" s="218">
        <f t="shared" si="4"/>
        <v>607860</v>
      </c>
      <c r="M22" s="218">
        <f t="shared" si="4"/>
        <v>607860</v>
      </c>
      <c r="N22" s="218">
        <f t="shared" si="4"/>
        <v>607860</v>
      </c>
      <c r="O22" s="218">
        <f t="shared" si="4"/>
        <v>607860</v>
      </c>
      <c r="P22" s="218">
        <f t="shared" si="3"/>
        <v>1855170</v>
      </c>
    </row>
    <row r="23" spans="2:16" x14ac:dyDescent="0.35">
      <c r="B23" s="312">
        <v>4</v>
      </c>
      <c r="C23" s="11" t="s">
        <v>276</v>
      </c>
      <c r="D23" s="218">
        <f>D7+D12</f>
        <v>0</v>
      </c>
      <c r="E23" s="218">
        <f t="shared" ref="E23:O23" si="5">E7+E12</f>
        <v>0</v>
      </c>
      <c r="F23" s="218">
        <f t="shared" si="5"/>
        <v>0</v>
      </c>
      <c r="G23" s="218">
        <f t="shared" si="5"/>
        <v>0</v>
      </c>
      <c r="H23" s="218">
        <f t="shared" si="5"/>
        <v>607860</v>
      </c>
      <c r="I23" s="218">
        <f t="shared" si="5"/>
        <v>607860</v>
      </c>
      <c r="J23" s="218">
        <f t="shared" si="5"/>
        <v>607860</v>
      </c>
      <c r="K23" s="218">
        <f t="shared" si="5"/>
        <v>607860</v>
      </c>
      <c r="L23" s="218">
        <f t="shared" si="5"/>
        <v>607860</v>
      </c>
      <c r="M23" s="218">
        <f t="shared" si="5"/>
        <v>607860</v>
      </c>
      <c r="N23" s="218">
        <f t="shared" si="5"/>
        <v>607860</v>
      </c>
      <c r="O23" s="218">
        <f t="shared" si="5"/>
        <v>607860</v>
      </c>
      <c r="P23" s="218">
        <f t="shared" si="3"/>
        <v>2463030</v>
      </c>
    </row>
    <row r="24" spans="2:16" x14ac:dyDescent="0.35">
      <c r="B24" s="312">
        <v>5</v>
      </c>
      <c r="C24" s="11" t="s">
        <v>276</v>
      </c>
      <c r="D24" s="218">
        <f>D7+D13</f>
        <v>0</v>
      </c>
      <c r="E24" s="218">
        <f t="shared" ref="E24:O24" si="6">E7+E13</f>
        <v>0</v>
      </c>
      <c r="F24" s="218">
        <f t="shared" si="6"/>
        <v>0</v>
      </c>
      <c r="G24" s="218">
        <f t="shared" si="6"/>
        <v>0</v>
      </c>
      <c r="H24" s="218">
        <f t="shared" si="6"/>
        <v>0</v>
      </c>
      <c r="I24" s="218">
        <f t="shared" si="6"/>
        <v>607860</v>
      </c>
      <c r="J24" s="218">
        <f t="shared" si="6"/>
        <v>607860</v>
      </c>
      <c r="K24" s="218">
        <f t="shared" si="6"/>
        <v>607860</v>
      </c>
      <c r="L24" s="218">
        <f t="shared" si="6"/>
        <v>607860</v>
      </c>
      <c r="M24" s="218">
        <f t="shared" si="6"/>
        <v>607860</v>
      </c>
      <c r="N24" s="218">
        <f t="shared" si="6"/>
        <v>607860</v>
      </c>
      <c r="O24" s="218">
        <f t="shared" si="6"/>
        <v>607860</v>
      </c>
      <c r="P24" s="218">
        <f t="shared" si="3"/>
        <v>3070890</v>
      </c>
    </row>
    <row r="25" spans="2:16" x14ac:dyDescent="0.35">
      <c r="B25" s="312">
        <v>6</v>
      </c>
      <c r="C25" s="11" t="s">
        <v>276</v>
      </c>
      <c r="D25" s="218">
        <f>D7+D14</f>
        <v>0</v>
      </c>
      <c r="E25" s="218">
        <f t="shared" ref="E25:O25" si="7">E7+E14</f>
        <v>0</v>
      </c>
      <c r="F25" s="218">
        <f t="shared" si="7"/>
        <v>0</v>
      </c>
      <c r="G25" s="218">
        <f t="shared" si="7"/>
        <v>0</v>
      </c>
      <c r="H25" s="218">
        <f t="shared" si="7"/>
        <v>0</v>
      </c>
      <c r="I25" s="218">
        <f t="shared" si="7"/>
        <v>0</v>
      </c>
      <c r="J25" s="218">
        <f t="shared" si="7"/>
        <v>607860</v>
      </c>
      <c r="K25" s="218">
        <f t="shared" si="7"/>
        <v>607860</v>
      </c>
      <c r="L25" s="218">
        <f t="shared" si="7"/>
        <v>607860</v>
      </c>
      <c r="M25" s="218">
        <f t="shared" si="7"/>
        <v>607860</v>
      </c>
      <c r="N25" s="218">
        <f t="shared" si="7"/>
        <v>607860</v>
      </c>
      <c r="O25" s="218">
        <f t="shared" si="7"/>
        <v>607860</v>
      </c>
      <c r="P25" s="218">
        <f t="shared" si="3"/>
        <v>3060360</v>
      </c>
    </row>
    <row r="27" spans="2:16" x14ac:dyDescent="0.35">
      <c r="F27" s="282"/>
    </row>
    <row r="28" spans="2:16" ht="43.5" x14ac:dyDescent="0.35">
      <c r="B28" s="325" t="s">
        <v>279</v>
      </c>
      <c r="C28" s="325" t="s">
        <v>290</v>
      </c>
      <c r="D28" s="325" t="s">
        <v>291</v>
      </c>
    </row>
    <row r="29" spans="2:16" x14ac:dyDescent="0.35">
      <c r="B29" s="312">
        <v>0</v>
      </c>
      <c r="C29" s="326">
        <f>SUM(D19:O19)</f>
        <v>7325910</v>
      </c>
      <c r="D29" s="326">
        <f>P19</f>
        <v>0</v>
      </c>
      <c r="E29" s="282"/>
    </row>
    <row r="30" spans="2:16" x14ac:dyDescent="0.35">
      <c r="B30" s="312">
        <v>1</v>
      </c>
      <c r="C30" s="326">
        <f t="shared" ref="C30:C35" si="8">SUM(D20:O20)</f>
        <v>6707520</v>
      </c>
      <c r="D30" s="326">
        <f t="shared" ref="D30:D35" si="9">P20</f>
        <v>618390</v>
      </c>
      <c r="E30" s="282"/>
    </row>
    <row r="31" spans="2:16" x14ac:dyDescent="0.35">
      <c r="B31" s="312">
        <v>2</v>
      </c>
      <c r="C31" s="326">
        <f>SUM(D21:O21)</f>
        <v>6089130</v>
      </c>
      <c r="D31" s="326">
        <f t="shared" si="9"/>
        <v>1236780</v>
      </c>
      <c r="E31" s="282"/>
    </row>
    <row r="32" spans="2:16" x14ac:dyDescent="0.35">
      <c r="B32" s="312">
        <v>3</v>
      </c>
      <c r="C32" s="326">
        <f t="shared" si="8"/>
        <v>5470740</v>
      </c>
      <c r="D32" s="326">
        <f t="shared" si="9"/>
        <v>1855170</v>
      </c>
      <c r="E32" s="282"/>
    </row>
    <row r="33" spans="2:5" x14ac:dyDescent="0.35">
      <c r="B33" s="312">
        <v>4</v>
      </c>
      <c r="C33" s="326">
        <f t="shared" si="8"/>
        <v>4862880</v>
      </c>
      <c r="D33" s="326">
        <f t="shared" si="9"/>
        <v>2463030</v>
      </c>
      <c r="E33" s="282"/>
    </row>
    <row r="34" spans="2:5" x14ac:dyDescent="0.35">
      <c r="B34" s="312">
        <v>5</v>
      </c>
      <c r="C34" s="326">
        <f t="shared" si="8"/>
        <v>4255020</v>
      </c>
      <c r="D34" s="326">
        <f t="shared" si="9"/>
        <v>3070890</v>
      </c>
      <c r="E34" s="282"/>
    </row>
    <row r="35" spans="2:5" x14ac:dyDescent="0.35">
      <c r="B35" s="312">
        <v>6</v>
      </c>
      <c r="C35" s="326">
        <f t="shared" si="8"/>
        <v>3647160</v>
      </c>
      <c r="D35" s="326">
        <f t="shared" si="9"/>
        <v>3060360</v>
      </c>
      <c r="E35" s="282"/>
    </row>
  </sheetData>
  <mergeCells count="3">
    <mergeCell ref="B5:B7"/>
    <mergeCell ref="P5:U5"/>
    <mergeCell ref="B2:E3"/>
  </mergeCells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F19C-B752-43C9-996C-70792579F7D8}">
  <sheetPr codeName="Hoja2">
    <tabColor theme="8" tint="0.79998168889431442"/>
  </sheetPr>
  <dimension ref="B3:M26"/>
  <sheetViews>
    <sheetView showGridLines="0" zoomScale="74" workbookViewId="0">
      <selection activeCell="G27" sqref="G27"/>
    </sheetView>
  </sheetViews>
  <sheetFormatPr baseColWidth="10" defaultRowHeight="14.5" x14ac:dyDescent="0.35"/>
  <cols>
    <col min="2" max="2" width="27.7265625" bestFit="1" customWidth="1"/>
    <col min="3" max="3" width="11.453125" bestFit="1" customWidth="1"/>
    <col min="4" max="7" width="12.90625" bestFit="1" customWidth="1"/>
    <col min="8" max="9" width="13.90625" bestFit="1" customWidth="1"/>
    <col min="10" max="10" width="15.453125" customWidth="1"/>
    <col min="11" max="11" width="18.08984375" customWidth="1"/>
    <col min="12" max="13" width="13.90625" bestFit="1" customWidth="1"/>
  </cols>
  <sheetData>
    <row r="3" spans="2:13" ht="15.5" x14ac:dyDescent="0.35">
      <c r="B3" s="3" t="s">
        <v>560</v>
      </c>
      <c r="C3" s="3">
        <f>FC!C4</f>
        <v>0</v>
      </c>
      <c r="D3" s="3">
        <f>FC!D4</f>
        <v>2025</v>
      </c>
      <c r="E3" s="3">
        <f>FC!E4</f>
        <v>2026</v>
      </c>
      <c r="F3" s="3">
        <f>FC!F4</f>
        <v>2027</v>
      </c>
      <c r="G3" s="3">
        <f>FC!G4</f>
        <v>2028</v>
      </c>
      <c r="H3" s="3">
        <f>FC!H4</f>
        <v>2029</v>
      </c>
      <c r="I3" s="3">
        <f>FC!I4</f>
        <v>2030</v>
      </c>
      <c r="J3" s="3">
        <f>FC!J4</f>
        <v>2031</v>
      </c>
      <c r="K3" s="3">
        <f>FC!K4</f>
        <v>2032</v>
      </c>
      <c r="L3" s="3">
        <f>FC!L4</f>
        <v>2033</v>
      </c>
      <c r="M3" s="3">
        <f>FC!M4</f>
        <v>2034</v>
      </c>
    </row>
    <row r="4" spans="2:13" x14ac:dyDescent="0.35">
      <c r="B4" s="784" t="s">
        <v>530</v>
      </c>
      <c r="C4" s="785"/>
      <c r="D4" s="786">
        <f>IF(C16&lt;0,C16,0)</f>
        <v>-42541.2</v>
      </c>
      <c r="E4" s="786">
        <f t="shared" ref="E4:M4" si="0">IF(E5=0,D4,IF(D16&lt;0,D16,0))</f>
        <v>-42541.2</v>
      </c>
      <c r="F4" s="786">
        <f t="shared" si="0"/>
        <v>-42541.2</v>
      </c>
      <c r="G4" s="786">
        <f t="shared" si="0"/>
        <v>-42541.2</v>
      </c>
      <c r="H4" s="786">
        <f t="shared" si="0"/>
        <v>-42541.2</v>
      </c>
      <c r="I4" s="786">
        <f t="shared" si="0"/>
        <v>-42541.2</v>
      </c>
      <c r="J4" s="786">
        <f t="shared" si="0"/>
        <v>-42541.2</v>
      </c>
      <c r="K4" s="786">
        <f t="shared" si="0"/>
        <v>-42541.2</v>
      </c>
      <c r="L4" s="786">
        <f t="shared" si="0"/>
        <v>-42541.2</v>
      </c>
      <c r="M4" s="786">
        <f t="shared" si="0"/>
        <v>-42541.2</v>
      </c>
    </row>
    <row r="5" spans="2:13" x14ac:dyDescent="0.35">
      <c r="B5" s="11" t="s">
        <v>521</v>
      </c>
      <c r="C5" s="11"/>
      <c r="D5" s="218">
        <f>EERR!C5*DP!$C$19</f>
        <v>0</v>
      </c>
      <c r="E5" s="218">
        <f>EERR!D5*DP!$C$19</f>
        <v>0</v>
      </c>
      <c r="F5" s="218">
        <f>EERR!E5*DP!$C$19</f>
        <v>0</v>
      </c>
      <c r="G5" s="218">
        <f>EERR!F5*DP!$C$19</f>
        <v>0</v>
      </c>
      <c r="H5" s="218">
        <f>EERR!G5*DP!$C$19</f>
        <v>0</v>
      </c>
      <c r="I5" s="218">
        <f>EERR!H5*DP!$C$19</f>
        <v>0</v>
      </c>
      <c r="J5" s="218">
        <f>EERR!I5*DP!$C$19</f>
        <v>0</v>
      </c>
      <c r="K5" s="218">
        <f>EERR!J5*DP!$C$19</f>
        <v>0</v>
      </c>
      <c r="L5" s="218">
        <f>EERR!K5*DP!$C$19</f>
        <v>0</v>
      </c>
      <c r="M5" s="218">
        <f>EERR!L5*DP!$C$19</f>
        <v>0</v>
      </c>
    </row>
    <row r="6" spans="2:13" x14ac:dyDescent="0.35">
      <c r="B6" s="11" t="s">
        <v>520</v>
      </c>
      <c r="C6" s="11"/>
      <c r="D6" s="218">
        <v>0</v>
      </c>
      <c r="E6" s="218">
        <v>0</v>
      </c>
      <c r="F6" s="218">
        <v>0</v>
      </c>
      <c r="G6" s="218">
        <v>0</v>
      </c>
      <c r="H6" s="218">
        <v>0</v>
      </c>
      <c r="I6" s="218">
        <v>0</v>
      </c>
      <c r="J6" s="218">
        <v>0</v>
      </c>
      <c r="K6" s="218">
        <v>0</v>
      </c>
      <c r="L6" s="218">
        <v>0</v>
      </c>
      <c r="M6" s="218">
        <v>0</v>
      </c>
    </row>
    <row r="7" spans="2:13" x14ac:dyDescent="0.35">
      <c r="B7" s="775" t="s">
        <v>528</v>
      </c>
      <c r="C7" s="776">
        <f>SUM(C4:C6)</f>
        <v>0</v>
      </c>
      <c r="D7" s="776">
        <f t="shared" ref="D7:M7" si="1">IF(D5&gt;0,(D4+D6+D5),0)</f>
        <v>0</v>
      </c>
      <c r="E7" s="776">
        <f t="shared" si="1"/>
        <v>0</v>
      </c>
      <c r="F7" s="776">
        <f t="shared" si="1"/>
        <v>0</v>
      </c>
      <c r="G7" s="776">
        <f t="shared" si="1"/>
        <v>0</v>
      </c>
      <c r="H7" s="776">
        <f t="shared" si="1"/>
        <v>0</v>
      </c>
      <c r="I7" s="776">
        <f t="shared" si="1"/>
        <v>0</v>
      </c>
      <c r="J7" s="776">
        <f t="shared" si="1"/>
        <v>0</v>
      </c>
      <c r="K7" s="776">
        <f t="shared" si="1"/>
        <v>0</v>
      </c>
      <c r="L7" s="776">
        <f t="shared" si="1"/>
        <v>0</v>
      </c>
      <c r="M7" s="776">
        <f t="shared" si="1"/>
        <v>0</v>
      </c>
    </row>
    <row r="8" spans="2:13" x14ac:dyDescent="0.35">
      <c r="B8" s="11" t="s">
        <v>522</v>
      </c>
      <c r="C8" s="218">
        <f>(EF!C20*DP!C19)</f>
        <v>42541.2</v>
      </c>
      <c r="D8" s="11"/>
      <c r="E8" s="11"/>
      <c r="F8" s="326">
        <f>(EF!C37*DP!C19)</f>
        <v>0</v>
      </c>
      <c r="G8" s="11"/>
      <c r="H8" s="11"/>
      <c r="I8" s="11"/>
      <c r="J8" s="11"/>
      <c r="K8" s="11"/>
      <c r="L8" s="11"/>
      <c r="M8" s="11"/>
    </row>
    <row r="9" spans="2:13" x14ac:dyDescent="0.35">
      <c r="B9" s="11" t="s">
        <v>527</v>
      </c>
      <c r="C9" s="11"/>
      <c r="D9" s="218">
        <f>RCP!$C$62*DP!$C$19</f>
        <v>448155.54702719994</v>
      </c>
      <c r="E9" s="326">
        <f>D9*(100%+AS!D19)</f>
        <v>448155.54702719994</v>
      </c>
      <c r="F9" s="326">
        <f>E9*(100%+AS!E19)</f>
        <v>448155.54702719994</v>
      </c>
      <c r="G9" s="326">
        <f>F9*(100%+AS!F19)</f>
        <v>448155.54702719994</v>
      </c>
      <c r="H9" s="326">
        <f>G9*(100%+AS!G19)</f>
        <v>448155.54702719994</v>
      </c>
      <c r="I9" s="326">
        <f>H9*(100%+AS!H19)</f>
        <v>448155.54702719994</v>
      </c>
      <c r="J9" s="326">
        <f>I9*(100%+AS!I19)</f>
        <v>448155.54702719994</v>
      </c>
      <c r="K9" s="326">
        <f>J9*(100%+AS!J19)</f>
        <v>448155.54702719994</v>
      </c>
      <c r="L9" s="326">
        <f>K9*(100%+AS!K19)</f>
        <v>448155.54702719994</v>
      </c>
      <c r="M9" s="326">
        <f>L9*(100%+AS!L19)</f>
        <v>448155.54702719994</v>
      </c>
    </row>
    <row r="10" spans="2:13" x14ac:dyDescent="0.35">
      <c r="B10" s="11" t="s">
        <v>523</v>
      </c>
      <c r="C10" s="11"/>
      <c r="D10" s="218">
        <f>RCP!$D$62*DP!$C$19</f>
        <v>375238.0654262068</v>
      </c>
      <c r="E10" s="11">
        <f>D10*(100%+AS!D19)</f>
        <v>375238.0654262068</v>
      </c>
      <c r="F10" s="11">
        <f>E10*(100%+AS!E19)</f>
        <v>375238.0654262068</v>
      </c>
      <c r="G10" s="11">
        <f>F10*(100%+AS!F19)</f>
        <v>375238.0654262068</v>
      </c>
      <c r="H10" s="11">
        <f>G10*(100%+AS!G19)</f>
        <v>375238.0654262068</v>
      </c>
      <c r="I10" s="11">
        <f>H10*(100%+AS!H19)</f>
        <v>375238.0654262068</v>
      </c>
      <c r="J10" s="11">
        <f>I10*(100%+AS!I19)</f>
        <v>375238.0654262068</v>
      </c>
      <c r="K10" s="11">
        <f>J10*(100%+AS!J19)</f>
        <v>375238.0654262068</v>
      </c>
      <c r="L10" s="11">
        <f>K10*(100%+AS!K19)</f>
        <v>375238.0654262068</v>
      </c>
      <c r="M10" s="11">
        <f>L10*(100%+AS!L19)</f>
        <v>375238.0654262068</v>
      </c>
    </row>
    <row r="11" spans="2:13" x14ac:dyDescent="0.35">
      <c r="B11" s="11" t="s">
        <v>524</v>
      </c>
      <c r="C11" s="11"/>
      <c r="D11" s="218">
        <f>RCP!$E$62*DP!$C$19</f>
        <v>174083.18896551721</v>
      </c>
      <c r="E11" s="11">
        <f>D11*(100%+AS!D19)</f>
        <v>174083.18896551721</v>
      </c>
      <c r="F11" s="11">
        <f>E11*(100%+AS!E19)</f>
        <v>174083.18896551721</v>
      </c>
      <c r="G11" s="11">
        <f>F11*(100%+AS!F19)</f>
        <v>174083.18896551721</v>
      </c>
      <c r="H11" s="11">
        <f>G11*(100%+AS!G19)</f>
        <v>174083.18896551721</v>
      </c>
      <c r="I11" s="11">
        <f>H11*(100%+AS!H19)</f>
        <v>174083.18896551721</v>
      </c>
      <c r="J11" s="11">
        <f>I11*(100%+AS!I19)</f>
        <v>174083.18896551721</v>
      </c>
      <c r="K11" s="11">
        <f>J11*(100%+AS!J19)</f>
        <v>174083.18896551721</v>
      </c>
      <c r="L11" s="11">
        <f>K11*(100%+AS!K19)</f>
        <v>174083.18896551721</v>
      </c>
      <c r="M11" s="11">
        <f>L11*(100%+AS!L19)</f>
        <v>174083.18896551721</v>
      </c>
    </row>
    <row r="12" spans="2:13" x14ac:dyDescent="0.35">
      <c r="B12" s="11" t="s">
        <v>525</v>
      </c>
      <c r="C12" s="11"/>
      <c r="D12" s="218">
        <f>(EERR!C15-EERR!C17)*DP!$C$19</f>
        <v>57600</v>
      </c>
      <c r="E12" s="218">
        <f>(EERR!D15-EERR!D17)*DP!$C$19</f>
        <v>57600</v>
      </c>
      <c r="F12" s="218">
        <f>(EERR!E15-EERR!E17)*DP!$C$19</f>
        <v>57600</v>
      </c>
      <c r="G12" s="218">
        <f>(EERR!F15-EERR!F17)*DP!$C$19</f>
        <v>57600</v>
      </c>
      <c r="H12" s="218">
        <f>(EERR!G15-EERR!G17)*DP!$C$19</f>
        <v>57600</v>
      </c>
      <c r="I12" s="218">
        <f>(EERR!H15-EERR!H17)*DP!$C$19</f>
        <v>57600</v>
      </c>
      <c r="J12" s="218">
        <f>(EERR!I15-EERR!I17)*DP!$C$19</f>
        <v>57600</v>
      </c>
      <c r="K12" s="218">
        <f>(EERR!J15-EERR!J17)*DP!$C$19</f>
        <v>57600</v>
      </c>
      <c r="L12" s="218">
        <f>(EERR!K15-EERR!K17)*DP!$C$19</f>
        <v>57600</v>
      </c>
      <c r="M12" s="218">
        <f>(EERR!L15-EERR!L17)*DP!$C$19</f>
        <v>57600</v>
      </c>
    </row>
    <row r="13" spans="2:13" x14ac:dyDescent="0.35">
      <c r="B13" s="11" t="s">
        <v>526</v>
      </c>
      <c r="C13" s="11"/>
      <c r="D13" s="218">
        <f>(EERR!C21-EERR!C23)*DP!$C$19</f>
        <v>55080</v>
      </c>
      <c r="E13" s="218">
        <f>(EERR!D21-EERR!D23)*DP!$C$19</f>
        <v>55080</v>
      </c>
      <c r="F13" s="218">
        <f>(EERR!E21-EERR!E23)*DP!$C$19</f>
        <v>55080</v>
      </c>
      <c r="G13" s="218">
        <f>(EERR!F21-EERR!F23)*DP!$C$19</f>
        <v>55080</v>
      </c>
      <c r="H13" s="218">
        <f>(EERR!G21-EERR!G23)*DP!$C$19</f>
        <v>55080</v>
      </c>
      <c r="I13" s="218">
        <f>(EERR!H21-EERR!H23)*DP!$C$19</f>
        <v>55080</v>
      </c>
      <c r="J13" s="218">
        <f>(EERR!I21-EERR!I23)*DP!$C$19</f>
        <v>55080</v>
      </c>
      <c r="K13" s="218">
        <f>(EERR!J21-EERR!J23)*DP!$C$19</f>
        <v>55080</v>
      </c>
      <c r="L13" s="218">
        <f>(EERR!K21-EERR!K23)*DP!$C$19</f>
        <v>55080</v>
      </c>
      <c r="M13" s="218">
        <f>(EERR!L21-EERR!L23)*DP!$C$19</f>
        <v>55080</v>
      </c>
    </row>
    <row r="14" spans="2:13" x14ac:dyDescent="0.35">
      <c r="B14" s="775" t="s">
        <v>529</v>
      </c>
      <c r="C14" s="776">
        <f>SUM(C8:C13)</f>
        <v>42541.2</v>
      </c>
      <c r="D14" s="776">
        <f>SUM(D8:D13)</f>
        <v>1110156.8014189238</v>
      </c>
      <c r="E14" s="776">
        <f t="shared" ref="E14:M14" si="2">SUM(E8:E13)</f>
        <v>1110156.8014189238</v>
      </c>
      <c r="F14" s="776">
        <f t="shared" si="2"/>
        <v>1110156.8014189238</v>
      </c>
      <c r="G14" s="776">
        <f t="shared" si="2"/>
        <v>1110156.8014189238</v>
      </c>
      <c r="H14" s="776">
        <f t="shared" si="2"/>
        <v>1110156.8014189238</v>
      </c>
      <c r="I14" s="776">
        <f t="shared" si="2"/>
        <v>1110156.8014189238</v>
      </c>
      <c r="J14" s="776">
        <f t="shared" si="2"/>
        <v>1110156.8014189238</v>
      </c>
      <c r="K14" s="776">
        <f t="shared" si="2"/>
        <v>1110156.8014189238</v>
      </c>
      <c r="L14" s="776">
        <f t="shared" si="2"/>
        <v>1110156.8014189238</v>
      </c>
      <c r="M14" s="776">
        <f t="shared" si="2"/>
        <v>1110156.8014189238</v>
      </c>
    </row>
    <row r="15" spans="2:13" ht="8.5" customHeight="1" x14ac:dyDescent="0.35"/>
    <row r="16" spans="2:13" x14ac:dyDescent="0.35">
      <c r="B16" s="404" t="s">
        <v>531</v>
      </c>
      <c r="C16" s="218">
        <f>C7-C14</f>
        <v>-42541.2</v>
      </c>
      <c r="D16" s="218">
        <f>D5-D14</f>
        <v>-1110156.8014189238</v>
      </c>
      <c r="E16" s="218">
        <f t="shared" ref="E16:M16" si="3">E5-E14</f>
        <v>-1110156.8014189238</v>
      </c>
      <c r="F16" s="218">
        <f t="shared" si="3"/>
        <v>-1110156.8014189238</v>
      </c>
      <c r="G16" s="218">
        <f t="shared" si="3"/>
        <v>-1110156.8014189238</v>
      </c>
      <c r="H16" s="218">
        <f t="shared" si="3"/>
        <v>-1110156.8014189238</v>
      </c>
      <c r="I16" s="218">
        <f t="shared" si="3"/>
        <v>-1110156.8014189238</v>
      </c>
      <c r="J16" s="218">
        <f t="shared" si="3"/>
        <v>-1110156.8014189238</v>
      </c>
      <c r="K16" s="218">
        <f t="shared" si="3"/>
        <v>-1110156.8014189238</v>
      </c>
      <c r="L16" s="218">
        <f t="shared" si="3"/>
        <v>-1110156.8014189238</v>
      </c>
      <c r="M16" s="218">
        <f t="shared" si="3"/>
        <v>-1110156.8014189238</v>
      </c>
    </row>
    <row r="20" spans="3:11" x14ac:dyDescent="0.35">
      <c r="C20" s="48"/>
      <c r="D20" s="788"/>
    </row>
    <row r="21" spans="3:11" ht="15" thickBot="1" x14ac:dyDescent="0.4">
      <c r="C21" s="787"/>
      <c r="D21" s="282"/>
    </row>
    <row r="22" spans="3:11" ht="16.5" customHeight="1" x14ac:dyDescent="0.35">
      <c r="C22" s="787"/>
      <c r="D22" s="282"/>
      <c r="G22" s="777" t="s">
        <v>538</v>
      </c>
      <c r="H22" s="778" t="s">
        <v>534</v>
      </c>
      <c r="I22" s="789" t="s">
        <v>535</v>
      </c>
      <c r="J22" s="1074" t="s">
        <v>541</v>
      </c>
      <c r="K22" s="1075"/>
    </row>
    <row r="23" spans="3:11" ht="15.5" customHeight="1" thickBot="1" x14ac:dyDescent="0.4">
      <c r="C23" s="48"/>
      <c r="D23" s="788"/>
      <c r="G23" s="779" t="s">
        <v>539</v>
      </c>
      <c r="H23" s="780" t="s">
        <v>536</v>
      </c>
      <c r="I23" s="781" t="s">
        <v>537</v>
      </c>
      <c r="J23" s="1076" t="s">
        <v>542</v>
      </c>
      <c r="K23" s="1077"/>
    </row>
    <row r="24" spans="3:11" x14ac:dyDescent="0.35">
      <c r="C24" s="787"/>
      <c r="D24" s="282"/>
    </row>
    <row r="26" spans="3:11" x14ac:dyDescent="0.35">
      <c r="D26" s="282"/>
    </row>
  </sheetData>
  <mergeCells count="2">
    <mergeCell ref="J22:K22"/>
    <mergeCell ref="J23:K23"/>
  </mergeCells>
  <pageMargins left="0.7" right="0.7" top="0.75" bottom="0.75" header="0.3" footer="0.3"/>
  <pageSetup paperSize="9" orientation="portrait" horizontalDpi="0" verticalDpi="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5CDBE-ACD3-4D50-A85E-10FFA3FE8B3B}">
  <sheetPr codeName="Hoja11">
    <tabColor theme="5" tint="0.79998168889431442"/>
  </sheetPr>
  <dimension ref="A2:AA51"/>
  <sheetViews>
    <sheetView showGridLines="0" topLeftCell="A27" zoomScale="55" zoomScaleNormal="63" workbookViewId="0">
      <selection activeCell="G59" sqref="G59"/>
    </sheetView>
  </sheetViews>
  <sheetFormatPr baseColWidth="10" defaultRowHeight="15.5" x14ac:dyDescent="0.35"/>
  <cols>
    <col min="1" max="1" width="2.81640625" style="6" customWidth="1"/>
    <col min="2" max="2" width="67.6328125" style="6" bestFit="1" customWidth="1"/>
    <col min="3" max="3" width="18.453125" style="6" customWidth="1"/>
    <col min="4" max="4" width="18.54296875" style="6" customWidth="1"/>
    <col min="5" max="12" width="17.81640625" style="6" customWidth="1"/>
    <col min="13" max="27" width="10.90625" style="6"/>
  </cols>
  <sheetData>
    <row r="2" spans="2:12" ht="16" thickBot="1" x14ac:dyDescent="0.4"/>
    <row r="3" spans="2:12" ht="27.5" customHeight="1" x14ac:dyDescent="0.35">
      <c r="B3" s="1078" t="s">
        <v>453</v>
      </c>
    </row>
    <row r="4" spans="2:12" ht="24.5" customHeight="1" thickBot="1" x14ac:dyDescent="0.4">
      <c r="B4" s="1079"/>
    </row>
    <row r="5" spans="2:12" ht="16" customHeight="1" x14ac:dyDescent="0.35">
      <c r="C5" s="159"/>
    </row>
    <row r="6" spans="2:12" ht="8" customHeight="1" thickBot="1" x14ac:dyDescent="0.4"/>
    <row r="7" spans="2:12" ht="16" thickBot="1" x14ac:dyDescent="0.4">
      <c r="B7" s="166" t="s">
        <v>205</v>
      </c>
      <c r="C7" s="167">
        <f>DP!C11</f>
        <v>2025</v>
      </c>
      <c r="D7" s="167">
        <f>C7+1</f>
        <v>2026</v>
      </c>
      <c r="E7" s="167">
        <f t="shared" ref="E7:L7" si="0">D7+1</f>
        <v>2027</v>
      </c>
      <c r="F7" s="167">
        <f t="shared" si="0"/>
        <v>2028</v>
      </c>
      <c r="G7" s="167">
        <f t="shared" si="0"/>
        <v>2029</v>
      </c>
      <c r="H7" s="167">
        <f t="shared" si="0"/>
        <v>2030</v>
      </c>
      <c r="I7" s="167">
        <f t="shared" si="0"/>
        <v>2031</v>
      </c>
      <c r="J7" s="167">
        <f t="shared" si="0"/>
        <v>2032</v>
      </c>
      <c r="K7" s="167">
        <f>J7+1</f>
        <v>2033</v>
      </c>
      <c r="L7" s="168">
        <f t="shared" si="0"/>
        <v>2034</v>
      </c>
    </row>
    <row r="8" spans="2:12" ht="9.5" customHeight="1" thickBot="1" x14ac:dyDescent="0.4">
      <c r="B8" s="1082"/>
      <c r="C8" s="1082"/>
      <c r="D8" s="87"/>
      <c r="E8" s="87"/>
      <c r="F8" s="87"/>
      <c r="G8" s="87"/>
      <c r="H8" s="87"/>
      <c r="I8" s="87"/>
      <c r="J8" s="87"/>
      <c r="K8" s="87"/>
      <c r="L8" s="87"/>
    </row>
    <row r="9" spans="2:12" ht="16.5" customHeight="1" thickBot="1" x14ac:dyDescent="0.4">
      <c r="B9" s="1080" t="s">
        <v>431</v>
      </c>
      <c r="C9" s="1081"/>
      <c r="D9" s="850">
        <f>DP!L90</f>
        <v>0</v>
      </c>
      <c r="E9" s="850">
        <f>DP!M90</f>
        <v>0</v>
      </c>
      <c r="F9" s="850">
        <f>DP!N90</f>
        <v>0</v>
      </c>
      <c r="G9" s="850">
        <f>DP!O90</f>
        <v>0</v>
      </c>
      <c r="H9" s="850">
        <f>DP!P90</f>
        <v>0</v>
      </c>
      <c r="I9" s="850">
        <f>DP!Q90</f>
        <v>0</v>
      </c>
      <c r="J9" s="850">
        <f>DP!R90</f>
        <v>0</v>
      </c>
      <c r="K9" s="850">
        <f>DP!S90</f>
        <v>0</v>
      </c>
      <c r="L9" s="851">
        <f>DP!T90</f>
        <v>0</v>
      </c>
    </row>
    <row r="10" spans="2:12" ht="16.5" customHeight="1" x14ac:dyDescent="0.35">
      <c r="B10" s="1083" t="s">
        <v>429</v>
      </c>
      <c r="C10" s="1084"/>
      <c r="D10" s="68"/>
      <c r="E10" s="68"/>
      <c r="F10" s="68"/>
      <c r="G10" s="68"/>
      <c r="H10" s="68"/>
      <c r="I10" s="68"/>
      <c r="J10" s="68"/>
      <c r="K10" s="68"/>
      <c r="L10" s="334"/>
    </row>
    <row r="11" spans="2:12" ht="16.5" customHeight="1" x14ac:dyDescent="0.35">
      <c r="B11" s="852" t="s">
        <v>281</v>
      </c>
      <c r="C11" s="149">
        <f>SUM(VPN!F36:Q36)</f>
        <v>0</v>
      </c>
      <c r="D11" s="161">
        <f t="shared" ref="D11:L11" si="1">C11*(100%+D$9)</f>
        <v>0</v>
      </c>
      <c r="E11" s="161">
        <f t="shared" si="1"/>
        <v>0</v>
      </c>
      <c r="F11" s="161">
        <f t="shared" si="1"/>
        <v>0</v>
      </c>
      <c r="G11" s="161">
        <f t="shared" si="1"/>
        <v>0</v>
      </c>
      <c r="H11" s="161">
        <f t="shared" si="1"/>
        <v>0</v>
      </c>
      <c r="I11" s="161">
        <f t="shared" si="1"/>
        <v>0</v>
      </c>
      <c r="J11" s="161">
        <f t="shared" si="1"/>
        <v>0</v>
      </c>
      <c r="K11" s="161">
        <f t="shared" si="1"/>
        <v>0</v>
      </c>
      <c r="L11" s="284">
        <f t="shared" si="1"/>
        <v>0</v>
      </c>
    </row>
    <row r="12" spans="2:12" ht="16.5" customHeight="1" x14ac:dyDescent="0.35">
      <c r="B12" s="852" t="s">
        <v>282</v>
      </c>
      <c r="C12" s="149">
        <f>SUM(VPN!F46:Q46)</f>
        <v>0</v>
      </c>
      <c r="D12" s="161">
        <f>C12*(100%+D$9)</f>
        <v>0</v>
      </c>
      <c r="E12" s="161">
        <f t="shared" ref="E12:L12" si="2">D12*(100%+E$9)</f>
        <v>0</v>
      </c>
      <c r="F12" s="161">
        <f t="shared" si="2"/>
        <v>0</v>
      </c>
      <c r="G12" s="161">
        <f t="shared" si="2"/>
        <v>0</v>
      </c>
      <c r="H12" s="161">
        <f t="shared" si="2"/>
        <v>0</v>
      </c>
      <c r="I12" s="161">
        <f t="shared" si="2"/>
        <v>0</v>
      </c>
      <c r="J12" s="161">
        <f t="shared" si="2"/>
        <v>0</v>
      </c>
      <c r="K12" s="161">
        <f t="shared" si="2"/>
        <v>0</v>
      </c>
      <c r="L12" s="284">
        <f t="shared" si="2"/>
        <v>0</v>
      </c>
    </row>
    <row r="13" spans="2:12" ht="16.5" customHeight="1" x14ac:dyDescent="0.35">
      <c r="B13" s="854" t="s">
        <v>283</v>
      </c>
      <c r="C13" s="848">
        <f t="shared" ref="C13:L13" si="3">SUM(C11:C12)</f>
        <v>0</v>
      </c>
      <c r="D13" s="848">
        <f t="shared" si="3"/>
        <v>0</v>
      </c>
      <c r="E13" s="848">
        <f t="shared" si="3"/>
        <v>0</v>
      </c>
      <c r="F13" s="848">
        <f t="shared" si="3"/>
        <v>0</v>
      </c>
      <c r="G13" s="848">
        <f t="shared" si="3"/>
        <v>0</v>
      </c>
      <c r="H13" s="848">
        <f t="shared" si="3"/>
        <v>0</v>
      </c>
      <c r="I13" s="848">
        <f t="shared" si="3"/>
        <v>0</v>
      </c>
      <c r="J13" s="848">
        <f t="shared" si="3"/>
        <v>0</v>
      </c>
      <c r="K13" s="848">
        <f t="shared" si="3"/>
        <v>0</v>
      </c>
      <c r="L13" s="849">
        <f t="shared" si="3"/>
        <v>0</v>
      </c>
    </row>
    <row r="14" spans="2:12" ht="16.5" customHeight="1" x14ac:dyDescent="0.35">
      <c r="B14" s="1083" t="s">
        <v>430</v>
      </c>
      <c r="C14" s="1084"/>
      <c r="D14" s="240"/>
      <c r="E14" s="68"/>
      <c r="F14" s="68"/>
      <c r="G14" s="68"/>
      <c r="H14" s="68"/>
      <c r="I14" s="68"/>
      <c r="J14" s="68"/>
      <c r="K14" s="68"/>
      <c r="L14" s="334"/>
    </row>
    <row r="15" spans="2:12" x14ac:dyDescent="0.35">
      <c r="B15" s="852" t="s">
        <v>281</v>
      </c>
      <c r="C15" s="149">
        <f>SUM(VPE!F37:Q37)</f>
        <v>0</v>
      </c>
      <c r="D15" s="161">
        <f t="shared" ref="D15:L15" si="4">C15*(100%+D$9)</f>
        <v>0</v>
      </c>
      <c r="E15" s="161">
        <f t="shared" si="4"/>
        <v>0</v>
      </c>
      <c r="F15" s="161">
        <f t="shared" si="4"/>
        <v>0</v>
      </c>
      <c r="G15" s="161">
        <f t="shared" si="4"/>
        <v>0</v>
      </c>
      <c r="H15" s="161">
        <f t="shared" si="4"/>
        <v>0</v>
      </c>
      <c r="I15" s="161">
        <f t="shared" si="4"/>
        <v>0</v>
      </c>
      <c r="J15" s="161">
        <f t="shared" si="4"/>
        <v>0</v>
      </c>
      <c r="K15" s="161">
        <f t="shared" si="4"/>
        <v>0</v>
      </c>
      <c r="L15" s="284">
        <f t="shared" si="4"/>
        <v>0</v>
      </c>
    </row>
    <row r="16" spans="2:12" x14ac:dyDescent="0.35">
      <c r="B16" s="852" t="s">
        <v>168</v>
      </c>
      <c r="C16" s="149">
        <f>SUM(VPE!F47:Q47)</f>
        <v>7325910</v>
      </c>
      <c r="D16" s="161">
        <f t="shared" ref="D16:L16" si="5">C16*(100%+D$9)</f>
        <v>7325910</v>
      </c>
      <c r="E16" s="161">
        <f t="shared" si="5"/>
        <v>7325910</v>
      </c>
      <c r="F16" s="161">
        <f t="shared" si="5"/>
        <v>7325910</v>
      </c>
      <c r="G16" s="161">
        <f t="shared" si="5"/>
        <v>7325910</v>
      </c>
      <c r="H16" s="161">
        <f t="shared" si="5"/>
        <v>7325910</v>
      </c>
      <c r="I16" s="161">
        <f t="shared" si="5"/>
        <v>7325910</v>
      </c>
      <c r="J16" s="161">
        <f t="shared" si="5"/>
        <v>7325910</v>
      </c>
      <c r="K16" s="161">
        <f t="shared" si="5"/>
        <v>7325910</v>
      </c>
      <c r="L16" s="284">
        <f t="shared" si="5"/>
        <v>7325910</v>
      </c>
    </row>
    <row r="17" spans="2:12" ht="16" thickBot="1" x14ac:dyDescent="0.4">
      <c r="B17" s="156" t="s">
        <v>284</v>
      </c>
      <c r="C17" s="163">
        <f t="shared" ref="C17:L17" si="6">SUM(C15:C16)</f>
        <v>7325910</v>
      </c>
      <c r="D17" s="163">
        <f t="shared" si="6"/>
        <v>7325910</v>
      </c>
      <c r="E17" s="163">
        <f t="shared" si="6"/>
        <v>7325910</v>
      </c>
      <c r="F17" s="163">
        <f t="shared" si="6"/>
        <v>7325910</v>
      </c>
      <c r="G17" s="163">
        <f t="shared" si="6"/>
        <v>7325910</v>
      </c>
      <c r="H17" s="163">
        <f t="shared" si="6"/>
        <v>7325910</v>
      </c>
      <c r="I17" s="163">
        <f t="shared" si="6"/>
        <v>7325910</v>
      </c>
      <c r="J17" s="163">
        <f t="shared" si="6"/>
        <v>7325910</v>
      </c>
      <c r="K17" s="163">
        <f t="shared" si="6"/>
        <v>7325910</v>
      </c>
      <c r="L17" s="164">
        <f t="shared" si="6"/>
        <v>7325910</v>
      </c>
    </row>
    <row r="18" spans="2:12" ht="16.5" customHeight="1" thickBot="1" x14ac:dyDescent="0.4"/>
    <row r="19" spans="2:12" ht="16" thickBot="1" x14ac:dyDescent="0.4">
      <c r="B19" s="1080" t="s">
        <v>239</v>
      </c>
      <c r="C19" s="1081"/>
      <c r="D19" s="850">
        <f>DP!L91</f>
        <v>0</v>
      </c>
      <c r="E19" s="850">
        <f>DP!M91</f>
        <v>0</v>
      </c>
      <c r="F19" s="850">
        <f>DP!N91</f>
        <v>0</v>
      </c>
      <c r="G19" s="850">
        <f>DP!O91</f>
        <v>0</v>
      </c>
      <c r="H19" s="850">
        <f>DP!P91</f>
        <v>0</v>
      </c>
      <c r="I19" s="850">
        <f>DP!Q91</f>
        <v>0</v>
      </c>
      <c r="J19" s="850">
        <f>DP!R91</f>
        <v>0</v>
      </c>
      <c r="K19" s="850">
        <f>DP!S91</f>
        <v>0</v>
      </c>
      <c r="L19" s="851">
        <f>DP!T91</f>
        <v>0</v>
      </c>
    </row>
    <row r="20" spans="2:12" x14ac:dyDescent="0.35">
      <c r="B20" s="853" t="s">
        <v>194</v>
      </c>
      <c r="C20" s="169">
        <f>PT!Y6</f>
        <v>0</v>
      </c>
      <c r="D20" s="165">
        <f>C20*(100%+D19)</f>
        <v>0</v>
      </c>
      <c r="E20" s="165">
        <f>D20*(100%+E19)</f>
        <v>0</v>
      </c>
      <c r="F20" s="165">
        <f t="shared" ref="F20:L20" si="7">E20*(100%+F19)</f>
        <v>0</v>
      </c>
      <c r="G20" s="165">
        <f t="shared" si="7"/>
        <v>0</v>
      </c>
      <c r="H20" s="165">
        <f t="shared" si="7"/>
        <v>0</v>
      </c>
      <c r="I20" s="165">
        <f t="shared" si="7"/>
        <v>0</v>
      </c>
      <c r="J20" s="165">
        <f t="shared" si="7"/>
        <v>0</v>
      </c>
      <c r="K20" s="165">
        <f t="shared" si="7"/>
        <v>0</v>
      </c>
      <c r="L20" s="283">
        <f t="shared" si="7"/>
        <v>0</v>
      </c>
    </row>
    <row r="21" spans="2:12" x14ac:dyDescent="0.35">
      <c r="B21" s="852" t="s">
        <v>195</v>
      </c>
      <c r="C21" s="160">
        <f>PT!Z6</f>
        <v>6097949.709018508</v>
      </c>
      <c r="D21" s="161">
        <f>C21*(100%+D19)</f>
        <v>6097949.709018508</v>
      </c>
      <c r="E21" s="161">
        <f t="shared" ref="E21:L21" si="8">D21*(100%+E19)</f>
        <v>6097949.709018508</v>
      </c>
      <c r="F21" s="161">
        <f t="shared" si="8"/>
        <v>6097949.709018508</v>
      </c>
      <c r="G21" s="161">
        <f t="shared" si="8"/>
        <v>6097949.709018508</v>
      </c>
      <c r="H21" s="161">
        <f t="shared" si="8"/>
        <v>6097949.709018508</v>
      </c>
      <c r="I21" s="161">
        <f t="shared" si="8"/>
        <v>6097949.709018508</v>
      </c>
      <c r="J21" s="161">
        <f t="shared" si="8"/>
        <v>6097949.709018508</v>
      </c>
      <c r="K21" s="161">
        <f t="shared" si="8"/>
        <v>6097949.709018508</v>
      </c>
      <c r="L21" s="284">
        <f t="shared" si="8"/>
        <v>6097949.709018508</v>
      </c>
    </row>
    <row r="22" spans="2:12" ht="16" thickBot="1" x14ac:dyDescent="0.4">
      <c r="B22" s="156" t="s">
        <v>285</v>
      </c>
      <c r="C22" s="170">
        <f>C20+C21</f>
        <v>6097949.709018508</v>
      </c>
      <c r="D22" s="170">
        <f t="shared" ref="D22" si="9">D20+D21</f>
        <v>6097949.709018508</v>
      </c>
      <c r="E22" s="170">
        <f t="shared" ref="E22" si="10">E20+E21</f>
        <v>6097949.709018508</v>
      </c>
      <c r="F22" s="170">
        <f t="shared" ref="F22" si="11">F20+F21</f>
        <v>6097949.709018508</v>
      </c>
      <c r="G22" s="170">
        <f t="shared" ref="G22" si="12">G20+G21</f>
        <v>6097949.709018508</v>
      </c>
      <c r="H22" s="170">
        <f t="shared" ref="H22" si="13">H20+H21</f>
        <v>6097949.709018508</v>
      </c>
      <c r="I22" s="170">
        <f t="shared" ref="I22" si="14">I20+I21</f>
        <v>6097949.709018508</v>
      </c>
      <c r="J22" s="170">
        <f t="shared" ref="J22" si="15">J20+J21</f>
        <v>6097949.709018508</v>
      </c>
      <c r="K22" s="170">
        <f t="shared" ref="K22" si="16">K20+K21</f>
        <v>6097949.709018508</v>
      </c>
      <c r="L22" s="335">
        <f t="shared" ref="L22" si="17">L20+L21</f>
        <v>6097949.709018508</v>
      </c>
    </row>
    <row r="23" spans="2:12" ht="16" thickBot="1" x14ac:dyDescent="0.4"/>
    <row r="24" spans="2:12" ht="16" thickBot="1" x14ac:dyDescent="0.4">
      <c r="B24" s="1080" t="s">
        <v>286</v>
      </c>
      <c r="C24" s="1081"/>
      <c r="D24" s="850">
        <f>DP!L92</f>
        <v>0</v>
      </c>
      <c r="E24" s="850">
        <f>DP!M92</f>
        <v>0</v>
      </c>
      <c r="F24" s="850">
        <f>DP!N92</f>
        <v>0</v>
      </c>
      <c r="G24" s="850">
        <f>DP!O92</f>
        <v>0</v>
      </c>
      <c r="H24" s="850">
        <f>DP!P92</f>
        <v>0</v>
      </c>
      <c r="I24" s="850">
        <f>DP!Q92</f>
        <v>0</v>
      </c>
      <c r="J24" s="850">
        <f>DP!R92</f>
        <v>0</v>
      </c>
      <c r="K24" s="850">
        <f>DP!S92</f>
        <v>0</v>
      </c>
      <c r="L24" s="851">
        <f>DP!T92</f>
        <v>0</v>
      </c>
    </row>
    <row r="25" spans="2:12" x14ac:dyDescent="0.35">
      <c r="B25" s="853" t="str">
        <f>GC!B7</f>
        <v>MATERIALES Y SERVICIOS</v>
      </c>
      <c r="C25" s="319">
        <f>GC!F14</f>
        <v>96000</v>
      </c>
      <c r="D25" s="278">
        <f>C25*(100%+D$24)</f>
        <v>96000</v>
      </c>
      <c r="E25" s="278">
        <f t="shared" ref="E25:K25" si="18">D25*(100%+E24)</f>
        <v>96000</v>
      </c>
      <c r="F25" s="278">
        <f t="shared" si="18"/>
        <v>96000</v>
      </c>
      <c r="G25" s="278">
        <f t="shared" si="18"/>
        <v>96000</v>
      </c>
      <c r="H25" s="278">
        <f t="shared" si="18"/>
        <v>96000</v>
      </c>
      <c r="I25" s="278">
        <f t="shared" si="18"/>
        <v>96000</v>
      </c>
      <c r="J25" s="278">
        <f t="shared" si="18"/>
        <v>96000</v>
      </c>
      <c r="K25" s="278">
        <f t="shared" si="18"/>
        <v>96000</v>
      </c>
      <c r="L25" s="314">
        <f>K25*(100%+L24)</f>
        <v>96000</v>
      </c>
    </row>
    <row r="26" spans="2:12" x14ac:dyDescent="0.35">
      <c r="B26" s="852" t="str">
        <f>GC!B15</f>
        <v>MANO DE OBRA</v>
      </c>
      <c r="C26" s="176">
        <f>GC!F25</f>
        <v>33000.401104067751</v>
      </c>
      <c r="D26" s="1">
        <f>C26*(100%+D$24)</f>
        <v>33000.401104067751</v>
      </c>
      <c r="E26" s="1">
        <f t="shared" ref="E26:L28" si="19">D26*(100%+E$24)</f>
        <v>33000.401104067751</v>
      </c>
      <c r="F26" s="1">
        <f t="shared" si="19"/>
        <v>33000.401104067751</v>
      </c>
      <c r="G26" s="1">
        <f t="shared" si="19"/>
        <v>33000.401104067751</v>
      </c>
      <c r="H26" s="1">
        <f t="shared" si="19"/>
        <v>33000.401104067751</v>
      </c>
      <c r="I26" s="1">
        <f t="shared" si="19"/>
        <v>33000.401104067751</v>
      </c>
      <c r="J26" s="1">
        <f t="shared" si="19"/>
        <v>33000.401104067751</v>
      </c>
      <c r="K26" s="1">
        <f t="shared" si="19"/>
        <v>33000.401104067751</v>
      </c>
      <c r="L26" s="315">
        <f t="shared" si="19"/>
        <v>33000.401104067751</v>
      </c>
    </row>
    <row r="27" spans="2:12" x14ac:dyDescent="0.35">
      <c r="B27" s="852" t="str">
        <f>GC!B26</f>
        <v>PROMOCIÓN Y PUBLICIDAD</v>
      </c>
      <c r="C27" s="176">
        <f>GC!F35</f>
        <v>20000</v>
      </c>
      <c r="D27" s="1">
        <f>C27*(100%+D$24)</f>
        <v>20000</v>
      </c>
      <c r="E27" s="1">
        <f t="shared" si="19"/>
        <v>20000</v>
      </c>
      <c r="F27" s="1">
        <f t="shared" si="19"/>
        <v>20000</v>
      </c>
      <c r="G27" s="1">
        <f t="shared" si="19"/>
        <v>20000</v>
      </c>
      <c r="H27" s="1">
        <f t="shared" si="19"/>
        <v>20000</v>
      </c>
      <c r="I27" s="1">
        <f t="shared" si="19"/>
        <v>20000</v>
      </c>
      <c r="J27" s="1">
        <f t="shared" si="19"/>
        <v>20000</v>
      </c>
      <c r="K27" s="1">
        <f t="shared" si="19"/>
        <v>20000</v>
      </c>
      <c r="L27" s="315">
        <f t="shared" si="19"/>
        <v>20000</v>
      </c>
    </row>
    <row r="28" spans="2:12" x14ac:dyDescent="0.35">
      <c r="B28" s="852" t="str">
        <f>GC!B36</f>
        <v>GASTOS LOGÍSTICOS</v>
      </c>
      <c r="C28" s="176">
        <f>GC!F45</f>
        <v>108000</v>
      </c>
      <c r="D28" s="1">
        <f>C28*(100%+D$24)</f>
        <v>108000</v>
      </c>
      <c r="E28" s="1">
        <f t="shared" si="19"/>
        <v>108000</v>
      </c>
      <c r="F28" s="1">
        <f t="shared" si="19"/>
        <v>108000</v>
      </c>
      <c r="G28" s="1">
        <f t="shared" si="19"/>
        <v>108000</v>
      </c>
      <c r="H28" s="1">
        <f t="shared" si="19"/>
        <v>108000</v>
      </c>
      <c r="I28" s="1">
        <f t="shared" si="19"/>
        <v>108000</v>
      </c>
      <c r="J28" s="1">
        <f t="shared" si="19"/>
        <v>108000</v>
      </c>
      <c r="K28" s="1">
        <f t="shared" si="19"/>
        <v>108000</v>
      </c>
      <c r="L28" s="315">
        <f t="shared" si="19"/>
        <v>108000</v>
      </c>
    </row>
    <row r="29" spans="2:12" x14ac:dyDescent="0.35">
      <c r="B29" s="852" t="str">
        <f>GC!B46</f>
        <v>GASTOS GENERALES</v>
      </c>
      <c r="C29" s="176">
        <f>GC!F55</f>
        <v>96000</v>
      </c>
      <c r="D29" s="1">
        <f>C29*(100%+D$24)</f>
        <v>96000</v>
      </c>
      <c r="E29" s="1">
        <f t="shared" ref="E29:L29" si="20">D29*(100%+E$24)</f>
        <v>96000</v>
      </c>
      <c r="F29" s="1">
        <f t="shared" si="20"/>
        <v>96000</v>
      </c>
      <c r="G29" s="1">
        <f t="shared" si="20"/>
        <v>96000</v>
      </c>
      <c r="H29" s="1">
        <f t="shared" si="20"/>
        <v>96000</v>
      </c>
      <c r="I29" s="1">
        <f t="shared" si="20"/>
        <v>96000</v>
      </c>
      <c r="J29" s="1">
        <f t="shared" si="20"/>
        <v>96000</v>
      </c>
      <c r="K29" s="1">
        <f t="shared" si="20"/>
        <v>96000</v>
      </c>
      <c r="L29" s="315">
        <f t="shared" si="20"/>
        <v>96000</v>
      </c>
    </row>
    <row r="30" spans="2:12" ht="16" thickBot="1" x14ac:dyDescent="0.4">
      <c r="B30" s="320" t="str">
        <f>GC!B2</f>
        <v>GASTOS DE COMERCIALIZACIÓN</v>
      </c>
      <c r="C30" s="321">
        <f>SUM(C25:C29)</f>
        <v>353000.40110406774</v>
      </c>
      <c r="D30" s="321">
        <f t="shared" ref="D30:L30" si="21">SUM(D25:D29)</f>
        <v>353000.40110406774</v>
      </c>
      <c r="E30" s="321">
        <f t="shared" si="21"/>
        <v>353000.40110406774</v>
      </c>
      <c r="F30" s="321">
        <f t="shared" si="21"/>
        <v>353000.40110406774</v>
      </c>
      <c r="G30" s="321">
        <f t="shared" si="21"/>
        <v>353000.40110406774</v>
      </c>
      <c r="H30" s="321">
        <f t="shared" si="21"/>
        <v>353000.40110406774</v>
      </c>
      <c r="I30" s="321">
        <f t="shared" si="21"/>
        <v>353000.40110406774</v>
      </c>
      <c r="J30" s="321">
        <f t="shared" si="21"/>
        <v>353000.40110406774</v>
      </c>
      <c r="K30" s="321">
        <f t="shared" si="21"/>
        <v>353000.40110406774</v>
      </c>
      <c r="L30" s="322">
        <f t="shared" si="21"/>
        <v>353000.40110406774</v>
      </c>
    </row>
    <row r="31" spans="2:12" ht="13" customHeight="1" thickBot="1" x14ac:dyDescent="0.4"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</row>
    <row r="32" spans="2:12" ht="16" thickBot="1" x14ac:dyDescent="0.4">
      <c r="B32" s="1080" t="s">
        <v>287</v>
      </c>
      <c r="C32" s="1081"/>
      <c r="D32" s="850">
        <f>DP!L93</f>
        <v>0</v>
      </c>
      <c r="E32" s="850">
        <f>DP!M93</f>
        <v>0</v>
      </c>
      <c r="F32" s="850">
        <f>DP!N93</f>
        <v>0</v>
      </c>
      <c r="G32" s="850">
        <f>DP!O93</f>
        <v>0</v>
      </c>
      <c r="H32" s="850">
        <f>DP!P93</f>
        <v>0</v>
      </c>
      <c r="I32" s="850">
        <f>DP!Q93</f>
        <v>0</v>
      </c>
      <c r="J32" s="850">
        <f>DP!R93</f>
        <v>0</v>
      </c>
      <c r="K32" s="850">
        <f>DP!S93</f>
        <v>0</v>
      </c>
      <c r="L32" s="851">
        <f>DP!T93</f>
        <v>0</v>
      </c>
    </row>
    <row r="33" spans="2:12" x14ac:dyDescent="0.35">
      <c r="B33" s="853" t="str">
        <f>GA!B7</f>
        <v>MATERIALES Y SERVICIOS</v>
      </c>
      <c r="C33" s="323">
        <f>GA!F17</f>
        <v>42000</v>
      </c>
      <c r="D33" s="278">
        <f>C33*(100%+D$32)</f>
        <v>42000</v>
      </c>
      <c r="E33" s="278">
        <f t="shared" ref="E33:L33" si="22">D33*(100%+E$32)</f>
        <v>42000</v>
      </c>
      <c r="F33" s="278">
        <f t="shared" si="22"/>
        <v>42000</v>
      </c>
      <c r="G33" s="278">
        <f t="shared" si="22"/>
        <v>42000</v>
      </c>
      <c r="H33" s="278">
        <f t="shared" si="22"/>
        <v>42000</v>
      </c>
      <c r="I33" s="278">
        <f t="shared" si="22"/>
        <v>42000</v>
      </c>
      <c r="J33" s="278">
        <f t="shared" si="22"/>
        <v>42000</v>
      </c>
      <c r="K33" s="278">
        <f t="shared" si="22"/>
        <v>42000</v>
      </c>
      <c r="L33" s="314">
        <f t="shared" si="22"/>
        <v>42000</v>
      </c>
    </row>
    <row r="34" spans="2:12" x14ac:dyDescent="0.35">
      <c r="B34" s="852" t="str">
        <f>GA!B18</f>
        <v>MANO DE OBRA</v>
      </c>
      <c r="C34" s="317">
        <f>GA!F28</f>
        <v>196074.41819150324</v>
      </c>
      <c r="D34" s="1">
        <f t="shared" ref="D34:L35" si="23">C34*(100%+D$32)</f>
        <v>196074.41819150324</v>
      </c>
      <c r="E34" s="1">
        <f t="shared" si="23"/>
        <v>196074.41819150324</v>
      </c>
      <c r="F34" s="1">
        <f t="shared" si="23"/>
        <v>196074.41819150324</v>
      </c>
      <c r="G34" s="1">
        <f t="shared" si="23"/>
        <v>196074.41819150324</v>
      </c>
      <c r="H34" s="1">
        <f t="shared" si="23"/>
        <v>196074.41819150324</v>
      </c>
      <c r="I34" s="1">
        <f t="shared" si="23"/>
        <v>196074.41819150324</v>
      </c>
      <c r="J34" s="1">
        <f t="shared" si="23"/>
        <v>196074.41819150324</v>
      </c>
      <c r="K34" s="1">
        <f t="shared" si="23"/>
        <v>196074.41819150324</v>
      </c>
      <c r="L34" s="315">
        <f t="shared" si="23"/>
        <v>196074.41819150324</v>
      </c>
    </row>
    <row r="35" spans="2:12" x14ac:dyDescent="0.35">
      <c r="B35" s="852" t="str">
        <f>GA!B29</f>
        <v>GASTOS GENERALES</v>
      </c>
      <c r="C35" s="317">
        <f>GA!F53</f>
        <v>264000</v>
      </c>
      <c r="D35" s="1">
        <f t="shared" si="23"/>
        <v>264000</v>
      </c>
      <c r="E35" s="1">
        <f t="shared" si="23"/>
        <v>264000</v>
      </c>
      <c r="F35" s="1">
        <f t="shared" si="23"/>
        <v>264000</v>
      </c>
      <c r="G35" s="1">
        <f t="shared" si="23"/>
        <v>264000</v>
      </c>
      <c r="H35" s="1">
        <f t="shared" si="23"/>
        <v>264000</v>
      </c>
      <c r="I35" s="1">
        <f t="shared" si="23"/>
        <v>264000</v>
      </c>
      <c r="J35" s="1">
        <f t="shared" si="23"/>
        <v>264000</v>
      </c>
      <c r="K35" s="1">
        <f t="shared" si="23"/>
        <v>264000</v>
      </c>
      <c r="L35" s="315">
        <f t="shared" si="23"/>
        <v>264000</v>
      </c>
    </row>
    <row r="36" spans="2:12" ht="16" thickBot="1" x14ac:dyDescent="0.4">
      <c r="B36" s="324" t="str">
        <f>GA!B2</f>
        <v>GASTOS DE ADMINISTRACIÓN</v>
      </c>
      <c r="C36" s="321">
        <f>SUM(C33:C35)</f>
        <v>502074.41819150327</v>
      </c>
      <c r="D36" s="321">
        <f t="shared" ref="D36:L36" si="24">SUM(D33:D35)</f>
        <v>502074.41819150327</v>
      </c>
      <c r="E36" s="321">
        <f t="shared" si="24"/>
        <v>502074.41819150327</v>
      </c>
      <c r="F36" s="321">
        <f t="shared" si="24"/>
        <v>502074.41819150327</v>
      </c>
      <c r="G36" s="321">
        <f t="shared" si="24"/>
        <v>502074.41819150327</v>
      </c>
      <c r="H36" s="321">
        <f t="shared" si="24"/>
        <v>502074.41819150327</v>
      </c>
      <c r="I36" s="321">
        <f t="shared" si="24"/>
        <v>502074.41819150327</v>
      </c>
      <c r="J36" s="321">
        <f t="shared" si="24"/>
        <v>502074.41819150327</v>
      </c>
      <c r="K36" s="321">
        <f t="shared" si="24"/>
        <v>502074.41819150327</v>
      </c>
      <c r="L36" s="322">
        <f t="shared" si="24"/>
        <v>502074.41819150327</v>
      </c>
    </row>
    <row r="38" spans="2:12" ht="16" thickBot="1" x14ac:dyDescent="0.4"/>
    <row r="39" spans="2:12" ht="40" customHeight="1" thickBot="1" x14ac:dyDescent="0.4">
      <c r="B39" s="858" t="s">
        <v>288</v>
      </c>
    </row>
    <row r="40" spans="2:12" ht="8.5" customHeight="1" thickBot="1" x14ac:dyDescent="0.4"/>
    <row r="41" spans="2:12" ht="16" thickBot="1" x14ac:dyDescent="0.4">
      <c r="B41" s="166" t="s">
        <v>205</v>
      </c>
      <c r="C41" s="167">
        <f>DP!C11</f>
        <v>2025</v>
      </c>
      <c r="D41" s="167">
        <f>C41+1</f>
        <v>2026</v>
      </c>
      <c r="E41" s="167">
        <f t="shared" ref="E41" si="25">D41+1</f>
        <v>2027</v>
      </c>
      <c r="F41" s="167">
        <f t="shared" ref="F41" si="26">E41+1</f>
        <v>2028</v>
      </c>
      <c r="G41" s="167">
        <f t="shared" ref="G41" si="27">F41+1</f>
        <v>2029</v>
      </c>
      <c r="H41" s="167">
        <f t="shared" ref="H41" si="28">G41+1</f>
        <v>2030</v>
      </c>
      <c r="I41" s="167">
        <f t="shared" ref="I41" si="29">H41+1</f>
        <v>2031</v>
      </c>
      <c r="J41" s="167">
        <f t="shared" ref="J41" si="30">I41+1</f>
        <v>2032</v>
      </c>
      <c r="K41" s="167">
        <f>J41+1</f>
        <v>2033</v>
      </c>
      <c r="L41" s="168">
        <f t="shared" ref="L41" si="31">K41+1</f>
        <v>2034</v>
      </c>
    </row>
    <row r="42" spans="2:12" ht="8" customHeight="1" thickBot="1" x14ac:dyDescent="0.4">
      <c r="B42" s="1082"/>
      <c r="C42" s="1082"/>
      <c r="D42" s="87"/>
      <c r="E42" s="87"/>
      <c r="F42" s="87"/>
      <c r="G42" s="87"/>
      <c r="H42" s="87"/>
      <c r="I42" s="87"/>
      <c r="J42" s="87"/>
      <c r="K42" s="87"/>
      <c r="L42" s="87"/>
    </row>
    <row r="43" spans="2:12" ht="16" thickBot="1" x14ac:dyDescent="0.4">
      <c r="B43" s="1080" t="s">
        <v>305</v>
      </c>
      <c r="C43" s="1081"/>
      <c r="D43" s="850">
        <f t="shared" ref="D43:L43" si="32">D9</f>
        <v>0</v>
      </c>
      <c r="E43" s="850">
        <f t="shared" si="32"/>
        <v>0</v>
      </c>
      <c r="F43" s="850">
        <f t="shared" si="32"/>
        <v>0</v>
      </c>
      <c r="G43" s="850">
        <f t="shared" si="32"/>
        <v>0</v>
      </c>
      <c r="H43" s="850">
        <f t="shared" si="32"/>
        <v>0</v>
      </c>
      <c r="I43" s="850">
        <f t="shared" si="32"/>
        <v>0</v>
      </c>
      <c r="J43" s="850">
        <f t="shared" si="32"/>
        <v>0</v>
      </c>
      <c r="K43" s="850">
        <f t="shared" si="32"/>
        <v>0</v>
      </c>
      <c r="L43" s="851">
        <f t="shared" si="32"/>
        <v>0</v>
      </c>
    </row>
    <row r="44" spans="2:12" x14ac:dyDescent="0.35">
      <c r="B44" s="853" t="str">
        <f>VC!C19</f>
        <v>INGRESO LIQUIDO</v>
      </c>
      <c r="C44" s="144">
        <f>IF(DP!C13=VC!B29,VC!C29,IF(DP!C13=VC!B30,VC!C30,IF(DP!C13=VC!B31,VC!C31,IF(DP!C13=VC!B32,VC!C32,IF(DP!C13=VC!B33,VC!C33,IF(DP!C13=VC!B34,VC!C34,IF(DP!C13=VC!B35,VC!C35)))))))</f>
        <v>6707520</v>
      </c>
      <c r="D44" s="165">
        <f>C44*(100%+D$43)</f>
        <v>6707520</v>
      </c>
      <c r="E44" s="165">
        <f t="shared" ref="E44:L44" si="33">D44*(100%+E$43)</f>
        <v>6707520</v>
      </c>
      <c r="F44" s="165">
        <f t="shared" si="33"/>
        <v>6707520</v>
      </c>
      <c r="G44" s="165">
        <f t="shared" si="33"/>
        <v>6707520</v>
      </c>
      <c r="H44" s="165">
        <f>G44*(100%+H$43)</f>
        <v>6707520</v>
      </c>
      <c r="I44" s="165">
        <f t="shared" si="33"/>
        <v>6707520</v>
      </c>
      <c r="J44" s="165">
        <f t="shared" si="33"/>
        <v>6707520</v>
      </c>
      <c r="K44" s="165">
        <f>J44*(100%+K$43)</f>
        <v>6707520</v>
      </c>
      <c r="L44" s="283">
        <f t="shared" si="33"/>
        <v>6707520</v>
      </c>
    </row>
    <row r="45" spans="2:12" x14ac:dyDescent="0.35">
      <c r="B45" s="852" t="s">
        <v>296</v>
      </c>
      <c r="C45" s="1"/>
      <c r="D45" s="149">
        <f>IF(DP!C13=VC!B29,VC!D29,IF(DP!C13=VC!B30,VC!D30,IF(DP!C13=VC!B31,VC!D31,IF(DP!C13=VC!B32,VC!D32,IF(DP!C13=VC!B33,VC!D33,IF(DP!C13=VC!B34,VC!D34,IF(DP!C13=VC!B35,VC!D35)))))))</f>
        <v>618390</v>
      </c>
      <c r="E45" s="161">
        <f>D45*(100%+D$43)</f>
        <v>618390</v>
      </c>
      <c r="F45" s="161">
        <f t="shared" ref="F45:L45" si="34">E45*(100%+E$43)</f>
        <v>618390</v>
      </c>
      <c r="G45" s="161">
        <f t="shared" si="34"/>
        <v>618390</v>
      </c>
      <c r="H45" s="161">
        <f>G45*(100%+G$43)</f>
        <v>618390</v>
      </c>
      <c r="I45" s="161">
        <f t="shared" si="34"/>
        <v>618390</v>
      </c>
      <c r="J45" s="161">
        <f t="shared" si="34"/>
        <v>618390</v>
      </c>
      <c r="K45" s="161">
        <f t="shared" si="34"/>
        <v>618390</v>
      </c>
      <c r="L45" s="284">
        <f t="shared" si="34"/>
        <v>618390</v>
      </c>
    </row>
    <row r="46" spans="2:12" ht="16" thickBot="1" x14ac:dyDescent="0.4">
      <c r="B46" s="338" t="s">
        <v>301</v>
      </c>
      <c r="C46" s="336">
        <f t="shared" ref="C46:L46" si="35">SUM(C44:C45)</f>
        <v>6707520</v>
      </c>
      <c r="D46" s="336">
        <f t="shared" si="35"/>
        <v>7325910</v>
      </c>
      <c r="E46" s="336">
        <f t="shared" si="35"/>
        <v>7325910</v>
      </c>
      <c r="F46" s="336">
        <f t="shared" si="35"/>
        <v>7325910</v>
      </c>
      <c r="G46" s="336">
        <f t="shared" si="35"/>
        <v>7325910</v>
      </c>
      <c r="H46" s="336">
        <f t="shared" si="35"/>
        <v>7325910</v>
      </c>
      <c r="I46" s="336">
        <f t="shared" si="35"/>
        <v>7325910</v>
      </c>
      <c r="J46" s="336">
        <f t="shared" si="35"/>
        <v>7325910</v>
      </c>
      <c r="K46" s="336">
        <f t="shared" si="35"/>
        <v>7325910</v>
      </c>
      <c r="L46" s="377">
        <f t="shared" si="35"/>
        <v>7325910</v>
      </c>
    </row>
    <row r="47" spans="2:12" ht="16" thickBot="1" x14ac:dyDescent="0.4">
      <c r="B47" s="337" t="s">
        <v>289</v>
      </c>
      <c r="C47" s="339">
        <f>-C44+(C13+C17)</f>
        <v>618390</v>
      </c>
      <c r="D47" s="339">
        <f t="shared" ref="D47:L47" si="36">-D44+(D13+D17)</f>
        <v>618390</v>
      </c>
      <c r="E47" s="339">
        <f t="shared" si="36"/>
        <v>618390</v>
      </c>
      <c r="F47" s="339">
        <f t="shared" si="36"/>
        <v>618390</v>
      </c>
      <c r="G47" s="339">
        <f>-G44+(G13+G17)</f>
        <v>618390</v>
      </c>
      <c r="H47" s="339">
        <f t="shared" si="36"/>
        <v>618390</v>
      </c>
      <c r="I47" s="339">
        <f t="shared" si="36"/>
        <v>618390</v>
      </c>
      <c r="J47" s="339">
        <f t="shared" si="36"/>
        <v>618390</v>
      </c>
      <c r="K47" s="339">
        <f t="shared" si="36"/>
        <v>618390</v>
      </c>
      <c r="L47" s="378">
        <f t="shared" si="36"/>
        <v>618390</v>
      </c>
    </row>
    <row r="48" spans="2:12" x14ac:dyDescent="0.35">
      <c r="C48" s="158"/>
      <c r="D48" s="158"/>
      <c r="E48" s="158"/>
      <c r="F48" s="158"/>
      <c r="G48" s="158"/>
      <c r="H48" s="158"/>
      <c r="I48" s="158"/>
      <c r="J48" s="158"/>
      <c r="K48" s="158"/>
      <c r="L48" s="158"/>
    </row>
    <row r="49" spans="2:12" ht="16" thickBot="1" x14ac:dyDescent="0.4"/>
    <row r="50" spans="2:12" ht="16" thickBot="1" x14ac:dyDescent="0.4">
      <c r="B50" s="1080" t="s">
        <v>315</v>
      </c>
      <c r="C50" s="1081"/>
      <c r="D50" s="850">
        <f>DP!L94</f>
        <v>0</v>
      </c>
      <c r="E50" s="850">
        <f>DP!M94</f>
        <v>0</v>
      </c>
      <c r="F50" s="850">
        <f>DP!N94</f>
        <v>0</v>
      </c>
      <c r="G50" s="850">
        <f>DP!O94</f>
        <v>0</v>
      </c>
      <c r="H50" s="850">
        <f>DP!P94</f>
        <v>0</v>
      </c>
      <c r="I50" s="850">
        <f>DP!Q94</f>
        <v>0</v>
      </c>
      <c r="J50" s="850">
        <f>DP!R94</f>
        <v>0</v>
      </c>
      <c r="K50" s="850">
        <f>DP!S94</f>
        <v>0</v>
      </c>
      <c r="L50" s="851">
        <f>DP!T94</f>
        <v>0</v>
      </c>
    </row>
    <row r="51" spans="2:12" ht="16" thickBot="1" x14ac:dyDescent="0.4">
      <c r="B51" s="855" t="s">
        <v>306</v>
      </c>
      <c r="C51" s="856">
        <f>PT!I6</f>
        <v>0</v>
      </c>
      <c r="D51" s="856">
        <f>C51*(100%+D50)</f>
        <v>0</v>
      </c>
      <c r="E51" s="856">
        <f t="shared" ref="E51" si="37">D51*(100%+E50)</f>
        <v>0</v>
      </c>
      <c r="F51" s="856">
        <f t="shared" ref="F51" si="38">E51*(100%+F50)</f>
        <v>0</v>
      </c>
      <c r="G51" s="856">
        <f t="shared" ref="G51" si="39">F51*(100%+G50)</f>
        <v>0</v>
      </c>
      <c r="H51" s="856">
        <f t="shared" ref="H51" si="40">G51*(100%+H50)</f>
        <v>0</v>
      </c>
      <c r="I51" s="856">
        <f t="shared" ref="I51" si="41">H51*(100%+I50)</f>
        <v>0</v>
      </c>
      <c r="J51" s="856">
        <f t="shared" ref="J51" si="42">I51*(100%+J50)</f>
        <v>0</v>
      </c>
      <c r="K51" s="856">
        <f t="shared" ref="K51" si="43">J51*(100%+K50)</f>
        <v>0</v>
      </c>
      <c r="L51" s="857">
        <f t="shared" ref="L51" si="44">K51*(100%+L50)</f>
        <v>0</v>
      </c>
    </row>
  </sheetData>
  <mergeCells count="11">
    <mergeCell ref="B3:B4"/>
    <mergeCell ref="B50:C50"/>
    <mergeCell ref="B42:C42"/>
    <mergeCell ref="B43:C43"/>
    <mergeCell ref="B8:C8"/>
    <mergeCell ref="B14:C14"/>
    <mergeCell ref="B19:C19"/>
    <mergeCell ref="B9:C9"/>
    <mergeCell ref="B32:C32"/>
    <mergeCell ref="B24:C24"/>
    <mergeCell ref="B10:C10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52E26-CB37-4E8F-93C4-C47DCE65D16E}">
  <sheetPr codeName="Hoja14">
    <tabColor theme="5" tint="0.79998168889431442"/>
  </sheetPr>
  <dimension ref="A1:N79"/>
  <sheetViews>
    <sheetView showGridLines="0" topLeftCell="B47" zoomScale="114" zoomScaleNormal="141" workbookViewId="0">
      <selection activeCell="C48" sqref="C48"/>
    </sheetView>
  </sheetViews>
  <sheetFormatPr baseColWidth="10" defaultRowHeight="15.5" x14ac:dyDescent="0.35"/>
  <cols>
    <col min="2" max="2" width="50.54296875" style="4" customWidth="1"/>
    <col min="3" max="4" width="17.81640625" style="4" customWidth="1"/>
    <col min="5" max="5" width="20.453125" style="4" customWidth="1"/>
    <col min="6" max="12" width="17.81640625" style="4" customWidth="1"/>
  </cols>
  <sheetData>
    <row r="1" spans="1:12" ht="16" thickBot="1" x14ac:dyDescent="0.4"/>
    <row r="2" spans="1:12" ht="32.5" thickBot="1" x14ac:dyDescent="0.65">
      <c r="B2" s="1085" t="s">
        <v>241</v>
      </c>
      <c r="C2" s="1086"/>
      <c r="D2" s="1087"/>
    </row>
    <row r="3" spans="1:12" ht="16" thickBot="1" x14ac:dyDescent="0.4">
      <c r="B3" s="8"/>
    </row>
    <row r="4" spans="1:12" ht="20.5" thickBot="1" x14ac:dyDescent="0.45">
      <c r="B4" s="214" t="s">
        <v>205</v>
      </c>
      <c r="C4" s="215">
        <f>DP!C11</f>
        <v>2025</v>
      </c>
      <c r="D4" s="215">
        <f>C4+1</f>
        <v>2026</v>
      </c>
      <c r="E4" s="215">
        <f t="shared" ref="E4:L4" si="0">D4+1</f>
        <v>2027</v>
      </c>
      <c r="F4" s="215">
        <f t="shared" si="0"/>
        <v>2028</v>
      </c>
      <c r="G4" s="215">
        <f t="shared" si="0"/>
        <v>2029</v>
      </c>
      <c r="H4" s="215">
        <f t="shared" si="0"/>
        <v>2030</v>
      </c>
      <c r="I4" s="215">
        <f t="shared" si="0"/>
        <v>2031</v>
      </c>
      <c r="J4" s="215">
        <f t="shared" si="0"/>
        <v>2032</v>
      </c>
      <c r="K4" s="215">
        <f t="shared" si="0"/>
        <v>2033</v>
      </c>
      <c r="L4" s="216">
        <f t="shared" si="0"/>
        <v>2034</v>
      </c>
    </row>
    <row r="5" spans="1:12" s="34" customFormat="1" ht="14" customHeight="1" x14ac:dyDescent="0.35">
      <c r="B5" s="329" t="str">
        <f>AS!B13</f>
        <v>TOTAL VENTAS NACIONALES</v>
      </c>
      <c r="C5" s="330">
        <f>SUM(C6:C7)</f>
        <v>0</v>
      </c>
      <c r="D5" s="330">
        <f>SUM(D6:D7)</f>
        <v>0</v>
      </c>
      <c r="E5" s="330">
        <f t="shared" ref="E5:L5" si="1">SUM(E6:E7)</f>
        <v>0</v>
      </c>
      <c r="F5" s="330">
        <f t="shared" si="1"/>
        <v>0</v>
      </c>
      <c r="G5" s="330">
        <f t="shared" si="1"/>
        <v>0</v>
      </c>
      <c r="H5" s="330">
        <f t="shared" si="1"/>
        <v>0</v>
      </c>
      <c r="I5" s="330">
        <f t="shared" si="1"/>
        <v>0</v>
      </c>
      <c r="J5" s="330">
        <f t="shared" si="1"/>
        <v>0</v>
      </c>
      <c r="K5" s="330">
        <f t="shared" si="1"/>
        <v>0</v>
      </c>
      <c r="L5" s="331">
        <f t="shared" si="1"/>
        <v>0</v>
      </c>
    </row>
    <row r="6" spans="1:12" s="34" customFormat="1" ht="14" customHeight="1" x14ac:dyDescent="0.35">
      <c r="B6" s="197" t="str">
        <f>AS!B11</f>
        <v xml:space="preserve">VENTAS DE PALMITOS </v>
      </c>
      <c r="C6" s="316">
        <f>AS!C11</f>
        <v>0</v>
      </c>
      <c r="D6" s="316">
        <f>AS!D11</f>
        <v>0</v>
      </c>
      <c r="E6" s="316">
        <f>AS!E11</f>
        <v>0</v>
      </c>
      <c r="F6" s="316">
        <f>AS!F11</f>
        <v>0</v>
      </c>
      <c r="G6" s="316">
        <f>AS!G11</f>
        <v>0</v>
      </c>
      <c r="H6" s="316">
        <f>AS!H11</f>
        <v>0</v>
      </c>
      <c r="I6" s="316">
        <f>AS!I11</f>
        <v>0</v>
      </c>
      <c r="J6" s="316">
        <f>AS!J11</f>
        <v>0</v>
      </c>
      <c r="K6" s="316">
        <f>AS!K11</f>
        <v>0</v>
      </c>
      <c r="L6" s="332">
        <f>AS!L11</f>
        <v>0</v>
      </c>
    </row>
    <row r="7" spans="1:12" s="34" customFormat="1" ht="14" customHeight="1" x14ac:dyDescent="0.35">
      <c r="B7" s="197" t="str">
        <f>AS!B12</f>
        <v>VENTAS DE PIÑA</v>
      </c>
      <c r="C7" s="316">
        <f>AS!C12</f>
        <v>0</v>
      </c>
      <c r="D7" s="316">
        <f>AS!D12</f>
        <v>0</v>
      </c>
      <c r="E7" s="316">
        <f>AS!E12</f>
        <v>0</v>
      </c>
      <c r="F7" s="316">
        <f>AS!F12</f>
        <v>0</v>
      </c>
      <c r="G7" s="316">
        <f>AS!G12</f>
        <v>0</v>
      </c>
      <c r="H7" s="316">
        <f>AS!H12</f>
        <v>0</v>
      </c>
      <c r="I7" s="316">
        <f>AS!I12</f>
        <v>0</v>
      </c>
      <c r="J7" s="316">
        <f>AS!J12</f>
        <v>0</v>
      </c>
      <c r="K7" s="316">
        <f>AS!K12</f>
        <v>0</v>
      </c>
      <c r="L7" s="332">
        <f>AS!L12</f>
        <v>0</v>
      </c>
    </row>
    <row r="8" spans="1:12" x14ac:dyDescent="0.35">
      <c r="A8" s="269"/>
      <c r="B8" s="199" t="str">
        <f>AS!B17</f>
        <v>TOTAL VENTAS POR EXPORTACIÓN</v>
      </c>
      <c r="C8" s="178">
        <f>SUM(C9:C10)</f>
        <v>7325910</v>
      </c>
      <c r="D8" s="178">
        <f>SUM(D9:D10)</f>
        <v>7325910</v>
      </c>
      <c r="E8" s="178">
        <f t="shared" ref="E8:L8" si="2">SUM(E9:E10)</f>
        <v>7325910</v>
      </c>
      <c r="F8" s="178">
        <f t="shared" si="2"/>
        <v>7325910</v>
      </c>
      <c r="G8" s="178">
        <f t="shared" si="2"/>
        <v>7325910</v>
      </c>
      <c r="H8" s="178">
        <f t="shared" si="2"/>
        <v>7325910</v>
      </c>
      <c r="I8" s="178">
        <f t="shared" si="2"/>
        <v>7325910</v>
      </c>
      <c r="J8" s="178">
        <f t="shared" si="2"/>
        <v>7325910</v>
      </c>
      <c r="K8" s="178">
        <f t="shared" si="2"/>
        <v>7325910</v>
      </c>
      <c r="L8" s="204">
        <f t="shared" si="2"/>
        <v>7325910</v>
      </c>
    </row>
    <row r="9" spans="1:12" x14ac:dyDescent="0.35">
      <c r="A9" s="269"/>
      <c r="B9" s="197" t="str">
        <f>AS!B15</f>
        <v xml:space="preserve">VENTAS DE PALMITOS </v>
      </c>
      <c r="C9" s="176">
        <f>AS!C15</f>
        <v>0</v>
      </c>
      <c r="D9" s="176">
        <f>AS!D15</f>
        <v>0</v>
      </c>
      <c r="E9" s="176">
        <f>AS!E15</f>
        <v>0</v>
      </c>
      <c r="F9" s="176">
        <f>AS!F15</f>
        <v>0</v>
      </c>
      <c r="G9" s="176">
        <f>AS!G15</f>
        <v>0</v>
      </c>
      <c r="H9" s="176">
        <f>AS!H15</f>
        <v>0</v>
      </c>
      <c r="I9" s="176">
        <f>AS!I15</f>
        <v>0</v>
      </c>
      <c r="J9" s="176">
        <f>AS!J15</f>
        <v>0</v>
      </c>
      <c r="K9" s="176">
        <f>AS!K15</f>
        <v>0</v>
      </c>
      <c r="L9" s="198">
        <f>AS!L15</f>
        <v>0</v>
      </c>
    </row>
    <row r="10" spans="1:12" x14ac:dyDescent="0.35">
      <c r="A10" s="269"/>
      <c r="B10" s="197" t="str">
        <f>AS!B16</f>
        <v xml:space="preserve">VENTAS DE PIÑA </v>
      </c>
      <c r="C10" s="176">
        <f>AS!C16</f>
        <v>7325910</v>
      </c>
      <c r="D10" s="176">
        <f>AS!D16</f>
        <v>7325910</v>
      </c>
      <c r="E10" s="176">
        <f>AS!E16</f>
        <v>7325910</v>
      </c>
      <c r="F10" s="176">
        <f>AS!F16</f>
        <v>7325910</v>
      </c>
      <c r="G10" s="176">
        <f>AS!G16</f>
        <v>7325910</v>
      </c>
      <c r="H10" s="176">
        <f>AS!H16</f>
        <v>7325910</v>
      </c>
      <c r="I10" s="176">
        <f>AS!I16</f>
        <v>7325910</v>
      </c>
      <c r="J10" s="176">
        <f>AS!J16</f>
        <v>7325910</v>
      </c>
      <c r="K10" s="176">
        <f>AS!K16</f>
        <v>7325910</v>
      </c>
      <c r="L10" s="198">
        <f>AS!L16</f>
        <v>7325910</v>
      </c>
    </row>
    <row r="11" spans="1:12" x14ac:dyDescent="0.35">
      <c r="A11" s="269"/>
      <c r="B11" s="200" t="s">
        <v>511</v>
      </c>
      <c r="C11" s="178">
        <f t="shared" ref="C11:L11" si="3">SUM(C12:C13)</f>
        <v>6097949.709018508</v>
      </c>
      <c r="D11" s="178">
        <f>SUM(D12:D13)</f>
        <v>6097949.709018508</v>
      </c>
      <c r="E11" s="178">
        <f t="shared" si="3"/>
        <v>6097949.709018508</v>
      </c>
      <c r="F11" s="178">
        <f t="shared" si="3"/>
        <v>6097949.709018508</v>
      </c>
      <c r="G11" s="178">
        <f t="shared" si="3"/>
        <v>6097949.709018508</v>
      </c>
      <c r="H11" s="178">
        <f t="shared" si="3"/>
        <v>6097949.709018508</v>
      </c>
      <c r="I11" s="178">
        <f t="shared" si="3"/>
        <v>6097949.709018508</v>
      </c>
      <c r="J11" s="178">
        <f t="shared" si="3"/>
        <v>6097949.709018508</v>
      </c>
      <c r="K11" s="178">
        <f t="shared" si="3"/>
        <v>6097949.709018508</v>
      </c>
      <c r="L11" s="204">
        <f t="shared" si="3"/>
        <v>6097949.709018508</v>
      </c>
    </row>
    <row r="12" spans="1:12" x14ac:dyDescent="0.35">
      <c r="A12" s="269"/>
      <c r="B12" s="197" t="s">
        <v>232</v>
      </c>
      <c r="C12" s="176">
        <f>AS!C20</f>
        <v>0</v>
      </c>
      <c r="D12" s="176">
        <f>AS!D20</f>
        <v>0</v>
      </c>
      <c r="E12" s="176">
        <f>AS!E20</f>
        <v>0</v>
      </c>
      <c r="F12" s="176">
        <f>AS!F20</f>
        <v>0</v>
      </c>
      <c r="G12" s="176">
        <f>AS!G20</f>
        <v>0</v>
      </c>
      <c r="H12" s="176">
        <f>AS!H20</f>
        <v>0</v>
      </c>
      <c r="I12" s="176">
        <f>AS!I20</f>
        <v>0</v>
      </c>
      <c r="J12" s="176">
        <f>AS!J20</f>
        <v>0</v>
      </c>
      <c r="K12" s="176">
        <f>AS!K20</f>
        <v>0</v>
      </c>
      <c r="L12" s="198">
        <f>AS!L20</f>
        <v>0</v>
      </c>
    </row>
    <row r="13" spans="1:12" x14ac:dyDescent="0.35">
      <c r="A13" s="751"/>
      <c r="B13" s="197" t="s">
        <v>233</v>
      </c>
      <c r="C13" s="176">
        <f>AS!C21</f>
        <v>6097949.709018508</v>
      </c>
      <c r="D13" s="176">
        <f>AS!D21</f>
        <v>6097949.709018508</v>
      </c>
      <c r="E13" s="176">
        <f>AS!E21</f>
        <v>6097949.709018508</v>
      </c>
      <c r="F13" s="176">
        <f>AS!F21</f>
        <v>6097949.709018508</v>
      </c>
      <c r="G13" s="176">
        <f>AS!G21</f>
        <v>6097949.709018508</v>
      </c>
      <c r="H13" s="176">
        <f>AS!H21</f>
        <v>6097949.709018508</v>
      </c>
      <c r="I13" s="176">
        <f>AS!I21</f>
        <v>6097949.709018508</v>
      </c>
      <c r="J13" s="176">
        <f>AS!J21</f>
        <v>6097949.709018508</v>
      </c>
      <c r="K13" s="176">
        <f>AS!K21</f>
        <v>6097949.709018508</v>
      </c>
      <c r="L13" s="198">
        <f>AS!L21</f>
        <v>6097949.709018508</v>
      </c>
    </row>
    <row r="14" spans="1:12" x14ac:dyDescent="0.35">
      <c r="A14" s="269"/>
      <c r="B14" s="201" t="s">
        <v>196</v>
      </c>
      <c r="C14" s="177">
        <f>C5+C8-C11</f>
        <v>1227960.290981492</v>
      </c>
      <c r="D14" s="177">
        <f t="shared" ref="D14:L14" si="4">D5+D8-D11</f>
        <v>1227960.290981492</v>
      </c>
      <c r="E14" s="177">
        <f t="shared" si="4"/>
        <v>1227960.290981492</v>
      </c>
      <c r="F14" s="177">
        <f t="shared" si="4"/>
        <v>1227960.290981492</v>
      </c>
      <c r="G14" s="177">
        <f t="shared" si="4"/>
        <v>1227960.290981492</v>
      </c>
      <c r="H14" s="177">
        <f t="shared" si="4"/>
        <v>1227960.290981492</v>
      </c>
      <c r="I14" s="177">
        <f t="shared" si="4"/>
        <v>1227960.290981492</v>
      </c>
      <c r="J14" s="177">
        <f t="shared" si="4"/>
        <v>1227960.290981492</v>
      </c>
      <c r="K14" s="177">
        <f t="shared" si="4"/>
        <v>1227960.290981492</v>
      </c>
      <c r="L14" s="202">
        <f t="shared" si="4"/>
        <v>1227960.290981492</v>
      </c>
    </row>
    <row r="15" spans="1:12" x14ac:dyDescent="0.35">
      <c r="A15" s="47"/>
      <c r="B15" s="203" t="str">
        <f>GC!B2</f>
        <v>GASTOS DE COMERCIALIZACIÓN</v>
      </c>
      <c r="C15" s="178">
        <f>SUM(C16:C20)</f>
        <v>353000.40110406774</v>
      </c>
      <c r="D15" s="178">
        <f t="shared" ref="D15:L15" si="5">SUM(D16:D20)</f>
        <v>353000.40110406774</v>
      </c>
      <c r="E15" s="178">
        <f t="shared" si="5"/>
        <v>353000.40110406774</v>
      </c>
      <c r="F15" s="178">
        <f>SUM(F16:F20)</f>
        <v>353000.40110406774</v>
      </c>
      <c r="G15" s="178">
        <f t="shared" si="5"/>
        <v>353000.40110406774</v>
      </c>
      <c r="H15" s="178">
        <f t="shared" si="5"/>
        <v>353000.40110406774</v>
      </c>
      <c r="I15" s="178">
        <f t="shared" si="5"/>
        <v>353000.40110406774</v>
      </c>
      <c r="J15" s="178">
        <f t="shared" si="5"/>
        <v>353000.40110406774</v>
      </c>
      <c r="K15" s="178">
        <f t="shared" si="5"/>
        <v>353000.40110406774</v>
      </c>
      <c r="L15" s="204">
        <f t="shared" si="5"/>
        <v>353000.40110406774</v>
      </c>
    </row>
    <row r="16" spans="1:12" x14ac:dyDescent="0.35">
      <c r="A16" s="47"/>
      <c r="B16" s="162" t="str">
        <f>AS!B25</f>
        <v>MATERIALES Y SERVICIOS</v>
      </c>
      <c r="C16" s="176">
        <f>AS!C25</f>
        <v>96000</v>
      </c>
      <c r="D16" s="176">
        <f>AS!D25</f>
        <v>96000</v>
      </c>
      <c r="E16" s="176">
        <f>AS!E25</f>
        <v>96000</v>
      </c>
      <c r="F16" s="176">
        <f>AS!F25</f>
        <v>96000</v>
      </c>
      <c r="G16" s="176">
        <f>AS!G25</f>
        <v>96000</v>
      </c>
      <c r="H16" s="176">
        <f>AS!H25</f>
        <v>96000</v>
      </c>
      <c r="I16" s="176">
        <f>AS!I25</f>
        <v>96000</v>
      </c>
      <c r="J16" s="176">
        <f>AS!J25</f>
        <v>96000</v>
      </c>
      <c r="K16" s="176">
        <f>AS!K25</f>
        <v>96000</v>
      </c>
      <c r="L16" s="198">
        <f>AS!L25</f>
        <v>96000</v>
      </c>
    </row>
    <row r="17" spans="1:14" x14ac:dyDescent="0.35">
      <c r="A17" s="47"/>
      <c r="B17" s="162" t="str">
        <f>AS!B26</f>
        <v>MANO DE OBRA</v>
      </c>
      <c r="C17" s="176">
        <f>AS!C26</f>
        <v>33000.401104067751</v>
      </c>
      <c r="D17" s="176">
        <f>AS!D26</f>
        <v>33000.401104067751</v>
      </c>
      <c r="E17" s="176">
        <f>AS!E26</f>
        <v>33000.401104067751</v>
      </c>
      <c r="F17" s="176">
        <f>AS!F26</f>
        <v>33000.401104067751</v>
      </c>
      <c r="G17" s="176">
        <f>AS!G26</f>
        <v>33000.401104067751</v>
      </c>
      <c r="H17" s="176">
        <f>AS!H26</f>
        <v>33000.401104067751</v>
      </c>
      <c r="I17" s="176">
        <f>AS!I26</f>
        <v>33000.401104067751</v>
      </c>
      <c r="J17" s="176">
        <f>AS!J26</f>
        <v>33000.401104067751</v>
      </c>
      <c r="K17" s="176">
        <f>AS!K26</f>
        <v>33000.401104067751</v>
      </c>
      <c r="L17" s="198">
        <f>AS!L26</f>
        <v>33000.401104067751</v>
      </c>
      <c r="N17" s="282"/>
    </row>
    <row r="18" spans="1:14" x14ac:dyDescent="0.35">
      <c r="A18" s="47"/>
      <c r="B18" s="162" t="str">
        <f>AS!B27</f>
        <v>PROMOCIÓN Y PUBLICIDAD</v>
      </c>
      <c r="C18" s="176">
        <f>AS!C27</f>
        <v>20000</v>
      </c>
      <c r="D18" s="176">
        <f>AS!D27</f>
        <v>20000</v>
      </c>
      <c r="E18" s="176">
        <f>AS!E27</f>
        <v>20000</v>
      </c>
      <c r="F18" s="176">
        <f>AS!F27</f>
        <v>20000</v>
      </c>
      <c r="G18" s="176">
        <f>AS!G27</f>
        <v>20000</v>
      </c>
      <c r="H18" s="176">
        <f>AS!H27</f>
        <v>20000</v>
      </c>
      <c r="I18" s="176">
        <f>AS!I27</f>
        <v>20000</v>
      </c>
      <c r="J18" s="176">
        <f>AS!J27</f>
        <v>20000</v>
      </c>
      <c r="K18" s="176">
        <f>AS!K27</f>
        <v>20000</v>
      </c>
      <c r="L18" s="198">
        <f>AS!L27</f>
        <v>20000</v>
      </c>
    </row>
    <row r="19" spans="1:14" x14ac:dyDescent="0.35">
      <c r="A19" s="47"/>
      <c r="B19" s="162" t="str">
        <f>AS!B28</f>
        <v>GASTOS LOGÍSTICOS</v>
      </c>
      <c r="C19" s="176">
        <f>AS!C28</f>
        <v>108000</v>
      </c>
      <c r="D19" s="176">
        <f>AS!D28</f>
        <v>108000</v>
      </c>
      <c r="E19" s="176">
        <f>AS!E28</f>
        <v>108000</v>
      </c>
      <c r="F19" s="176">
        <f>AS!F28</f>
        <v>108000</v>
      </c>
      <c r="G19" s="176">
        <f>AS!G28</f>
        <v>108000</v>
      </c>
      <c r="H19" s="176">
        <f>AS!H28</f>
        <v>108000</v>
      </c>
      <c r="I19" s="176">
        <f>AS!I28</f>
        <v>108000</v>
      </c>
      <c r="J19" s="176">
        <f>AS!J28</f>
        <v>108000</v>
      </c>
      <c r="K19" s="176">
        <f>AS!K28</f>
        <v>108000</v>
      </c>
      <c r="L19" s="198">
        <f>AS!L28</f>
        <v>108000</v>
      </c>
    </row>
    <row r="20" spans="1:14" x14ac:dyDescent="0.35">
      <c r="A20" s="47"/>
      <c r="B20" s="162" t="str">
        <f>AS!B29</f>
        <v>GASTOS GENERALES</v>
      </c>
      <c r="C20" s="176">
        <f>AS!C29</f>
        <v>96000</v>
      </c>
      <c r="D20" s="176">
        <f>AS!D29</f>
        <v>96000</v>
      </c>
      <c r="E20" s="176">
        <f>AS!E29</f>
        <v>96000</v>
      </c>
      <c r="F20" s="176">
        <f>AS!F29</f>
        <v>96000</v>
      </c>
      <c r="G20" s="176">
        <f>AS!G29</f>
        <v>96000</v>
      </c>
      <c r="H20" s="176">
        <f>AS!H29</f>
        <v>96000</v>
      </c>
      <c r="I20" s="176">
        <f>AS!I29</f>
        <v>96000</v>
      </c>
      <c r="J20" s="176">
        <f>AS!J29</f>
        <v>96000</v>
      </c>
      <c r="K20" s="176">
        <f>AS!K29</f>
        <v>96000</v>
      </c>
      <c r="L20" s="198">
        <f>AS!L29</f>
        <v>96000</v>
      </c>
    </row>
    <row r="21" spans="1:14" x14ac:dyDescent="0.35">
      <c r="A21" s="47"/>
      <c r="B21" s="205" t="str">
        <f>GA!B2</f>
        <v>GASTOS DE ADMINISTRACIÓN</v>
      </c>
      <c r="C21" s="178">
        <f>SUM(C22:C24)</f>
        <v>502074.41819150327</v>
      </c>
      <c r="D21" s="178">
        <f t="shared" ref="D21:L21" si="6">SUM(D22:D24)</f>
        <v>502074.41819150327</v>
      </c>
      <c r="E21" s="178">
        <f t="shared" si="6"/>
        <v>502074.41819150327</v>
      </c>
      <c r="F21" s="178">
        <f t="shared" si="6"/>
        <v>502074.41819150327</v>
      </c>
      <c r="G21" s="178">
        <f t="shared" si="6"/>
        <v>502074.41819150327</v>
      </c>
      <c r="H21" s="178">
        <f t="shared" si="6"/>
        <v>502074.41819150327</v>
      </c>
      <c r="I21" s="178">
        <f t="shared" si="6"/>
        <v>502074.41819150327</v>
      </c>
      <c r="J21" s="178">
        <f t="shared" si="6"/>
        <v>502074.41819150327</v>
      </c>
      <c r="K21" s="178">
        <f t="shared" si="6"/>
        <v>502074.41819150327</v>
      </c>
      <c r="L21" s="204">
        <f t="shared" si="6"/>
        <v>502074.41819150327</v>
      </c>
    </row>
    <row r="22" spans="1:14" x14ac:dyDescent="0.35">
      <c r="A22" s="47"/>
      <c r="B22" s="318" t="str">
        <f>AS!B33</f>
        <v>MATERIALES Y SERVICIOS</v>
      </c>
      <c r="C22" s="328">
        <f>AS!C33</f>
        <v>42000</v>
      </c>
      <c r="D22" s="328">
        <f>AS!D33</f>
        <v>42000</v>
      </c>
      <c r="E22" s="328">
        <f>AS!E33</f>
        <v>42000</v>
      </c>
      <c r="F22" s="328">
        <f>AS!F33</f>
        <v>42000</v>
      </c>
      <c r="G22" s="328">
        <f>AS!G33</f>
        <v>42000</v>
      </c>
      <c r="H22" s="328">
        <f>AS!H33</f>
        <v>42000</v>
      </c>
      <c r="I22" s="328">
        <f>AS!I33</f>
        <v>42000</v>
      </c>
      <c r="J22" s="328">
        <f>AS!J33</f>
        <v>42000</v>
      </c>
      <c r="K22" s="328">
        <f>AS!K33</f>
        <v>42000</v>
      </c>
      <c r="L22" s="333">
        <f>AS!L33</f>
        <v>42000</v>
      </c>
    </row>
    <row r="23" spans="1:14" x14ac:dyDescent="0.35">
      <c r="A23" s="47"/>
      <c r="B23" s="318" t="str">
        <f>AS!B34</f>
        <v>MANO DE OBRA</v>
      </c>
      <c r="C23" s="328">
        <f>AS!C34</f>
        <v>196074.41819150324</v>
      </c>
      <c r="D23" s="328">
        <f>AS!D34</f>
        <v>196074.41819150324</v>
      </c>
      <c r="E23" s="328">
        <f>AS!E34</f>
        <v>196074.41819150324</v>
      </c>
      <c r="F23" s="328">
        <f>AS!F34</f>
        <v>196074.41819150324</v>
      </c>
      <c r="G23" s="328">
        <f>AS!G34</f>
        <v>196074.41819150324</v>
      </c>
      <c r="H23" s="328">
        <f>AS!H34</f>
        <v>196074.41819150324</v>
      </c>
      <c r="I23" s="328">
        <f>AS!I34</f>
        <v>196074.41819150324</v>
      </c>
      <c r="J23" s="328">
        <f>AS!J34</f>
        <v>196074.41819150324</v>
      </c>
      <c r="K23" s="328">
        <f>AS!K34</f>
        <v>196074.41819150324</v>
      </c>
      <c r="L23" s="333">
        <f>AS!L34</f>
        <v>196074.41819150324</v>
      </c>
    </row>
    <row r="24" spans="1:14" x14ac:dyDescent="0.35">
      <c r="A24" s="47"/>
      <c r="B24" s="318" t="str">
        <f>AS!B35</f>
        <v>GASTOS GENERALES</v>
      </c>
      <c r="C24" s="328">
        <f>AS!C35</f>
        <v>264000</v>
      </c>
      <c r="D24" s="328">
        <f>AS!D35</f>
        <v>264000</v>
      </c>
      <c r="E24" s="328">
        <f>AS!E35</f>
        <v>264000</v>
      </c>
      <c r="F24" s="328">
        <f>AS!F35</f>
        <v>264000</v>
      </c>
      <c r="G24" s="328">
        <f>AS!G35</f>
        <v>264000</v>
      </c>
      <c r="H24" s="328">
        <f>AS!H35</f>
        <v>264000</v>
      </c>
      <c r="I24" s="328">
        <f>AS!I35</f>
        <v>264000</v>
      </c>
      <c r="J24" s="328">
        <f>AS!J35</f>
        <v>264000</v>
      </c>
      <c r="K24" s="328">
        <f>AS!K35</f>
        <v>264000</v>
      </c>
      <c r="L24" s="333">
        <f>AS!L35</f>
        <v>264000</v>
      </c>
    </row>
    <row r="25" spans="1:14" x14ac:dyDescent="0.35">
      <c r="A25" s="47"/>
      <c r="B25" s="205" t="str">
        <f>DEP!C2</f>
        <v>DEPRECIACIÓN DE ACTIVOS FIJOS</v>
      </c>
      <c r="C25" s="178">
        <f>SUM(C26:C32)</f>
        <v>19377.333333333332</v>
      </c>
      <c r="D25" s="178">
        <f t="shared" ref="D25:L25" si="7">SUM(D26:D32)</f>
        <v>19377.333333333332</v>
      </c>
      <c r="E25" s="178">
        <f t="shared" ref="E25" si="8">SUM(E26:E32)</f>
        <v>19377.333333333332</v>
      </c>
      <c r="F25" s="178">
        <f t="shared" si="7"/>
        <v>17044</v>
      </c>
      <c r="G25" s="178">
        <f t="shared" si="7"/>
        <v>17044</v>
      </c>
      <c r="H25" s="178">
        <f t="shared" si="7"/>
        <v>9544</v>
      </c>
      <c r="I25" s="178">
        <f t="shared" si="7"/>
        <v>9544</v>
      </c>
      <c r="J25" s="178">
        <f t="shared" si="7"/>
        <v>9544</v>
      </c>
      <c r="K25" s="178">
        <f t="shared" si="7"/>
        <v>9544</v>
      </c>
      <c r="L25" s="204">
        <f t="shared" si="7"/>
        <v>9544</v>
      </c>
    </row>
    <row r="26" spans="1:14" x14ac:dyDescent="0.35">
      <c r="A26" s="47"/>
      <c r="B26" s="162" t="str">
        <f>DEP!E6</f>
        <v>EDIFICIOS Y OBRAS CIVILES</v>
      </c>
      <c r="C26" s="176">
        <f>DEP!G6</f>
        <v>2160</v>
      </c>
      <c r="D26" s="176">
        <f>DEP!H6</f>
        <v>2160</v>
      </c>
      <c r="E26" s="176">
        <f>DEP!I6</f>
        <v>2160</v>
      </c>
      <c r="F26" s="176">
        <f>DEP!J6+DEP!G29</f>
        <v>2160</v>
      </c>
      <c r="G26" s="176">
        <f>DEP!K6+DEP!H29</f>
        <v>2160</v>
      </c>
      <c r="H26" s="176">
        <f>DEP!L6+DEP!I29</f>
        <v>2160</v>
      </c>
      <c r="I26" s="176">
        <f>DEP!M6+DEP!J29</f>
        <v>2160</v>
      </c>
      <c r="J26" s="176">
        <f>DEP!N6+DEP!K29</f>
        <v>2160</v>
      </c>
      <c r="K26" s="176">
        <f>DEP!O6+DEP!L29</f>
        <v>2160</v>
      </c>
      <c r="L26" s="176">
        <f>DEP!P6+DEP!M29</f>
        <v>2160</v>
      </c>
    </row>
    <row r="27" spans="1:14" x14ac:dyDescent="0.35">
      <c r="A27" s="47"/>
      <c r="B27" s="162" t="str">
        <f>DEP!E7</f>
        <v xml:space="preserve">EQUIPO Y MAQUINARIA </v>
      </c>
      <c r="C27" s="176">
        <f>DEP!G7</f>
        <v>7200</v>
      </c>
      <c r="D27" s="176">
        <f>DEP!H7</f>
        <v>7200</v>
      </c>
      <c r="E27" s="176">
        <f>DEP!I7</f>
        <v>7200</v>
      </c>
      <c r="F27" s="176">
        <f>DEP!J7+DEP!G30</f>
        <v>7200</v>
      </c>
      <c r="G27" s="176">
        <f>DEP!K7+DEP!H30</f>
        <v>7200</v>
      </c>
      <c r="H27" s="176">
        <f>DEP!L7+DEP!I30</f>
        <v>7200</v>
      </c>
      <c r="I27" s="176">
        <f>DEP!M7+DEP!J30</f>
        <v>7200</v>
      </c>
      <c r="J27" s="176">
        <f>DEP!N7+DEP!K30</f>
        <v>7200</v>
      </c>
      <c r="K27" s="176">
        <f>DEP!O7+DEP!L30</f>
        <v>7200</v>
      </c>
      <c r="L27" s="176">
        <f>DEP!P7+DEP!M30</f>
        <v>7200</v>
      </c>
    </row>
    <row r="28" spans="1:14" x14ac:dyDescent="0.35">
      <c r="A28" s="47"/>
      <c r="B28" s="162" t="str">
        <f>DEP!E8</f>
        <v>MUEBLES Y ENSERES</v>
      </c>
      <c r="C28" s="176">
        <f>DEP!G8</f>
        <v>184</v>
      </c>
      <c r="D28" s="176">
        <f>DEP!H8</f>
        <v>184</v>
      </c>
      <c r="E28" s="176">
        <f>DEP!I8</f>
        <v>184</v>
      </c>
      <c r="F28" s="176">
        <f>DEP!J8+DEP!G31</f>
        <v>184</v>
      </c>
      <c r="G28" s="176">
        <f>DEP!K8+DEP!H31</f>
        <v>184</v>
      </c>
      <c r="H28" s="176">
        <f>DEP!L8+DEP!I31</f>
        <v>184</v>
      </c>
      <c r="I28" s="176">
        <f>DEP!M8+DEP!J31</f>
        <v>184</v>
      </c>
      <c r="J28" s="176">
        <f>DEP!N8+DEP!K31</f>
        <v>184</v>
      </c>
      <c r="K28" s="176">
        <f>DEP!O8+DEP!L31</f>
        <v>184</v>
      </c>
      <c r="L28" s="176">
        <f>DEP!P8+DEP!M31</f>
        <v>184</v>
      </c>
    </row>
    <row r="29" spans="1:14" x14ac:dyDescent="0.35">
      <c r="A29" s="47"/>
      <c r="B29" s="162" t="str">
        <f>DEP!E9</f>
        <v>EQUIPOS DE COMPUTACIÓN</v>
      </c>
      <c r="C29" s="176">
        <f>DEP!G9</f>
        <v>2333.333333333333</v>
      </c>
      <c r="D29" s="176">
        <f>DEP!H9</f>
        <v>2333.333333333333</v>
      </c>
      <c r="E29" s="176">
        <f>DEP!I9</f>
        <v>2333.333333333333</v>
      </c>
      <c r="F29" s="176">
        <f>DEP!J9+DEP!G32</f>
        <v>0</v>
      </c>
      <c r="G29" s="176">
        <f>DEP!K9+DEP!H32</f>
        <v>0</v>
      </c>
      <c r="H29" s="176">
        <f>DEP!L9+DEP!I32</f>
        <v>0</v>
      </c>
      <c r="I29" s="176">
        <f>DEP!M9+DEP!J32</f>
        <v>0</v>
      </c>
      <c r="J29" s="176">
        <f>DEP!N9+DEP!K32</f>
        <v>0</v>
      </c>
      <c r="K29" s="176">
        <f>DEP!O9+DEP!L32</f>
        <v>0</v>
      </c>
      <c r="L29" s="176">
        <f>DEP!P9+DEP!M32</f>
        <v>0</v>
      </c>
    </row>
    <row r="30" spans="1:14" x14ac:dyDescent="0.35">
      <c r="A30" s="47"/>
      <c r="B30" s="162" t="str">
        <f>DEP!E10</f>
        <v>VEHICULOS</v>
      </c>
      <c r="C30" s="176">
        <f>DEP!G10</f>
        <v>7500</v>
      </c>
      <c r="D30" s="176">
        <f>DEP!H10</f>
        <v>7500</v>
      </c>
      <c r="E30" s="176">
        <f>DEP!I10</f>
        <v>7500</v>
      </c>
      <c r="F30" s="176">
        <f>DEP!J10+DEP!G33</f>
        <v>7500</v>
      </c>
      <c r="G30" s="176">
        <f>DEP!K10+DEP!H33</f>
        <v>7500</v>
      </c>
      <c r="H30" s="176">
        <f>DEP!L10+DEP!I33</f>
        <v>0</v>
      </c>
      <c r="I30" s="176">
        <f>DEP!M10+DEP!J33</f>
        <v>0</v>
      </c>
      <c r="J30" s="176">
        <f>DEP!N10+DEP!K33</f>
        <v>0</v>
      </c>
      <c r="K30" s="176">
        <f>DEP!O10+DEP!L33</f>
        <v>0</v>
      </c>
      <c r="L30" s="176">
        <f>DEP!P10+DEP!M33</f>
        <v>0</v>
      </c>
    </row>
    <row r="31" spans="1:14" x14ac:dyDescent="0.35">
      <c r="A31" s="47"/>
      <c r="B31" s="162" t="str">
        <f>DEP!E11</f>
        <v>PLANTACIÓN AGRÍCOLA</v>
      </c>
      <c r="C31" s="176">
        <f>DEP!G11</f>
        <v>0</v>
      </c>
      <c r="D31" s="176">
        <f>DEP!H11</f>
        <v>0</v>
      </c>
      <c r="E31" s="176">
        <f>DEP!I11</f>
        <v>0</v>
      </c>
      <c r="F31" s="176">
        <f>DEP!J11+DEP!G34</f>
        <v>0</v>
      </c>
      <c r="G31" s="176">
        <f>DEP!K11+DEP!H34</f>
        <v>0</v>
      </c>
      <c r="H31" s="176">
        <f>DEP!L11+DEP!I34</f>
        <v>0</v>
      </c>
      <c r="I31" s="176">
        <f>DEP!M11+DEP!J34</f>
        <v>0</v>
      </c>
      <c r="J31" s="176">
        <f>DEP!N11+DEP!K34</f>
        <v>0</v>
      </c>
      <c r="K31" s="176">
        <f>DEP!O11+DEP!L34</f>
        <v>0</v>
      </c>
      <c r="L31" s="176">
        <f>DEP!P11+DEP!M34</f>
        <v>0</v>
      </c>
    </row>
    <row r="32" spans="1:14" x14ac:dyDescent="0.35">
      <c r="A32" s="47"/>
      <c r="B32" s="162" t="str">
        <f>DEP!E12</f>
        <v>ANIMALES REPRODUCTORES</v>
      </c>
      <c r="C32" s="176">
        <f>DEP!G12</f>
        <v>0</v>
      </c>
      <c r="D32" s="176">
        <f>DEP!H12</f>
        <v>0</v>
      </c>
      <c r="E32" s="176">
        <f>DEP!I12</f>
        <v>0</v>
      </c>
      <c r="F32" s="176">
        <f>DEP!J12+DEP!G35</f>
        <v>0</v>
      </c>
      <c r="G32" s="176">
        <f>DEP!K12+DEP!H35</f>
        <v>0</v>
      </c>
      <c r="H32" s="176">
        <f>DEP!L12+DEP!I35</f>
        <v>0</v>
      </c>
      <c r="I32" s="176">
        <f>DEP!M12+DEP!J35</f>
        <v>0</v>
      </c>
      <c r="J32" s="176">
        <f>DEP!N12+DEP!K35</f>
        <v>0</v>
      </c>
      <c r="K32" s="176">
        <f>DEP!O12+DEP!L35</f>
        <v>0</v>
      </c>
      <c r="L32" s="176">
        <f>DEP!P12+DEP!M35</f>
        <v>0</v>
      </c>
    </row>
    <row r="33" spans="1:13" x14ac:dyDescent="0.35">
      <c r="A33" s="47"/>
      <c r="B33" s="327" t="str">
        <f>DEP!C15</f>
        <v>AMORTIZACIÓN DE ACTIVOS FIJOS</v>
      </c>
      <c r="C33" s="178">
        <f>C34+C35</f>
        <v>2500</v>
      </c>
      <c r="D33" s="178">
        <f t="shared" ref="D33:L33" si="9">D34+D35</f>
        <v>2500</v>
      </c>
      <c r="E33" s="178">
        <f t="shared" ref="E33" si="10">E34+E35</f>
        <v>2500</v>
      </c>
      <c r="F33" s="178">
        <f t="shared" si="9"/>
        <v>2500</v>
      </c>
      <c r="G33" s="178">
        <f t="shared" si="9"/>
        <v>0</v>
      </c>
      <c r="H33" s="178">
        <f t="shared" si="9"/>
        <v>0</v>
      </c>
      <c r="I33" s="178">
        <f t="shared" si="9"/>
        <v>0</v>
      </c>
      <c r="J33" s="178">
        <f t="shared" si="9"/>
        <v>0</v>
      </c>
      <c r="K33" s="178">
        <f t="shared" si="9"/>
        <v>0</v>
      </c>
      <c r="L33" s="178">
        <f t="shared" si="9"/>
        <v>0</v>
      </c>
    </row>
    <row r="34" spans="1:13" x14ac:dyDescent="0.35">
      <c r="A34" s="47"/>
      <c r="B34" s="162" t="str">
        <f>DEP!E19</f>
        <v>OTROS ACTIVOS</v>
      </c>
      <c r="C34" s="176">
        <f>DEP!G19</f>
        <v>0</v>
      </c>
      <c r="D34" s="176">
        <f>DEP!H19</f>
        <v>0</v>
      </c>
      <c r="E34" s="176">
        <f>DEP!I19</f>
        <v>0</v>
      </c>
      <c r="F34" s="176">
        <f>DEP!J19+DEP!G42</f>
        <v>0</v>
      </c>
      <c r="G34" s="176">
        <f>DEP!K19+DEP!H42</f>
        <v>0</v>
      </c>
      <c r="H34" s="176">
        <f>DEP!L19+DEP!I42</f>
        <v>0</v>
      </c>
      <c r="I34" s="176">
        <f>DEP!M19+DEP!J42</f>
        <v>0</v>
      </c>
      <c r="J34" s="176">
        <f>DEP!N19+DEP!K42</f>
        <v>0</v>
      </c>
      <c r="K34" s="176">
        <f>DEP!O19+DEP!L42</f>
        <v>0</v>
      </c>
      <c r="L34" s="176">
        <f>DEP!P19+DEP!M42</f>
        <v>0</v>
      </c>
    </row>
    <row r="35" spans="1:13" x14ac:dyDescent="0.35">
      <c r="A35" s="47"/>
      <c r="B35" s="162" t="str">
        <f>DEP!E20</f>
        <v>ACTIVOS DIFERIDOS</v>
      </c>
      <c r="C35" s="176">
        <f>DEP!G20</f>
        <v>2500</v>
      </c>
      <c r="D35" s="176">
        <f>DEP!H20</f>
        <v>2500</v>
      </c>
      <c r="E35" s="176">
        <f>DEP!I20</f>
        <v>2500</v>
      </c>
      <c r="F35" s="176">
        <f>DEP!J20+DEP!G43</f>
        <v>2500</v>
      </c>
      <c r="G35" s="176">
        <f>DEP!K20+DEP!H43</f>
        <v>0</v>
      </c>
      <c r="H35" s="176">
        <f>DEP!L20+DEP!I43</f>
        <v>0</v>
      </c>
      <c r="I35" s="176">
        <f>DEP!M20+DEP!J43</f>
        <v>0</v>
      </c>
      <c r="J35" s="176">
        <f>DEP!N20+DEP!K43</f>
        <v>0</v>
      </c>
      <c r="K35" s="176">
        <f>DEP!O20+DEP!L43</f>
        <v>0</v>
      </c>
      <c r="L35" s="176">
        <f>DEP!P20+DEP!M43</f>
        <v>0</v>
      </c>
    </row>
    <row r="36" spans="1:13" x14ac:dyDescent="0.35">
      <c r="A36" s="269"/>
      <c r="B36" s="206" t="s">
        <v>197</v>
      </c>
      <c r="C36" s="177">
        <f>C14-C15-C21-C25-C33</f>
        <v>351008.13835258776</v>
      </c>
      <c r="D36" s="177">
        <f t="shared" ref="D36:L36" si="11">D14-D15-D21-D25-D33</f>
        <v>351008.13835258776</v>
      </c>
      <c r="E36" s="177">
        <f>E14-E15-E21-E25-E33</f>
        <v>351008.13835258776</v>
      </c>
      <c r="F36" s="177">
        <f t="shared" si="11"/>
        <v>353341.47168592107</v>
      </c>
      <c r="G36" s="177">
        <f t="shared" si="11"/>
        <v>355841.47168592107</v>
      </c>
      <c r="H36" s="177">
        <f t="shared" si="11"/>
        <v>363341.47168592107</v>
      </c>
      <c r="I36" s="177">
        <f t="shared" si="11"/>
        <v>363341.47168592107</v>
      </c>
      <c r="J36" s="177">
        <f t="shared" si="11"/>
        <v>363341.47168592107</v>
      </c>
      <c r="K36" s="177">
        <f t="shared" si="11"/>
        <v>363341.47168592107</v>
      </c>
      <c r="L36" s="202">
        <f t="shared" si="11"/>
        <v>363341.47168592107</v>
      </c>
    </row>
    <row r="37" spans="1:13" x14ac:dyDescent="0.35">
      <c r="A37" s="47"/>
      <c r="B37" s="205" t="str">
        <f>'SD(0)'!B2</f>
        <v>SERVICIO A LA DEUDA</v>
      </c>
      <c r="C37" s="178">
        <f>C38+C39</f>
        <v>31808.7</v>
      </c>
      <c r="D37" s="178">
        <f t="shared" ref="D37:L37" si="12">D38+D39</f>
        <v>28627.83</v>
      </c>
      <c r="E37" s="178">
        <f t="shared" si="12"/>
        <v>25446.959999999999</v>
      </c>
      <c r="F37" s="178">
        <f t="shared" si="12"/>
        <v>22266.09</v>
      </c>
      <c r="G37" s="178">
        <f t="shared" si="12"/>
        <v>19085.22</v>
      </c>
      <c r="H37" s="178">
        <f t="shared" si="12"/>
        <v>15904.35</v>
      </c>
      <c r="I37" s="178">
        <f t="shared" si="12"/>
        <v>12723.48</v>
      </c>
      <c r="J37" s="178">
        <f t="shared" si="12"/>
        <v>9542.61</v>
      </c>
      <c r="K37" s="178">
        <f t="shared" si="12"/>
        <v>6361.74</v>
      </c>
      <c r="L37" s="178">
        <f t="shared" si="12"/>
        <v>3180.87</v>
      </c>
    </row>
    <row r="38" spans="1:13" x14ac:dyDescent="0.35">
      <c r="A38" s="269"/>
      <c r="B38" s="162" t="str">
        <f>'SD(0)'!D10</f>
        <v>INTERES</v>
      </c>
      <c r="C38" s="176">
        <f>'SD(0)'!D12</f>
        <v>31808.7</v>
      </c>
      <c r="D38" s="176">
        <f>'SD(0)'!D13</f>
        <v>28627.83</v>
      </c>
      <c r="E38" s="176">
        <f>'SD(0)'!D14</f>
        <v>25446.959999999999</v>
      </c>
      <c r="F38" s="176">
        <f>'SD(0)'!D15</f>
        <v>22266.09</v>
      </c>
      <c r="G38" s="176">
        <f>'SD(0)'!D16</f>
        <v>19085.22</v>
      </c>
      <c r="H38" s="176">
        <f>'SD(0)'!D17</f>
        <v>15904.35</v>
      </c>
      <c r="I38" s="176">
        <f>'SD(0)'!D18</f>
        <v>12723.48</v>
      </c>
      <c r="J38" s="176">
        <f>'SD(0)'!D19</f>
        <v>9542.61</v>
      </c>
      <c r="K38" s="176">
        <f>'SD(0)'!D20</f>
        <v>6361.74</v>
      </c>
      <c r="L38" s="198">
        <f>'SD(0)'!D21</f>
        <v>3180.87</v>
      </c>
      <c r="M38" s="282"/>
    </row>
    <row r="39" spans="1:13" x14ac:dyDescent="0.35">
      <c r="A39" s="269"/>
      <c r="B39" s="162" t="s">
        <v>96</v>
      </c>
      <c r="C39" s="176"/>
      <c r="D39" s="176"/>
      <c r="E39" s="176"/>
      <c r="F39" s="176">
        <f>'SD(2)'!D12</f>
        <v>0</v>
      </c>
      <c r="G39" s="176">
        <f>'SD(2)'!D13</f>
        <v>0</v>
      </c>
      <c r="H39" s="176">
        <f>'SD(2)'!D14</f>
        <v>0</v>
      </c>
      <c r="I39" s="176">
        <f>'SD(2)'!D15</f>
        <v>0</v>
      </c>
      <c r="J39" s="176">
        <f>'SD(2)'!D16</f>
        <v>0</v>
      </c>
      <c r="K39" s="176">
        <f>'SD(2)'!D17</f>
        <v>0</v>
      </c>
      <c r="L39" s="198">
        <f>'SD(2)'!D18</f>
        <v>0</v>
      </c>
      <c r="M39" s="282"/>
    </row>
    <row r="40" spans="1:13" x14ac:dyDescent="0.35">
      <c r="A40" s="269"/>
      <c r="B40" s="206" t="s">
        <v>199</v>
      </c>
      <c r="C40" s="177">
        <f>C36-C37</f>
        <v>319199.43835258775</v>
      </c>
      <c r="D40" s="177">
        <f>D36-D37</f>
        <v>322380.30835258774</v>
      </c>
      <c r="E40" s="177">
        <f t="shared" ref="E40:L40" si="13">E36-E37</f>
        <v>325561.17835258774</v>
      </c>
      <c r="F40" s="177">
        <f t="shared" si="13"/>
        <v>331075.38168592105</v>
      </c>
      <c r="G40" s="177">
        <f t="shared" si="13"/>
        <v>336756.2516859211</v>
      </c>
      <c r="H40" s="177">
        <f t="shared" si="13"/>
        <v>347437.1216859211</v>
      </c>
      <c r="I40" s="177">
        <f t="shared" si="13"/>
        <v>350617.99168592109</v>
      </c>
      <c r="J40" s="177">
        <f t="shared" si="13"/>
        <v>353798.86168592109</v>
      </c>
      <c r="K40" s="177">
        <f t="shared" si="13"/>
        <v>356979.73168592108</v>
      </c>
      <c r="L40" s="202">
        <f t="shared" si="13"/>
        <v>360160.60168592108</v>
      </c>
    </row>
    <row r="41" spans="1:13" x14ac:dyDescent="0.35">
      <c r="A41" s="269"/>
      <c r="B41" s="207" t="str">
        <f>DP!B18</f>
        <v>IUE/IRE</v>
      </c>
      <c r="C41" s="176">
        <f>IF(C40&gt;0,C40*DP!$C$18,0*1)</f>
        <v>94163.83431401338</v>
      </c>
      <c r="D41" s="176">
        <f>IF(D40&gt;0,D40*DP!$C$18,0*1)</f>
        <v>95102.190964013382</v>
      </c>
      <c r="E41" s="176">
        <f>IF(E40&gt;0,E40*DP!$C$18,0*1)</f>
        <v>96040.547614013383</v>
      </c>
      <c r="F41" s="176">
        <f>IF(F40&gt;0,F40*DP!$C$18,0*1)</f>
        <v>97667.237597346699</v>
      </c>
      <c r="G41" s="176">
        <f>IF(G40&gt;0,G40*DP!$C$18,0*1)</f>
        <v>99343.094247346715</v>
      </c>
      <c r="H41" s="176">
        <f>IF(H40&gt;0,H40*DP!$C$18,0*1)</f>
        <v>102493.95089734672</v>
      </c>
      <c r="I41" s="176">
        <f>IF(I40&gt;0,I40*DP!$C$18,0*1)</f>
        <v>103432.30754734672</v>
      </c>
      <c r="J41" s="176">
        <f>IF(J40&gt;0,J40*DP!$C$18,0*1)</f>
        <v>104370.66419734672</v>
      </c>
      <c r="K41" s="176">
        <f>IF(K40&gt;0,K40*DP!$C$18,0*1)</f>
        <v>105309.02084734672</v>
      </c>
      <c r="L41" s="176">
        <f>IF(L40&gt;0,L40*DP!$C$18,0*1)</f>
        <v>106247.37749734671</v>
      </c>
    </row>
    <row r="42" spans="1:13" ht="16" thickBot="1" x14ac:dyDescent="0.4">
      <c r="A42" s="269"/>
      <c r="B42" s="208" t="s">
        <v>198</v>
      </c>
      <c r="C42" s="209">
        <f>C40-C41</f>
        <v>225035.60403857438</v>
      </c>
      <c r="D42" s="209">
        <f t="shared" ref="D42:L42" si="14">D40-D41</f>
        <v>227278.11738857435</v>
      </c>
      <c r="E42" s="209">
        <f t="shared" si="14"/>
        <v>229520.63073857437</v>
      </c>
      <c r="F42" s="209">
        <f t="shared" si="14"/>
        <v>233408.14408857434</v>
      </c>
      <c r="G42" s="209">
        <f t="shared" si="14"/>
        <v>237413.15743857439</v>
      </c>
      <c r="H42" s="209">
        <f t="shared" si="14"/>
        <v>244943.17078857438</v>
      </c>
      <c r="I42" s="209">
        <f t="shared" si="14"/>
        <v>247185.68413857438</v>
      </c>
      <c r="J42" s="209">
        <f t="shared" si="14"/>
        <v>249428.19748857437</v>
      </c>
      <c r="K42" s="209">
        <f t="shared" si="14"/>
        <v>251670.71083857436</v>
      </c>
      <c r="L42" s="210">
        <f t="shared" si="14"/>
        <v>253913.22418857436</v>
      </c>
    </row>
    <row r="43" spans="1:13" ht="7.5" customHeight="1" thickBot="1" x14ac:dyDescent="0.4"/>
    <row r="44" spans="1:13" x14ac:dyDescent="0.35">
      <c r="B44" s="211" t="s">
        <v>209</v>
      </c>
      <c r="C44" s="212">
        <v>0</v>
      </c>
      <c r="D44" s="212">
        <v>0</v>
      </c>
      <c r="E44" s="212">
        <v>0</v>
      </c>
      <c r="F44" s="212">
        <v>0</v>
      </c>
      <c r="G44" s="212">
        <v>0</v>
      </c>
      <c r="H44" s="212">
        <v>0</v>
      </c>
      <c r="I44" s="212">
        <v>0</v>
      </c>
      <c r="J44" s="212">
        <v>0</v>
      </c>
      <c r="K44" s="212">
        <v>0</v>
      </c>
      <c r="L44" s="213">
        <v>0</v>
      </c>
    </row>
    <row r="45" spans="1:13" x14ac:dyDescent="0.35">
      <c r="B45" s="205" t="s">
        <v>206</v>
      </c>
      <c r="C45" s="176">
        <f>C42*C44</f>
        <v>0</v>
      </c>
      <c r="D45" s="176">
        <f t="shared" ref="D45:L45" si="15">D42*D44</f>
        <v>0</v>
      </c>
      <c r="E45" s="176">
        <f t="shared" si="15"/>
        <v>0</v>
      </c>
      <c r="F45" s="176">
        <f t="shared" si="15"/>
        <v>0</v>
      </c>
      <c r="G45" s="176">
        <f t="shared" si="15"/>
        <v>0</v>
      </c>
      <c r="H45" s="176">
        <f t="shared" si="15"/>
        <v>0</v>
      </c>
      <c r="I45" s="176">
        <f t="shared" si="15"/>
        <v>0</v>
      </c>
      <c r="J45" s="176">
        <f t="shared" si="15"/>
        <v>0</v>
      </c>
      <c r="K45" s="176">
        <f t="shared" si="15"/>
        <v>0</v>
      </c>
      <c r="L45" s="198">
        <f t="shared" si="15"/>
        <v>0</v>
      </c>
    </row>
    <row r="46" spans="1:13" x14ac:dyDescent="0.35">
      <c r="B46" s="205" t="s">
        <v>207</v>
      </c>
      <c r="C46" s="176">
        <f>C45*DP!$C$21</f>
        <v>0</v>
      </c>
      <c r="D46" s="176">
        <f>D45*DP!$C$21</f>
        <v>0</v>
      </c>
      <c r="E46" s="176">
        <f>E45*DP!$C$21</f>
        <v>0</v>
      </c>
      <c r="F46" s="176">
        <f>F45*DP!$C$21</f>
        <v>0</v>
      </c>
      <c r="G46" s="176">
        <f>G45*DP!$C$21</f>
        <v>0</v>
      </c>
      <c r="H46" s="176">
        <f>H45*DP!$C$21</f>
        <v>0</v>
      </c>
      <c r="I46" s="176">
        <f>I45*DP!$C$21</f>
        <v>0</v>
      </c>
      <c r="J46" s="176">
        <f>J45*DP!$C$21</f>
        <v>0</v>
      </c>
      <c r="K46" s="176">
        <f>K45*DP!$C$21</f>
        <v>0</v>
      </c>
      <c r="L46" s="198">
        <f>L45*DP!$C$21</f>
        <v>0</v>
      </c>
    </row>
    <row r="47" spans="1:13" x14ac:dyDescent="0.35">
      <c r="B47" s="205" t="s">
        <v>208</v>
      </c>
      <c r="C47" s="176">
        <f>C45-C46</f>
        <v>0</v>
      </c>
      <c r="D47" s="176">
        <f t="shared" ref="D47:L47" si="16">D45-D46</f>
        <v>0</v>
      </c>
      <c r="E47" s="176">
        <f t="shared" si="16"/>
        <v>0</v>
      </c>
      <c r="F47" s="176">
        <f t="shared" si="16"/>
        <v>0</v>
      </c>
      <c r="G47" s="176">
        <f t="shared" si="16"/>
        <v>0</v>
      </c>
      <c r="H47" s="176">
        <f t="shared" si="16"/>
        <v>0</v>
      </c>
      <c r="I47" s="176">
        <f t="shared" si="16"/>
        <v>0</v>
      </c>
      <c r="J47" s="176">
        <f t="shared" si="16"/>
        <v>0</v>
      </c>
      <c r="K47" s="176">
        <f t="shared" si="16"/>
        <v>0</v>
      </c>
      <c r="L47" s="198">
        <f t="shared" si="16"/>
        <v>0</v>
      </c>
    </row>
    <row r="48" spans="1:13" ht="16" thickBot="1" x14ac:dyDescent="0.4">
      <c r="B48" s="208" t="s">
        <v>240</v>
      </c>
      <c r="C48" s="221">
        <f>C42-C45</f>
        <v>225035.60403857438</v>
      </c>
      <c r="D48" s="221">
        <f t="shared" ref="D48:L48" si="17">D42-D45</f>
        <v>227278.11738857435</v>
      </c>
      <c r="E48" s="221">
        <f t="shared" si="17"/>
        <v>229520.63073857437</v>
      </c>
      <c r="F48" s="221">
        <f t="shared" si="17"/>
        <v>233408.14408857434</v>
      </c>
      <c r="G48" s="221">
        <f t="shared" si="17"/>
        <v>237413.15743857439</v>
      </c>
      <c r="H48" s="221">
        <f t="shared" si="17"/>
        <v>244943.17078857438</v>
      </c>
      <c r="I48" s="221">
        <f t="shared" si="17"/>
        <v>247185.68413857438</v>
      </c>
      <c r="J48" s="221">
        <f>J42-J45</f>
        <v>249428.19748857437</v>
      </c>
      <c r="K48" s="221">
        <f t="shared" si="17"/>
        <v>251670.71083857436</v>
      </c>
      <c r="L48" s="222">
        <f t="shared" si="17"/>
        <v>253913.22418857436</v>
      </c>
    </row>
    <row r="51" spans="2:12" ht="16" thickBot="1" x14ac:dyDescent="0.4"/>
    <row r="52" spans="2:12" ht="20.5" thickBot="1" x14ac:dyDescent="0.45">
      <c r="B52" s="808" t="s">
        <v>559</v>
      </c>
      <c r="C52" s="215">
        <f>DP!C11</f>
        <v>2025</v>
      </c>
      <c r="D52" s="215">
        <f>C52+1</f>
        <v>2026</v>
      </c>
      <c r="E52" s="215">
        <f t="shared" ref="E52" si="18">D52+1</f>
        <v>2027</v>
      </c>
      <c r="F52" s="215">
        <f t="shared" ref="F52" si="19">E52+1</f>
        <v>2028</v>
      </c>
      <c r="G52" s="215">
        <f t="shared" ref="G52" si="20">F52+1</f>
        <v>2029</v>
      </c>
      <c r="H52" s="215">
        <f t="shared" ref="H52" si="21">G52+1</f>
        <v>2030</v>
      </c>
      <c r="I52" s="215">
        <f t="shared" ref="I52" si="22">H52+1</f>
        <v>2031</v>
      </c>
      <c r="J52" s="215">
        <f t="shared" ref="J52" si="23">I52+1</f>
        <v>2032</v>
      </c>
      <c r="K52" s="215">
        <f t="shared" ref="K52" si="24">J52+1</f>
        <v>2033</v>
      </c>
      <c r="L52" s="216">
        <f t="shared" ref="L52" si="25">K52+1</f>
        <v>2034</v>
      </c>
    </row>
    <row r="53" spans="2:12" x14ac:dyDescent="0.35">
      <c r="B53" s="809" t="s">
        <v>510</v>
      </c>
      <c r="C53" s="811">
        <f>(C8+C5)/(C$8+C$5)</f>
        <v>1</v>
      </c>
      <c r="D53" s="811">
        <f t="shared" ref="D53:L53" si="26">(D8+D5)/(D$8+D$5)</f>
        <v>1</v>
      </c>
      <c r="E53" s="811">
        <f t="shared" si="26"/>
        <v>1</v>
      </c>
      <c r="F53" s="811">
        <f t="shared" si="26"/>
        <v>1</v>
      </c>
      <c r="G53" s="811">
        <f t="shared" si="26"/>
        <v>1</v>
      </c>
      <c r="H53" s="811">
        <f t="shared" si="26"/>
        <v>1</v>
      </c>
      <c r="I53" s="811">
        <f t="shared" si="26"/>
        <v>1</v>
      </c>
      <c r="J53" s="811">
        <f t="shared" si="26"/>
        <v>1</v>
      </c>
      <c r="K53" s="811">
        <f t="shared" si="26"/>
        <v>1</v>
      </c>
      <c r="L53" s="811">
        <f t="shared" si="26"/>
        <v>1</v>
      </c>
    </row>
    <row r="54" spans="2:12" x14ac:dyDescent="0.35">
      <c r="B54" s="809" t="s">
        <v>512</v>
      </c>
      <c r="C54" s="811">
        <f>C11/(C$8+C$5)</f>
        <v>0.83238119346518147</v>
      </c>
      <c r="D54" s="811">
        <f t="shared" ref="D54:L54" si="27">D11/(D$8+D$5)</f>
        <v>0.83238119346518147</v>
      </c>
      <c r="E54" s="811">
        <f t="shared" si="27"/>
        <v>0.83238119346518147</v>
      </c>
      <c r="F54" s="811">
        <f t="shared" si="27"/>
        <v>0.83238119346518147</v>
      </c>
      <c r="G54" s="811">
        <f t="shared" si="27"/>
        <v>0.83238119346518147</v>
      </c>
      <c r="H54" s="811">
        <f t="shared" si="27"/>
        <v>0.83238119346518147</v>
      </c>
      <c r="I54" s="811">
        <f t="shared" si="27"/>
        <v>0.83238119346518147</v>
      </c>
      <c r="J54" s="811">
        <f t="shared" si="27"/>
        <v>0.83238119346518147</v>
      </c>
      <c r="K54" s="811">
        <f t="shared" si="27"/>
        <v>0.83238119346518147</v>
      </c>
      <c r="L54" s="811">
        <f t="shared" si="27"/>
        <v>0.83238119346518147</v>
      </c>
    </row>
    <row r="55" spans="2:12" x14ac:dyDescent="0.35">
      <c r="B55" s="809" t="s">
        <v>513</v>
      </c>
      <c r="C55" s="811">
        <f>C14/(C$8+C$5)</f>
        <v>0.16761880653481848</v>
      </c>
      <c r="D55" s="811">
        <f t="shared" ref="D55:L55" si="28">D14/(D$8+D$5)</f>
        <v>0.16761880653481848</v>
      </c>
      <c r="E55" s="811">
        <f t="shared" si="28"/>
        <v>0.16761880653481848</v>
      </c>
      <c r="F55" s="811">
        <f t="shared" si="28"/>
        <v>0.16761880653481848</v>
      </c>
      <c r="G55" s="811">
        <f t="shared" si="28"/>
        <v>0.16761880653481848</v>
      </c>
      <c r="H55" s="811">
        <f t="shared" si="28"/>
        <v>0.16761880653481848</v>
      </c>
      <c r="I55" s="811">
        <f t="shared" si="28"/>
        <v>0.16761880653481848</v>
      </c>
      <c r="J55" s="811">
        <f t="shared" si="28"/>
        <v>0.16761880653481848</v>
      </c>
      <c r="K55" s="811">
        <f t="shared" si="28"/>
        <v>0.16761880653481848</v>
      </c>
      <c r="L55" s="811">
        <f t="shared" si="28"/>
        <v>0.16761880653481848</v>
      </c>
    </row>
    <row r="56" spans="2:12" x14ac:dyDescent="0.35">
      <c r="B56" s="809" t="s">
        <v>514</v>
      </c>
      <c r="C56" s="811">
        <f>C15/(C$8+C$5)</f>
        <v>4.8185194891019377E-2</v>
      </c>
      <c r="D56" s="811">
        <f t="shared" ref="D56:L56" si="29">D15/(D$8+D$5)</f>
        <v>4.8185194891019377E-2</v>
      </c>
      <c r="E56" s="811">
        <f t="shared" si="29"/>
        <v>4.8185194891019377E-2</v>
      </c>
      <c r="F56" s="811">
        <f t="shared" si="29"/>
        <v>4.8185194891019377E-2</v>
      </c>
      <c r="G56" s="811">
        <f t="shared" si="29"/>
        <v>4.8185194891019377E-2</v>
      </c>
      <c r="H56" s="811">
        <f t="shared" si="29"/>
        <v>4.8185194891019377E-2</v>
      </c>
      <c r="I56" s="811">
        <f t="shared" si="29"/>
        <v>4.8185194891019377E-2</v>
      </c>
      <c r="J56" s="811">
        <f t="shared" si="29"/>
        <v>4.8185194891019377E-2</v>
      </c>
      <c r="K56" s="811">
        <f t="shared" si="29"/>
        <v>4.8185194891019377E-2</v>
      </c>
      <c r="L56" s="811">
        <f t="shared" si="29"/>
        <v>4.8185194891019377E-2</v>
      </c>
    </row>
    <row r="57" spans="2:12" x14ac:dyDescent="0.35">
      <c r="B57" s="809" t="s">
        <v>515</v>
      </c>
      <c r="C57" s="811">
        <f>C21/(C$8+C$5)</f>
        <v>6.8534068558240999E-2</v>
      </c>
      <c r="D57" s="811">
        <f t="shared" ref="D57:L57" si="30">D21/(D$8+D$5)</f>
        <v>6.8534068558240999E-2</v>
      </c>
      <c r="E57" s="811">
        <f t="shared" si="30"/>
        <v>6.8534068558240999E-2</v>
      </c>
      <c r="F57" s="811">
        <f t="shared" si="30"/>
        <v>6.8534068558240999E-2</v>
      </c>
      <c r="G57" s="811">
        <f t="shared" si="30"/>
        <v>6.8534068558240999E-2</v>
      </c>
      <c r="H57" s="811">
        <f t="shared" si="30"/>
        <v>6.8534068558240999E-2</v>
      </c>
      <c r="I57" s="811">
        <f t="shared" si="30"/>
        <v>6.8534068558240999E-2</v>
      </c>
      <c r="J57" s="811">
        <f t="shared" si="30"/>
        <v>6.8534068558240999E-2</v>
      </c>
      <c r="K57" s="811">
        <f t="shared" si="30"/>
        <v>6.8534068558240999E-2</v>
      </c>
      <c r="L57" s="811">
        <f t="shared" si="30"/>
        <v>6.8534068558240999E-2</v>
      </c>
    </row>
    <row r="58" spans="2:12" x14ac:dyDescent="0.35">
      <c r="B58" s="809" t="s">
        <v>509</v>
      </c>
      <c r="C58" s="811">
        <f>C37/(C$8+C$5)</f>
        <v>4.3419452327424172E-3</v>
      </c>
      <c r="D58" s="811">
        <f t="shared" ref="D58:L58" si="31">D37/(D$8+D$5)</f>
        <v>3.9077507094681758E-3</v>
      </c>
      <c r="E58" s="811">
        <f t="shared" si="31"/>
        <v>3.4735561861939336E-3</v>
      </c>
      <c r="F58" s="811">
        <f t="shared" si="31"/>
        <v>3.0393616629196918E-3</v>
      </c>
      <c r="G58" s="811">
        <f t="shared" si="31"/>
        <v>2.6051671396454504E-3</v>
      </c>
      <c r="H58" s="811">
        <f t="shared" si="31"/>
        <v>2.1709726163712086E-3</v>
      </c>
      <c r="I58" s="811">
        <f t="shared" si="31"/>
        <v>1.7367780930969668E-3</v>
      </c>
      <c r="J58" s="811">
        <f t="shared" si="31"/>
        <v>1.3025835698227252E-3</v>
      </c>
      <c r="K58" s="811">
        <f t="shared" si="31"/>
        <v>8.6838904654848339E-4</v>
      </c>
      <c r="L58" s="811">
        <f t="shared" si="31"/>
        <v>4.341945232742417E-4</v>
      </c>
    </row>
    <row r="59" spans="2:12" x14ac:dyDescent="0.35">
      <c r="B59" s="809" t="str">
        <f>B40</f>
        <v>EBT</v>
      </c>
      <c r="C59" s="811">
        <f>C40/(C$8+C$5)</f>
        <v>4.3571302179877688E-2</v>
      </c>
      <c r="D59" s="811">
        <f t="shared" ref="D59:L59" si="32">D40/(D$8+D$5)</f>
        <v>4.4005496703151931E-2</v>
      </c>
      <c r="E59" s="811">
        <f t="shared" si="32"/>
        <v>4.4439691226426173E-2</v>
      </c>
      <c r="F59" s="811">
        <f t="shared" si="32"/>
        <v>4.5192389981029119E-2</v>
      </c>
      <c r="G59" s="811">
        <f t="shared" si="32"/>
        <v>4.596783903786985E-2</v>
      </c>
      <c r="H59" s="811">
        <f t="shared" si="32"/>
        <v>4.7425797161843523E-2</v>
      </c>
      <c r="I59" s="811">
        <f t="shared" si="32"/>
        <v>4.7859991685117766E-2</v>
      </c>
      <c r="J59" s="811">
        <f t="shared" si="32"/>
        <v>4.8294186208392008E-2</v>
      </c>
      <c r="K59" s="811">
        <f t="shared" si="32"/>
        <v>4.872838073166625E-2</v>
      </c>
      <c r="L59" s="811">
        <f t="shared" si="32"/>
        <v>4.9162575254940492E-2</v>
      </c>
    </row>
    <row r="60" spans="2:12" ht="16" thickBot="1" x14ac:dyDescent="0.4">
      <c r="B60" s="810" t="s">
        <v>516</v>
      </c>
      <c r="C60" s="812">
        <f>C42/(C$8+C$5)</f>
        <v>3.0717768036813774E-2</v>
      </c>
      <c r="D60" s="812">
        <f t="shared" ref="D60:L60" si="33">D42/(D$8+D$5)</f>
        <v>3.1023875175722106E-2</v>
      </c>
      <c r="E60" s="812">
        <f t="shared" si="33"/>
        <v>3.1329982314630453E-2</v>
      </c>
      <c r="F60" s="812">
        <f t="shared" si="33"/>
        <v>3.1860634936625533E-2</v>
      </c>
      <c r="G60" s="812">
        <f t="shared" si="33"/>
        <v>3.2407326521698247E-2</v>
      </c>
      <c r="H60" s="812">
        <f t="shared" si="33"/>
        <v>3.3435186999099684E-2</v>
      </c>
      <c r="I60" s="812">
        <f t="shared" si="33"/>
        <v>3.3741294138008027E-2</v>
      </c>
      <c r="J60" s="812">
        <f t="shared" si="33"/>
        <v>3.4047401276916363E-2</v>
      </c>
      <c r="K60" s="812">
        <f t="shared" si="33"/>
        <v>3.4353508415824706E-2</v>
      </c>
      <c r="L60" s="812">
        <f t="shared" si="33"/>
        <v>3.4659615554733042E-2</v>
      </c>
    </row>
    <row r="62" spans="2:12" ht="16" thickBot="1" x14ac:dyDescent="0.4"/>
    <row r="63" spans="2:12" ht="20" x14ac:dyDescent="0.4">
      <c r="B63" s="815" t="s">
        <v>555</v>
      </c>
      <c r="C63" s="350">
        <f>C52</f>
        <v>2025</v>
      </c>
      <c r="D63" s="350">
        <f>C63+1</f>
        <v>2026</v>
      </c>
      <c r="E63" s="350">
        <f t="shared" ref="E63" si="34">D63+1</f>
        <v>2027</v>
      </c>
      <c r="F63" s="350">
        <f t="shared" ref="F63" si="35">E63+1</f>
        <v>2028</v>
      </c>
      <c r="G63" s="350">
        <f t="shared" ref="G63" si="36">F63+1</f>
        <v>2029</v>
      </c>
      <c r="H63" s="350">
        <f t="shared" ref="H63" si="37">G63+1</f>
        <v>2030</v>
      </c>
      <c r="I63" s="350">
        <f t="shared" ref="I63" si="38">H63+1</f>
        <v>2031</v>
      </c>
      <c r="J63" s="350">
        <f t="shared" ref="J63" si="39">I63+1</f>
        <v>2032</v>
      </c>
      <c r="K63" s="350">
        <f t="shared" ref="K63" si="40">J63+1</f>
        <v>2033</v>
      </c>
      <c r="L63" s="351">
        <f t="shared" ref="L63" si="41">K63+1</f>
        <v>2034</v>
      </c>
    </row>
    <row r="64" spans="2:12" x14ac:dyDescent="0.35">
      <c r="B64" s="828" t="s">
        <v>556</v>
      </c>
      <c r="C64" s="814">
        <f>((C5+C8)-(C11-(CP!$AN$32+CP!$CG$32)*12))/(C5+C8)</f>
        <v>0.26431078759164633</v>
      </c>
      <c r="D64" s="814">
        <f>((D5+D8)-(D11-(CP!$AN$32+CP!$CG$32)*12))/(D5+D8)</f>
        <v>0.26431078759164633</v>
      </c>
      <c r="E64" s="814">
        <f>((E5+E8)-(E11-(CP!$AN$32+CP!$CG$32)*12))/(E5+E8)</f>
        <v>0.26431078759164633</v>
      </c>
      <c r="F64" s="814">
        <f>((F5+F8)-(F11-(CP!$AN$32+CP!$CG$32)*12))/(F5+F8)</f>
        <v>0.26431078759164633</v>
      </c>
      <c r="G64" s="814">
        <f>((G5+G8)-(G11-(CP!$AN$32+CP!$CG$32)*12))/(G5+G8)</f>
        <v>0.26431078759164633</v>
      </c>
      <c r="H64" s="814">
        <f>((H5+H8)-(H11-(CP!$AN$32+CP!$CG$32)*12))/(H5+H8)</f>
        <v>0.26431078759164633</v>
      </c>
      <c r="I64" s="814">
        <f>((I5+I8)-(I11-(CP!$AN$32+CP!$CG$32)*12))/(I5+I8)</f>
        <v>0.26431078759164633</v>
      </c>
      <c r="J64" s="814">
        <f>((J5+J8)-(J11-(CP!$AN$32+CP!$CG$32)*12))/(J5+J8)</f>
        <v>0.26431078759164633</v>
      </c>
      <c r="K64" s="814">
        <f>((K5+K8)-(K11-(CP!$AN$32+CP!$CG$32)*12))/(K5+K8)</f>
        <v>0.26431078759164633</v>
      </c>
      <c r="L64" s="829">
        <f>((L5+L8)-(L11-(CP!$AN$32+CP!$CG$32)*12))/(L5+L8)</f>
        <v>0.26431078759164633</v>
      </c>
    </row>
    <row r="65" spans="2:12" ht="16" thickBot="1" x14ac:dyDescent="0.4">
      <c r="B65" s="830" t="s">
        <v>557</v>
      </c>
      <c r="C65" s="831">
        <f>(C15+C21+C25+C33+C37+(CP!$AN$32+CP!$CG$32)*12)/C64</f>
        <v>6118242.9151220918</v>
      </c>
      <c r="D65" s="831">
        <f>(D15+D21+D25+D33+D37+(CP!$AN$32+CP!$CG$32)*12)/D64</f>
        <v>6106208.3325423049</v>
      </c>
      <c r="E65" s="831">
        <f>(E15+E21+E25+E33+E37+(CP!$AN$32+CP!$CG$32)*12)/E64</f>
        <v>6094173.749962518</v>
      </c>
      <c r="F65" s="831">
        <f>(F15+F21+F25+F33+F37+(CP!$AN$32+CP!$CG$32)*12)/F64</f>
        <v>6073311.176082816</v>
      </c>
      <c r="G65" s="831">
        <f>(G15+G21+G25+G33+G37+(CP!$AN$32+CP!$CG$32)*12)/G64</f>
        <v>6051818.0313959746</v>
      </c>
      <c r="H65" s="831">
        <f>(H15+H21+H25+H33+H37+(CP!$AN$32+CP!$CG$32)*12)/H64</f>
        <v>6011407.7624950251</v>
      </c>
      <c r="I65" s="831">
        <f>(I15+I21+I25+I33+I37+(CP!$AN$32+CP!$CG$32)*12)/I64</f>
        <v>5999373.17991524</v>
      </c>
      <c r="J65" s="831">
        <f>(J15+J21+J25+J33+J37+(CP!$AN$32+CP!$CG$32)*12)/J64</f>
        <v>5987338.5973354541</v>
      </c>
      <c r="K65" s="831">
        <f>(K15+K21+K25+K33+K37+(CP!$AN$32+CP!$CG$32)*12)/K64</f>
        <v>5975304.0147556672</v>
      </c>
      <c r="L65" s="832">
        <f>(L15+L21+L25+L33+L37+(CP!$AN$32+CP!$CG$32)*12)/L64</f>
        <v>5963269.4321758803</v>
      </c>
    </row>
    <row r="66" spans="2:12" x14ac:dyDescent="0.35">
      <c r="B66"/>
      <c r="C66"/>
      <c r="D66"/>
      <c r="E66"/>
      <c r="F66"/>
    </row>
    <row r="67" spans="2:12" x14ac:dyDescent="0.35">
      <c r="B67"/>
      <c r="C67"/>
      <c r="D67"/>
      <c r="E67"/>
      <c r="F67"/>
    </row>
    <row r="68" spans="2:12" x14ac:dyDescent="0.35">
      <c r="B68"/>
      <c r="C68"/>
      <c r="D68"/>
      <c r="E68"/>
      <c r="F68"/>
    </row>
    <row r="69" spans="2:12" x14ac:dyDescent="0.35">
      <c r="B69"/>
      <c r="C69"/>
      <c r="D69"/>
      <c r="E69"/>
      <c r="F69"/>
    </row>
    <row r="70" spans="2:12" x14ac:dyDescent="0.35">
      <c r="B70"/>
      <c r="C70"/>
      <c r="D70"/>
      <c r="E70"/>
      <c r="F70"/>
    </row>
    <row r="71" spans="2:12" x14ac:dyDescent="0.35">
      <c r="B71"/>
      <c r="C71"/>
      <c r="D71"/>
      <c r="E71"/>
      <c r="F71"/>
    </row>
    <row r="72" spans="2:12" x14ac:dyDescent="0.35">
      <c r="B72"/>
      <c r="C72"/>
      <c r="D72"/>
      <c r="E72"/>
      <c r="F72"/>
    </row>
    <row r="73" spans="2:12" x14ac:dyDescent="0.35">
      <c r="B73"/>
      <c r="C73"/>
      <c r="D73"/>
      <c r="E73"/>
      <c r="F73"/>
    </row>
    <row r="74" spans="2:12" x14ac:dyDescent="0.35">
      <c r="B74"/>
      <c r="C74"/>
      <c r="D74"/>
      <c r="E74"/>
      <c r="F74"/>
    </row>
    <row r="75" spans="2:12" x14ac:dyDescent="0.35">
      <c r="B75"/>
      <c r="C75"/>
      <c r="D75"/>
      <c r="E75"/>
      <c r="F75"/>
    </row>
    <row r="76" spans="2:12" x14ac:dyDescent="0.35">
      <c r="B76"/>
      <c r="C76"/>
      <c r="D76"/>
      <c r="E76"/>
      <c r="F76"/>
    </row>
    <row r="77" spans="2:12" x14ac:dyDescent="0.35">
      <c r="B77"/>
      <c r="C77"/>
      <c r="D77"/>
      <c r="E77"/>
      <c r="F77"/>
    </row>
    <row r="78" spans="2:12" x14ac:dyDescent="0.35">
      <c r="B78"/>
      <c r="C78"/>
      <c r="D78"/>
      <c r="E78"/>
      <c r="F78"/>
    </row>
    <row r="79" spans="2:12" x14ac:dyDescent="0.35">
      <c r="B79"/>
      <c r="C79"/>
      <c r="D79"/>
      <c r="E79"/>
      <c r="F79"/>
    </row>
  </sheetData>
  <mergeCells count="1">
    <mergeCell ref="B2:D2"/>
  </mergeCell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E9FFC-7B1F-430F-B5E7-9B8A25493881}">
  <sheetPr codeName="Hoja21">
    <tabColor theme="5" tint="0.79998168889431442"/>
  </sheetPr>
  <dimension ref="B1:P53"/>
  <sheetViews>
    <sheetView showGridLines="0" topLeftCell="A26" zoomScale="69" zoomScaleNormal="69" workbookViewId="0">
      <selection activeCell="F48" sqref="F48"/>
    </sheetView>
  </sheetViews>
  <sheetFormatPr baseColWidth="10" defaultRowHeight="14.5" x14ac:dyDescent="0.35"/>
  <cols>
    <col min="2" max="2" width="50.08984375" customWidth="1"/>
    <col min="3" max="3" width="14.6328125" bestFit="1" customWidth="1"/>
    <col min="4" max="13" width="14.453125" bestFit="1" customWidth="1"/>
    <col min="14" max="16" width="11.453125" bestFit="1" customWidth="1"/>
  </cols>
  <sheetData>
    <row r="1" spans="2:16" ht="15" thickBot="1" x14ac:dyDescent="0.4"/>
    <row r="2" spans="2:16" ht="23" thickBot="1" x14ac:dyDescent="0.5">
      <c r="B2" s="692" t="s">
        <v>298</v>
      </c>
    </row>
    <row r="3" spans="2:16" ht="8" customHeight="1" thickBot="1" x14ac:dyDescent="0.5">
      <c r="B3" s="402"/>
    </row>
    <row r="4" spans="2:16" ht="20.5" thickBot="1" x14ac:dyDescent="0.45">
      <c r="B4" s="348" t="s">
        <v>205</v>
      </c>
      <c r="C4" s="349">
        <v>0</v>
      </c>
      <c r="D4" s="350">
        <f>DP!C11</f>
        <v>2025</v>
      </c>
      <c r="E4" s="350">
        <f>D4+1</f>
        <v>2026</v>
      </c>
      <c r="F4" s="350">
        <f t="shared" ref="F4:M4" si="0">E4+1</f>
        <v>2027</v>
      </c>
      <c r="G4" s="350">
        <f t="shared" si="0"/>
        <v>2028</v>
      </c>
      <c r="H4" s="350">
        <f t="shared" si="0"/>
        <v>2029</v>
      </c>
      <c r="I4" s="350">
        <f t="shared" si="0"/>
        <v>2030</v>
      </c>
      <c r="J4" s="350">
        <f t="shared" si="0"/>
        <v>2031</v>
      </c>
      <c r="K4" s="350">
        <f t="shared" si="0"/>
        <v>2032</v>
      </c>
      <c r="L4" s="350">
        <f t="shared" si="0"/>
        <v>2033</v>
      </c>
      <c r="M4" s="351">
        <f t="shared" si="0"/>
        <v>2034</v>
      </c>
    </row>
    <row r="5" spans="2:16" x14ac:dyDescent="0.35">
      <c r="B5" s="354" t="s">
        <v>293</v>
      </c>
      <c r="C5" s="356">
        <f>SUM(C6:C17)</f>
        <v>-42541.2</v>
      </c>
      <c r="D5" s="356">
        <f>SUM(D6:D18)</f>
        <v>-371477.06262809224</v>
      </c>
      <c r="E5" s="356">
        <f t="shared" ref="E5:L5" si="1">SUM(E6:E18)</f>
        <v>249155.45072190766</v>
      </c>
      <c r="F5" s="356">
        <f t="shared" si="1"/>
        <v>251397.96407190769</v>
      </c>
      <c r="G5" s="356">
        <f t="shared" si="1"/>
        <v>252952.14408857434</v>
      </c>
      <c r="H5" s="356">
        <f t="shared" si="1"/>
        <v>254457.15743857436</v>
      </c>
      <c r="I5" s="356">
        <f t="shared" si="1"/>
        <v>254487.17078857438</v>
      </c>
      <c r="J5" s="356">
        <f t="shared" si="1"/>
        <v>256729.6841385744</v>
      </c>
      <c r="K5" s="356">
        <f t="shared" si="1"/>
        <v>258972.19748857431</v>
      </c>
      <c r="L5" s="356">
        <f t="shared" si="1"/>
        <v>261214.71083857433</v>
      </c>
      <c r="M5" s="819">
        <f>SUM(M6:M18)</f>
        <v>263457.22418857436</v>
      </c>
    </row>
    <row r="6" spans="2:16" x14ac:dyDescent="0.35">
      <c r="B6" s="357" t="str">
        <f>EERR!B42</f>
        <v>UTILIDAD NETA</v>
      </c>
      <c r="C6" s="352"/>
      <c r="D6" s="218">
        <f>EERR!C42</f>
        <v>225035.60403857438</v>
      </c>
      <c r="E6" s="218">
        <f>EERR!D42</f>
        <v>227278.11738857435</v>
      </c>
      <c r="F6" s="218">
        <f>EERR!E42</f>
        <v>229520.63073857437</v>
      </c>
      <c r="G6" s="218">
        <f>EERR!F42</f>
        <v>233408.14408857434</v>
      </c>
      <c r="H6" s="218">
        <f>EERR!G42</f>
        <v>237413.15743857439</v>
      </c>
      <c r="I6" s="218">
        <f>EERR!H42</f>
        <v>244943.17078857438</v>
      </c>
      <c r="J6" s="218">
        <f>EERR!I42</f>
        <v>247185.68413857438</v>
      </c>
      <c r="K6" s="218">
        <f>EERR!J42</f>
        <v>249428.19748857437</v>
      </c>
      <c r="L6" s="218">
        <f>EERR!K42</f>
        <v>251670.71083857436</v>
      </c>
      <c r="M6" s="358">
        <f>EERR!L42</f>
        <v>253913.22418857436</v>
      </c>
    </row>
    <row r="7" spans="2:16" x14ac:dyDescent="0.35">
      <c r="B7" s="357" t="str">
        <f>EERR!B25</f>
        <v>DEPRECIACIÓN DE ACTIVOS FIJOS</v>
      </c>
      <c r="C7" s="352"/>
      <c r="D7" s="218">
        <f>EERR!C25</f>
        <v>19377.333333333332</v>
      </c>
      <c r="E7" s="218">
        <f>EERR!D25</f>
        <v>19377.333333333332</v>
      </c>
      <c r="F7" s="218">
        <f>EERR!E25</f>
        <v>19377.333333333332</v>
      </c>
      <c r="G7" s="218">
        <f>EERR!F25</f>
        <v>17044</v>
      </c>
      <c r="H7" s="218">
        <f>EERR!G25</f>
        <v>17044</v>
      </c>
      <c r="I7" s="218">
        <f>EERR!H25</f>
        <v>9544</v>
      </c>
      <c r="J7" s="218">
        <f>EERR!I25</f>
        <v>9544</v>
      </c>
      <c r="K7" s="218">
        <f>EERR!J25</f>
        <v>9544</v>
      </c>
      <c r="L7" s="218">
        <f>EERR!K25</f>
        <v>9544</v>
      </c>
      <c r="M7" s="358">
        <f>EERR!L25</f>
        <v>9544</v>
      </c>
    </row>
    <row r="8" spans="2:16" x14ac:dyDescent="0.35">
      <c r="B8" s="357" t="str">
        <f>EERR!B33</f>
        <v>AMORTIZACIÓN DE ACTIVOS FIJOS</v>
      </c>
      <c r="C8" s="352"/>
      <c r="D8" s="218">
        <f>EERR!C33</f>
        <v>2500</v>
      </c>
      <c r="E8" s="218">
        <f>EERR!D33</f>
        <v>2500</v>
      </c>
      <c r="F8" s="218">
        <f>EERR!E33</f>
        <v>2500</v>
      </c>
      <c r="G8" s="218">
        <f>EERR!F33</f>
        <v>2500</v>
      </c>
      <c r="H8" s="218">
        <f>EERR!G33</f>
        <v>0</v>
      </c>
      <c r="I8" s="218">
        <f>EERR!H33</f>
        <v>0</v>
      </c>
      <c r="J8" s="218">
        <f>EERR!I33</f>
        <v>0</v>
      </c>
      <c r="K8" s="218">
        <f>EERR!J33</f>
        <v>0</v>
      </c>
      <c r="L8" s="218">
        <f>EERR!K33</f>
        <v>0</v>
      </c>
      <c r="M8" s="358">
        <f>EERR!L33</f>
        <v>0</v>
      </c>
    </row>
    <row r="9" spans="2:16" x14ac:dyDescent="0.35">
      <c r="B9" s="372" t="str">
        <f>AS!B47</f>
        <v>CUENTAS POR COBRAR</v>
      </c>
      <c r="C9" s="373"/>
      <c r="D9" s="371">
        <f>-AS!C47</f>
        <v>-618390</v>
      </c>
      <c r="E9" s="371">
        <f>-AS!D47</f>
        <v>-618390</v>
      </c>
      <c r="F9" s="371">
        <f>-AS!E47</f>
        <v>-618390</v>
      </c>
      <c r="G9" s="371">
        <f>-AS!F47</f>
        <v>-618390</v>
      </c>
      <c r="H9" s="371">
        <f>-AS!G47</f>
        <v>-618390</v>
      </c>
      <c r="I9" s="371">
        <f>-AS!H47</f>
        <v>-618390</v>
      </c>
      <c r="J9" s="371">
        <f>-AS!I47</f>
        <v>-618390</v>
      </c>
      <c r="K9" s="371">
        <f>-AS!J47</f>
        <v>-618390</v>
      </c>
      <c r="L9" s="371">
        <f>-AS!K47</f>
        <v>-618390</v>
      </c>
      <c r="M9" s="374">
        <f>-AS!L47</f>
        <v>-618390</v>
      </c>
    </row>
    <row r="10" spans="2:16" x14ac:dyDescent="0.35">
      <c r="B10" s="372" t="s">
        <v>319</v>
      </c>
      <c r="C10" s="373"/>
      <c r="D10" s="371"/>
      <c r="E10" s="371">
        <f>-(D9)</f>
        <v>618390</v>
      </c>
      <c r="F10" s="371">
        <f t="shared" ref="F10:M10" si="2">-(E9)</f>
        <v>618390</v>
      </c>
      <c r="G10" s="371">
        <f t="shared" si="2"/>
        <v>618390</v>
      </c>
      <c r="H10" s="371">
        <f t="shared" si="2"/>
        <v>618390</v>
      </c>
      <c r="I10" s="371">
        <f t="shared" si="2"/>
        <v>618390</v>
      </c>
      <c r="J10" s="371">
        <f t="shared" si="2"/>
        <v>618390</v>
      </c>
      <c r="K10" s="371">
        <f t="shared" si="2"/>
        <v>618390</v>
      </c>
      <c r="L10" s="371">
        <f t="shared" si="2"/>
        <v>618390</v>
      </c>
      <c r="M10" s="374">
        <f t="shared" si="2"/>
        <v>618390</v>
      </c>
    </row>
    <row r="11" spans="2:16" x14ac:dyDescent="0.35">
      <c r="B11" s="372" t="s">
        <v>320</v>
      </c>
      <c r="C11" s="373"/>
      <c r="D11" s="371">
        <f>-AS!C51</f>
        <v>0</v>
      </c>
      <c r="E11" s="371">
        <f>-AS!D51</f>
        <v>0</v>
      </c>
      <c r="F11" s="371">
        <f>-AS!E51</f>
        <v>0</v>
      </c>
      <c r="G11" s="371">
        <f>-AS!F51</f>
        <v>0</v>
      </c>
      <c r="H11" s="371">
        <f>-AS!G51</f>
        <v>0</v>
      </c>
      <c r="I11" s="371">
        <f>-AS!H51</f>
        <v>0</v>
      </c>
      <c r="J11" s="371">
        <f>-AS!I51</f>
        <v>0</v>
      </c>
      <c r="K11" s="371">
        <f>-AS!J51</f>
        <v>0</v>
      </c>
      <c r="L11" s="371">
        <f>-AS!K51</f>
        <v>0</v>
      </c>
      <c r="M11" s="374">
        <f>-AS!L51</f>
        <v>0</v>
      </c>
    </row>
    <row r="12" spans="2:16" x14ac:dyDescent="0.35">
      <c r="B12" s="820" t="s">
        <v>321</v>
      </c>
      <c r="C12" s="11"/>
      <c r="D12" s="11"/>
      <c r="E12" s="371">
        <f t="shared" ref="E12:M12" si="3">-(D11)</f>
        <v>0</v>
      </c>
      <c r="F12" s="371">
        <f t="shared" si="3"/>
        <v>0</v>
      </c>
      <c r="G12" s="371">
        <f t="shared" si="3"/>
        <v>0</v>
      </c>
      <c r="H12" s="371">
        <f t="shared" si="3"/>
        <v>0</v>
      </c>
      <c r="I12" s="371">
        <f t="shared" si="3"/>
        <v>0</v>
      </c>
      <c r="J12" s="371">
        <f t="shared" si="3"/>
        <v>0</v>
      </c>
      <c r="K12" s="371">
        <f t="shared" si="3"/>
        <v>0</v>
      </c>
      <c r="L12" s="371">
        <f t="shared" si="3"/>
        <v>0</v>
      </c>
      <c r="M12" s="374">
        <f t="shared" si="3"/>
        <v>0</v>
      </c>
    </row>
    <row r="13" spans="2:16" x14ac:dyDescent="0.35">
      <c r="B13" s="833" t="s">
        <v>540</v>
      </c>
      <c r="C13" s="834">
        <f>IF(IGV!C16&gt;0,IGV!C16,(0*1))</f>
        <v>0</v>
      </c>
      <c r="D13" s="834">
        <f>IF(IGV!D16&gt;0,IGV!D16,(0*1))</f>
        <v>0</v>
      </c>
      <c r="E13" s="834">
        <f>IF(IGV!E16&gt;0,IGV!E16,(0*1))</f>
        <v>0</v>
      </c>
      <c r="F13" s="834">
        <f>IF(IGV!F16&gt;0,IGV!F16,(0*1))</f>
        <v>0</v>
      </c>
      <c r="G13" s="834">
        <f>IF(IGV!G16&gt;0,IGV!G16,(0*1))</f>
        <v>0</v>
      </c>
      <c r="H13" s="834">
        <f>IF(IGV!H16&gt;0,IGV!H16,(0*1))</f>
        <v>0</v>
      </c>
      <c r="I13" s="834">
        <f>IF(IGV!I16&gt;0,IGV!I16,(0*1))</f>
        <v>0</v>
      </c>
      <c r="J13" s="834">
        <f>IF(IGV!J16&gt;0,IGV!J16,(0*1))</f>
        <v>0</v>
      </c>
      <c r="K13" s="834">
        <f>IF(IGV!K16&gt;0,IGV!K16,(0*1))</f>
        <v>0</v>
      </c>
      <c r="L13" s="834">
        <f>IF(IGV!L16&gt;0,IGV!L16,(0*1))</f>
        <v>0</v>
      </c>
      <c r="M13" s="835">
        <f>IF(IGV!M16&gt;0,IGV!M16,(0*1))</f>
        <v>0</v>
      </c>
      <c r="N13" s="282"/>
      <c r="O13" s="282"/>
    </row>
    <row r="14" spans="2:16" x14ac:dyDescent="0.35">
      <c r="B14" s="833" t="s">
        <v>543</v>
      </c>
      <c r="C14" s="834"/>
      <c r="D14" s="834">
        <f>((D13/12)*11)*-1</f>
        <v>0</v>
      </c>
      <c r="E14" s="834">
        <f>((E13/12)*11)*-1</f>
        <v>0</v>
      </c>
      <c r="F14" s="834">
        <f t="shared" ref="F14:M14" si="4">((F13/12)*11)*-1</f>
        <v>0</v>
      </c>
      <c r="G14" s="834">
        <f t="shared" si="4"/>
        <v>0</v>
      </c>
      <c r="H14" s="834">
        <f t="shared" si="4"/>
        <v>0</v>
      </c>
      <c r="I14" s="834">
        <f t="shared" si="4"/>
        <v>0</v>
      </c>
      <c r="J14" s="834">
        <f t="shared" si="4"/>
        <v>0</v>
      </c>
      <c r="K14" s="834">
        <f t="shared" si="4"/>
        <v>0</v>
      </c>
      <c r="L14" s="834">
        <f t="shared" si="4"/>
        <v>0</v>
      </c>
      <c r="M14" s="835">
        <f t="shared" si="4"/>
        <v>0</v>
      </c>
      <c r="O14" s="790"/>
      <c r="P14" s="282"/>
    </row>
    <row r="15" spans="2:16" x14ac:dyDescent="0.35">
      <c r="B15" s="833" t="s">
        <v>544</v>
      </c>
      <c r="C15" s="836"/>
      <c r="D15" s="836"/>
      <c r="E15" s="834">
        <f>(((D13/12)*1)*-1)</f>
        <v>0</v>
      </c>
      <c r="F15" s="834">
        <f t="shared" ref="F15:L15" si="5">(((E13/12)*1)*-1)</f>
        <v>0</v>
      </c>
      <c r="G15" s="834">
        <f t="shared" si="5"/>
        <v>0</v>
      </c>
      <c r="H15" s="834">
        <f t="shared" si="5"/>
        <v>0</v>
      </c>
      <c r="I15" s="834">
        <f t="shared" si="5"/>
        <v>0</v>
      </c>
      <c r="J15" s="834">
        <f t="shared" si="5"/>
        <v>0</v>
      </c>
      <c r="K15" s="834">
        <f t="shared" si="5"/>
        <v>0</v>
      </c>
      <c r="L15" s="834">
        <f t="shared" si="5"/>
        <v>0</v>
      </c>
      <c r="M15" s="835">
        <f>(((L13/12)*1)*-1)</f>
        <v>0</v>
      </c>
      <c r="O15" s="34"/>
    </row>
    <row r="16" spans="2:16" x14ac:dyDescent="0.35">
      <c r="B16" s="833" t="s">
        <v>545</v>
      </c>
      <c r="C16" s="837">
        <f>IF(IGV!C16&lt;0,IGV!C16,(0*1))</f>
        <v>-42541.2</v>
      </c>
      <c r="D16" s="837">
        <f>IF(IGV!D16&lt;0,IGV!D16,(0*1))</f>
        <v>-1110156.8014189238</v>
      </c>
      <c r="E16" s="837">
        <f>IF(IGV!E16&lt;0,IGV!E16,(0*1))</f>
        <v>-1110156.8014189238</v>
      </c>
      <c r="F16" s="837">
        <f>IF(IGV!F16&lt;0,IGV!F16,(0*1))</f>
        <v>-1110156.8014189238</v>
      </c>
      <c r="G16" s="837">
        <f>IF(IGV!G16&lt;0,IGV!G16,(0*1))</f>
        <v>-1110156.8014189238</v>
      </c>
      <c r="H16" s="837">
        <f>IF(IGV!H16&lt;0,IGV!H16,(0*1))</f>
        <v>-1110156.8014189238</v>
      </c>
      <c r="I16" s="837">
        <f>IF(IGV!I16&lt;0,IGV!I16,(0*1))</f>
        <v>-1110156.8014189238</v>
      </c>
      <c r="J16" s="837">
        <f>IF(IGV!J16&lt;0,IGV!J16,(0*1))</f>
        <v>-1110156.8014189238</v>
      </c>
      <c r="K16" s="837">
        <f>IF(IGV!K16&lt;0,IGV!K16,(0*1))</f>
        <v>-1110156.8014189238</v>
      </c>
      <c r="L16" s="837">
        <f>IF(IGV!L16&lt;0,IGV!L16,(0*1))</f>
        <v>-1110156.8014189238</v>
      </c>
      <c r="M16" s="838">
        <f>IF(IGV!M16&lt;0,IGV!M16,(0*1))</f>
        <v>-1110156.8014189238</v>
      </c>
      <c r="O16" s="34"/>
    </row>
    <row r="17" spans="2:15" x14ac:dyDescent="0.35">
      <c r="B17" s="833" t="s">
        <v>546</v>
      </c>
      <c r="C17" s="836"/>
      <c r="D17" s="834">
        <f>(D16*(-1))</f>
        <v>1110156.8014189238</v>
      </c>
      <c r="E17" s="834">
        <f t="shared" ref="E17:M17" si="6">(E16*(-1))</f>
        <v>1110156.8014189238</v>
      </c>
      <c r="F17" s="834">
        <f t="shared" si="6"/>
        <v>1110156.8014189238</v>
      </c>
      <c r="G17" s="834">
        <f t="shared" si="6"/>
        <v>1110156.8014189238</v>
      </c>
      <c r="H17" s="834">
        <f t="shared" si="6"/>
        <v>1110156.8014189238</v>
      </c>
      <c r="I17" s="834">
        <f t="shared" si="6"/>
        <v>1110156.8014189238</v>
      </c>
      <c r="J17" s="834">
        <f t="shared" si="6"/>
        <v>1110156.8014189238</v>
      </c>
      <c r="K17" s="834">
        <f t="shared" si="6"/>
        <v>1110156.8014189238</v>
      </c>
      <c r="L17" s="834">
        <f t="shared" si="6"/>
        <v>1110156.8014189238</v>
      </c>
      <c r="M17" s="835">
        <f t="shared" si="6"/>
        <v>1110156.8014189238</v>
      </c>
      <c r="O17" s="34"/>
    </row>
    <row r="18" spans="2:15" ht="15" thickBot="1" x14ac:dyDescent="0.4">
      <c r="B18" s="839" t="s">
        <v>558</v>
      </c>
      <c r="C18" s="840"/>
      <c r="D18" s="841">
        <f>IF(IGV!D5&gt;0,(IGV!D4*(-1)),0)</f>
        <v>0</v>
      </c>
      <c r="E18" s="841">
        <f>IF(IGV!E5&gt;0,(IGV!E4*(-1)),0)</f>
        <v>0</v>
      </c>
      <c r="F18" s="841">
        <f>IF(IGV!F5&gt;0,(IGV!F4*(-1)),0)</f>
        <v>0</v>
      </c>
      <c r="G18" s="841">
        <f>IF(IGV!G5&gt;0,(IGV!G4*(-1)),0)</f>
        <v>0</v>
      </c>
      <c r="H18" s="841">
        <f>IF(IGV!H5&gt;0,(IGV!H4*(-1)),0)</f>
        <v>0</v>
      </c>
      <c r="I18" s="841">
        <f>IF(IGV!I5&gt;0,(IGV!I4*(-1)),0)</f>
        <v>0</v>
      </c>
      <c r="J18" s="841">
        <f>IF(IGV!J5&gt;0,(IGV!J4*(-1)),0)</f>
        <v>0</v>
      </c>
      <c r="K18" s="841">
        <f>IF(IGV!K5&gt;0,(IGV!K4*(-1)),0)</f>
        <v>0</v>
      </c>
      <c r="L18" s="841">
        <f>IF(IGV!L5&gt;0,(IGV!L4*(-1)),0)</f>
        <v>0</v>
      </c>
      <c r="M18" s="842">
        <f>IF(IGV!M5&gt;0,(IGV!M4*(-1)),0)</f>
        <v>0</v>
      </c>
      <c r="O18" s="34"/>
    </row>
    <row r="19" spans="2:15" ht="15" thickBot="1" x14ac:dyDescent="0.4">
      <c r="B19" s="792"/>
      <c r="C19" s="34"/>
      <c r="D19" s="34"/>
      <c r="E19" s="793"/>
      <c r="F19" s="793"/>
      <c r="G19" s="793"/>
      <c r="H19" s="793"/>
      <c r="I19" s="793"/>
      <c r="J19" s="793"/>
      <c r="K19" s="793"/>
      <c r="L19" s="793"/>
      <c r="M19" s="793"/>
      <c r="O19" s="34"/>
    </row>
    <row r="20" spans="2:15" x14ac:dyDescent="0.35">
      <c r="B20" s="362" t="s">
        <v>314</v>
      </c>
      <c r="C20" s="363">
        <f>C21+C22</f>
        <v>-287170</v>
      </c>
      <c r="D20" s="363">
        <f>D21+D22</f>
        <v>0</v>
      </c>
      <c r="E20" s="363">
        <f t="shared" ref="E20:M20" si="7">E21+E22</f>
        <v>0</v>
      </c>
      <c r="F20" s="363">
        <f t="shared" si="7"/>
        <v>0</v>
      </c>
      <c r="G20" s="363">
        <f t="shared" si="7"/>
        <v>0</v>
      </c>
      <c r="H20" s="363">
        <f t="shared" si="7"/>
        <v>0</v>
      </c>
      <c r="I20" s="363">
        <f t="shared" si="7"/>
        <v>0</v>
      </c>
      <c r="J20" s="363">
        <f t="shared" si="7"/>
        <v>0</v>
      </c>
      <c r="K20" s="363">
        <f t="shared" si="7"/>
        <v>0</v>
      </c>
      <c r="L20" s="363">
        <f t="shared" si="7"/>
        <v>0</v>
      </c>
      <c r="M20" s="364">
        <f t="shared" si="7"/>
        <v>86400</v>
      </c>
      <c r="O20" s="791"/>
    </row>
    <row r="21" spans="2:15" x14ac:dyDescent="0.35">
      <c r="B21" s="357" t="str">
        <f>EF!F7</f>
        <v>APORTE PROPIO</v>
      </c>
      <c r="C21" s="353">
        <f>-EF!F20</f>
        <v>-287170</v>
      </c>
      <c r="D21" s="11"/>
      <c r="E21" s="11"/>
      <c r="F21" s="218">
        <f>-EF!F37</f>
        <v>0</v>
      </c>
      <c r="G21" s="11"/>
      <c r="H21" s="11"/>
      <c r="I21" s="11"/>
      <c r="J21" s="11"/>
      <c r="K21" s="11"/>
      <c r="L21" s="11"/>
      <c r="M21" s="365"/>
    </row>
    <row r="22" spans="2:15" ht="15" thickBot="1" x14ac:dyDescent="0.4">
      <c r="B22" s="359" t="str">
        <f>DEP!R4</f>
        <v>VALOR RESIDUAL</v>
      </c>
      <c r="C22" s="360"/>
      <c r="D22" s="304"/>
      <c r="E22" s="304"/>
      <c r="F22" s="304"/>
      <c r="G22" s="304"/>
      <c r="H22" s="304"/>
      <c r="I22" s="304"/>
      <c r="J22" s="304"/>
      <c r="K22" s="304"/>
      <c r="L22" s="304"/>
      <c r="M22" s="289">
        <f>DEP!R13+DEP!R21</f>
        <v>86400</v>
      </c>
      <c r="O22" s="39"/>
    </row>
    <row r="23" spans="2:15" ht="17.5" customHeight="1" thickBot="1" x14ac:dyDescent="0.4">
      <c r="B23" s="366" t="s">
        <v>502</v>
      </c>
      <c r="C23" s="367">
        <f t="shared" ref="C23:M23" si="8">C20+C5</f>
        <v>-329711.2</v>
      </c>
      <c r="D23" s="367">
        <f t="shared" si="8"/>
        <v>-371477.06262809224</v>
      </c>
      <c r="E23" s="367">
        <f t="shared" si="8"/>
        <v>249155.45072190766</v>
      </c>
      <c r="F23" s="367">
        <f t="shared" si="8"/>
        <v>251397.96407190769</v>
      </c>
      <c r="G23" s="367">
        <f t="shared" si="8"/>
        <v>252952.14408857434</v>
      </c>
      <c r="H23" s="367">
        <f t="shared" si="8"/>
        <v>254457.15743857436</v>
      </c>
      <c r="I23" s="367">
        <f t="shared" si="8"/>
        <v>254487.17078857438</v>
      </c>
      <c r="J23" s="367">
        <f t="shared" si="8"/>
        <v>256729.6841385744</v>
      </c>
      <c r="K23" s="367">
        <f t="shared" si="8"/>
        <v>258972.19748857431</v>
      </c>
      <c r="L23" s="367">
        <f t="shared" si="8"/>
        <v>261214.71083857433</v>
      </c>
      <c r="M23" s="683">
        <f t="shared" si="8"/>
        <v>349857.22418857436</v>
      </c>
    </row>
    <row r="24" spans="2:15" ht="15" thickBot="1" x14ac:dyDescent="0.4"/>
    <row r="25" spans="2:15" x14ac:dyDescent="0.35">
      <c r="B25" s="362" t="s">
        <v>292</v>
      </c>
      <c r="C25" s="363">
        <f>SUM(C26:C29)</f>
        <v>289170</v>
      </c>
      <c r="D25" s="363">
        <f t="shared" ref="D25:M25" si="9">SUM(D27:D29)</f>
        <v>-28917</v>
      </c>
      <c r="E25" s="363">
        <f t="shared" si="9"/>
        <v>-28917</v>
      </c>
      <c r="F25" s="363">
        <f t="shared" si="9"/>
        <v>-28917</v>
      </c>
      <c r="G25" s="363">
        <f t="shared" si="9"/>
        <v>-28917</v>
      </c>
      <c r="H25" s="363">
        <f t="shared" si="9"/>
        <v>-28917</v>
      </c>
      <c r="I25" s="363">
        <f t="shared" si="9"/>
        <v>-28917</v>
      </c>
      <c r="J25" s="363">
        <f t="shared" si="9"/>
        <v>-28917</v>
      </c>
      <c r="K25" s="363">
        <f t="shared" si="9"/>
        <v>-28917</v>
      </c>
      <c r="L25" s="363">
        <f t="shared" si="9"/>
        <v>-28917</v>
      </c>
      <c r="M25" s="364">
        <f t="shared" si="9"/>
        <v>-28917</v>
      </c>
    </row>
    <row r="26" spans="2:15" x14ac:dyDescent="0.35">
      <c r="B26" s="357" t="str">
        <f>'SD(0)'!E5</f>
        <v>MONTO PRESTAMO</v>
      </c>
      <c r="C26" s="353">
        <f>'SD(0)'!F11</f>
        <v>289170</v>
      </c>
      <c r="D26" s="11"/>
      <c r="E26" s="11"/>
      <c r="F26" s="218">
        <f>'SD(2)'!F11</f>
        <v>0</v>
      </c>
      <c r="G26" s="11"/>
      <c r="H26" s="11"/>
      <c r="I26" s="11"/>
      <c r="J26" s="11"/>
      <c r="K26" s="11"/>
      <c r="L26" s="11"/>
      <c r="M26" s="365"/>
      <c r="N26" s="282"/>
    </row>
    <row r="27" spans="2:15" x14ac:dyDescent="0.35">
      <c r="B27" s="372" t="str">
        <f>'SD(0)'!E10</f>
        <v>AMORTIZACION DE LA DEUDA</v>
      </c>
      <c r="C27" s="352"/>
      <c r="D27" s="371">
        <f>-'SD(0)'!E12</f>
        <v>-28917</v>
      </c>
      <c r="E27" s="218">
        <f>-'SD(0)'!E13</f>
        <v>-28917</v>
      </c>
      <c r="F27" s="218">
        <f>-'SD(0)'!E14</f>
        <v>-28917</v>
      </c>
      <c r="G27" s="218">
        <f>-'SD(0)'!E15</f>
        <v>-28917</v>
      </c>
      <c r="H27" s="218">
        <f>-'SD(0)'!E16</f>
        <v>-28917</v>
      </c>
      <c r="I27" s="218">
        <f>-'SD(0)'!E17</f>
        <v>-28917</v>
      </c>
      <c r="J27" s="218">
        <f>-'SD(0)'!E18</f>
        <v>-28917</v>
      </c>
      <c r="K27" s="218">
        <f>-'SD(0)'!E19</f>
        <v>-28917</v>
      </c>
      <c r="L27" s="218">
        <f>-'SD(0)'!E20</f>
        <v>-28917</v>
      </c>
      <c r="M27" s="358">
        <f>-'SD(0)'!E21</f>
        <v>-28917</v>
      </c>
      <c r="N27" s="282"/>
    </row>
    <row r="28" spans="2:15" x14ac:dyDescent="0.35">
      <c r="B28" s="372" t="str">
        <f>'SD(2)'!E10</f>
        <v>AMORTIZACION DE LA DEUDA</v>
      </c>
      <c r="C28" s="622"/>
      <c r="D28" s="623"/>
      <c r="E28" s="624"/>
      <c r="F28" s="624"/>
      <c r="G28" s="624">
        <f>-'SD(2)'!E12</f>
        <v>0</v>
      </c>
      <c r="H28" s="624">
        <f>-'SD(2)'!E13</f>
        <v>0</v>
      </c>
      <c r="I28" s="624">
        <f>-'SD(2)'!E14</f>
        <v>0</v>
      </c>
      <c r="J28" s="624">
        <f>-'SD(2)'!E15</f>
        <v>0</v>
      </c>
      <c r="K28" s="624">
        <f>-'SD(2)'!E16</f>
        <v>0</v>
      </c>
      <c r="L28" s="624">
        <f>-'SD(2)'!E17</f>
        <v>0</v>
      </c>
      <c r="M28" s="625">
        <f>-'SD(2)'!E18</f>
        <v>0</v>
      </c>
      <c r="N28" s="282"/>
    </row>
    <row r="29" spans="2:15" ht="15" thickBot="1" x14ac:dyDescent="0.4">
      <c r="B29" s="359" t="str">
        <f>EERR!B47</f>
        <v>DIVIDENOS NETOS</v>
      </c>
      <c r="C29" s="360"/>
      <c r="D29" s="361">
        <f>-EERR!C45</f>
        <v>0</v>
      </c>
      <c r="E29" s="361">
        <f>-EERR!D45</f>
        <v>0</v>
      </c>
      <c r="F29" s="361">
        <f>-EERR!E45</f>
        <v>0</v>
      </c>
      <c r="G29" s="361">
        <f>-EERR!F45</f>
        <v>0</v>
      </c>
      <c r="H29" s="361">
        <f>-EERR!G45</f>
        <v>0</v>
      </c>
      <c r="I29" s="361">
        <f>-EERR!H45</f>
        <v>0</v>
      </c>
      <c r="J29" s="361">
        <f>-EERR!I45</f>
        <v>0</v>
      </c>
      <c r="K29" s="361">
        <f>-EERR!J45</f>
        <v>0</v>
      </c>
      <c r="L29" s="361">
        <f>-EERR!K45</f>
        <v>0</v>
      </c>
      <c r="M29" s="289">
        <f>-EERR!L45</f>
        <v>0</v>
      </c>
    </row>
    <row r="30" spans="2:15" ht="16.5" customHeight="1" thickBot="1" x14ac:dyDescent="0.4">
      <c r="B30" s="366" t="s">
        <v>503</v>
      </c>
      <c r="C30" s="367">
        <f t="shared" ref="C30:M30" si="10">C5+C20+C25</f>
        <v>-40541.200000000012</v>
      </c>
      <c r="D30" s="367">
        <f t="shared" si="10"/>
        <v>-400394.06262809224</v>
      </c>
      <c r="E30" s="367">
        <f t="shared" si="10"/>
        <v>220238.45072190766</v>
      </c>
      <c r="F30" s="367">
        <f t="shared" si="10"/>
        <v>222480.96407190769</v>
      </c>
      <c r="G30" s="367">
        <f t="shared" si="10"/>
        <v>224035.14408857434</v>
      </c>
      <c r="H30" s="367">
        <f t="shared" si="10"/>
        <v>225540.15743857436</v>
      </c>
      <c r="I30" s="367">
        <f t="shared" si="10"/>
        <v>225570.17078857438</v>
      </c>
      <c r="J30" s="367">
        <f t="shared" si="10"/>
        <v>227812.6841385744</v>
      </c>
      <c r="K30" s="367">
        <f t="shared" si="10"/>
        <v>230055.19748857431</v>
      </c>
      <c r="L30" s="367">
        <f t="shared" si="10"/>
        <v>232297.71083857433</v>
      </c>
      <c r="M30" s="683">
        <f t="shared" si="10"/>
        <v>320940.22418857436</v>
      </c>
    </row>
    <row r="31" spans="2:15" ht="15" thickBot="1" x14ac:dyDescent="0.4"/>
    <row r="32" spans="2:15" x14ac:dyDescent="0.35">
      <c r="B32" s="684" t="s">
        <v>449</v>
      </c>
      <c r="C32" s="685"/>
      <c r="D32" s="686">
        <f>EF!C19</f>
        <v>340000</v>
      </c>
      <c r="E32" s="686">
        <f t="shared" ref="E32:M32" si="11">D30</f>
        <v>-400394.06262809224</v>
      </c>
      <c r="F32" s="686">
        <f t="shared" si="11"/>
        <v>220238.45072190766</v>
      </c>
      <c r="G32" s="686">
        <f t="shared" si="11"/>
        <v>222480.96407190769</v>
      </c>
      <c r="H32" s="686">
        <f t="shared" si="11"/>
        <v>224035.14408857434</v>
      </c>
      <c r="I32" s="686">
        <f t="shared" si="11"/>
        <v>225540.15743857436</v>
      </c>
      <c r="J32" s="686">
        <f t="shared" si="11"/>
        <v>225570.17078857438</v>
      </c>
      <c r="K32" s="686">
        <f t="shared" si="11"/>
        <v>227812.6841385744</v>
      </c>
      <c r="L32" s="686">
        <f t="shared" si="11"/>
        <v>230055.19748857431</v>
      </c>
      <c r="M32" s="687">
        <f t="shared" si="11"/>
        <v>232297.71083857433</v>
      </c>
    </row>
    <row r="33" spans="2:13" ht="15" thickBot="1" x14ac:dyDescent="0.4">
      <c r="B33" s="688" t="s">
        <v>454</v>
      </c>
      <c r="C33" s="689"/>
      <c r="D33" s="690">
        <f>D30+D32</f>
        <v>-60394.062628092244</v>
      </c>
      <c r="E33" s="690">
        <f>E30+E32</f>
        <v>-180155.61190618458</v>
      </c>
      <c r="F33" s="690">
        <f t="shared" ref="F33:M33" si="12">F30+F32</f>
        <v>442719.41479381535</v>
      </c>
      <c r="G33" s="690">
        <f t="shared" si="12"/>
        <v>446516.10816048202</v>
      </c>
      <c r="H33" s="690">
        <f t="shared" si="12"/>
        <v>449575.30152714869</v>
      </c>
      <c r="I33" s="690">
        <f t="shared" si="12"/>
        <v>451110.32822714874</v>
      </c>
      <c r="J33" s="690">
        <f t="shared" si="12"/>
        <v>453382.85492714879</v>
      </c>
      <c r="K33" s="690">
        <f t="shared" si="12"/>
        <v>457867.88162714872</v>
      </c>
      <c r="L33" s="690">
        <f t="shared" si="12"/>
        <v>462352.90832714865</v>
      </c>
      <c r="M33" s="691">
        <f t="shared" si="12"/>
        <v>553237.93502714869</v>
      </c>
    </row>
    <row r="34" spans="2:13" x14ac:dyDescent="0.35">
      <c r="D34" s="370"/>
    </row>
    <row r="39" spans="2:13" ht="17.5" x14ac:dyDescent="0.35">
      <c r="B39" s="1088" t="s">
        <v>504</v>
      </c>
      <c r="C39" s="1089"/>
      <c r="D39" s="1089"/>
      <c r="E39" s="1089"/>
    </row>
    <row r="40" spans="2:13" x14ac:dyDescent="0.35">
      <c r="B40" s="379" t="s">
        <v>310</v>
      </c>
      <c r="C40" s="380" t="s">
        <v>311</v>
      </c>
      <c r="D40" s="380" t="s">
        <v>312</v>
      </c>
      <c r="E40" s="380" t="s">
        <v>506</v>
      </c>
    </row>
    <row r="41" spans="2:13" x14ac:dyDescent="0.35">
      <c r="B41" s="381" t="s">
        <v>313</v>
      </c>
      <c r="C41" s="589">
        <f>NPV(FC!C52,D23:M23)+C23</f>
        <v>905461.51396965911</v>
      </c>
      <c r="D41" s="755">
        <f>IRR(C23:M23)</f>
        <v>0.28883324078725425</v>
      </c>
      <c r="E41" s="757">
        <f>(NPV(FC!C51,D23:M23))/ABS(C23)</f>
        <v>2.9311447009445417</v>
      </c>
    </row>
    <row r="43" spans="2:13" ht="17.5" x14ac:dyDescent="0.35">
      <c r="B43" s="1088" t="s">
        <v>505</v>
      </c>
      <c r="C43" s="1089"/>
      <c r="D43" s="1089"/>
      <c r="E43" s="1089"/>
    </row>
    <row r="44" spans="2:13" x14ac:dyDescent="0.35">
      <c r="B44" s="379" t="s">
        <v>310</v>
      </c>
      <c r="C44" s="380" t="s">
        <v>311</v>
      </c>
      <c r="D44" s="380" t="s">
        <v>312</v>
      </c>
      <c r="E44" s="380" t="s">
        <v>506</v>
      </c>
    </row>
    <row r="45" spans="2:13" x14ac:dyDescent="0.35">
      <c r="B45" s="381" t="s">
        <v>313</v>
      </c>
      <c r="C45" s="589">
        <f>NPV(FC!C53,D30:M30)+C30</f>
        <v>972940.71346821263</v>
      </c>
      <c r="D45" s="755">
        <f>IRR(C30:M30)</f>
        <v>0.47340830745382023</v>
      </c>
      <c r="E45" s="758">
        <f>(NPV(FC!C51,D30:M30))/ABS(C30)</f>
        <v>19.637610989706655</v>
      </c>
    </row>
    <row r="48" spans="2:13" x14ac:dyDescent="0.35">
      <c r="C48" s="756"/>
    </row>
    <row r="50" spans="2:3" x14ac:dyDescent="0.35">
      <c r="B50" s="1090" t="s">
        <v>507</v>
      </c>
      <c r="C50" s="1091"/>
    </row>
    <row r="51" spans="2:3" x14ac:dyDescent="0.35">
      <c r="B51" s="404" t="s">
        <v>322</v>
      </c>
      <c r="C51" s="63">
        <f>'SD(0)'!TASA</f>
        <v>0.11</v>
      </c>
    </row>
    <row r="52" spans="2:3" x14ac:dyDescent="0.35">
      <c r="B52" s="404" t="s">
        <v>323</v>
      </c>
      <c r="C52" s="760">
        <f>DP!C14+DP!C23*(DP!C24-DP!C14)</f>
        <v>7.1840580030367002E-2</v>
      </c>
    </row>
    <row r="53" spans="2:3" x14ac:dyDescent="0.35">
      <c r="B53" s="404" t="s">
        <v>324</v>
      </c>
      <c r="C53" s="760">
        <f>(C51*(1-DP!C18)*(EF!G20/(EF!F20+EF!G20))+(C52*(EF!F20/(EF!F20+EF!G20))))</f>
        <v>7.4705196355138448E-2</v>
      </c>
    </row>
  </sheetData>
  <mergeCells count="3">
    <mergeCell ref="B39:E39"/>
    <mergeCell ref="B43:E43"/>
    <mergeCell ref="B50:C50"/>
  </mergeCell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41664-7123-4B04-B0DE-4E3135F5E4CB}">
  <sheetPr codeName="Hoja15">
    <tabColor theme="5" tint="0.79998168889431442"/>
  </sheetPr>
  <dimension ref="B1:M65"/>
  <sheetViews>
    <sheetView showGridLines="0" topLeftCell="A6" zoomScale="57" zoomScaleNormal="54" workbookViewId="0">
      <selection activeCell="E32" sqref="E32"/>
    </sheetView>
  </sheetViews>
  <sheetFormatPr baseColWidth="10" defaultRowHeight="14.5" x14ac:dyDescent="0.35"/>
  <cols>
    <col min="1" max="1" width="2.81640625" customWidth="1"/>
    <col min="2" max="2" width="46.08984375" bestFit="1" customWidth="1"/>
    <col min="3" max="3" width="17.81640625" bestFit="1" customWidth="1"/>
    <col min="4" max="8" width="18.6328125" bestFit="1" customWidth="1"/>
    <col min="9" max="12" width="19.1796875" bestFit="1" customWidth="1"/>
    <col min="13" max="13" width="12.81640625" bestFit="1" customWidth="1"/>
  </cols>
  <sheetData>
    <row r="1" spans="2:12" ht="15" thickBot="1" x14ac:dyDescent="0.4"/>
    <row r="2" spans="2:12" ht="20.5" thickBot="1" x14ac:dyDescent="0.4">
      <c r="B2" s="843" t="s">
        <v>316</v>
      </c>
    </row>
    <row r="3" spans="2:12" ht="15" thickBot="1" x14ac:dyDescent="0.4">
      <c r="C3" s="282"/>
    </row>
    <row r="4" spans="2:12" ht="21" thickBot="1" x14ac:dyDescent="0.4">
      <c r="B4" s="844" t="s">
        <v>205</v>
      </c>
      <c r="C4" s="845">
        <f>DP!C11</f>
        <v>2025</v>
      </c>
      <c r="D4" s="845">
        <f>C4+1</f>
        <v>2026</v>
      </c>
      <c r="E4" s="845">
        <f t="shared" ref="E4:L4" si="0">D4+1</f>
        <v>2027</v>
      </c>
      <c r="F4" s="845">
        <f t="shared" si="0"/>
        <v>2028</v>
      </c>
      <c r="G4" s="845">
        <f t="shared" si="0"/>
        <v>2029</v>
      </c>
      <c r="H4" s="845">
        <f t="shared" si="0"/>
        <v>2030</v>
      </c>
      <c r="I4" s="845">
        <f t="shared" si="0"/>
        <v>2031</v>
      </c>
      <c r="J4" s="845">
        <f t="shared" si="0"/>
        <v>2032</v>
      </c>
      <c r="K4" s="845">
        <f t="shared" si="0"/>
        <v>2033</v>
      </c>
      <c r="L4" s="846">
        <f t="shared" si="0"/>
        <v>2034</v>
      </c>
    </row>
    <row r="5" spans="2:12" s="34" customFormat="1" ht="18" thickBot="1" x14ac:dyDescent="0.4">
      <c r="B5" s="826" t="s">
        <v>309</v>
      </c>
      <c r="C5" s="827">
        <f t="shared" ref="C5:L5" si="1">C6+C14</f>
        <v>772458.60403857438</v>
      </c>
      <c r="D5" s="827">
        <f t="shared" si="1"/>
        <v>970819.72142714879</v>
      </c>
      <c r="E5" s="827">
        <f t="shared" si="1"/>
        <v>1171423.352165723</v>
      </c>
      <c r="F5" s="827">
        <f t="shared" si="1"/>
        <v>1375914.4962542974</v>
      </c>
      <c r="G5" s="827">
        <f t="shared" si="1"/>
        <v>1584410.6536928718</v>
      </c>
      <c r="H5" s="827">
        <f t="shared" si="1"/>
        <v>1800436.8244814463</v>
      </c>
      <c r="I5" s="827">
        <f t="shared" si="1"/>
        <v>2018705.5086200207</v>
      </c>
      <c r="J5" s="827">
        <f t="shared" si="1"/>
        <v>2239216.7061085952</v>
      </c>
      <c r="K5" s="827">
        <f t="shared" si="1"/>
        <v>2461970.4169471692</v>
      </c>
      <c r="L5" s="827">
        <f t="shared" si="1"/>
        <v>2773366.6411357438</v>
      </c>
    </row>
    <row r="6" spans="2:12" ht="15.5" x14ac:dyDescent="0.35">
      <c r="B6" s="384" t="s">
        <v>70</v>
      </c>
      <c r="C6" s="385">
        <f t="shared" ref="C6:L6" si="2">C7+C9+C12</f>
        <v>557995.93737190776</v>
      </c>
      <c r="D6" s="385">
        <f t="shared" si="2"/>
        <v>778234.38809381542</v>
      </c>
      <c r="E6" s="385">
        <f t="shared" si="2"/>
        <v>1000715.352165723</v>
      </c>
      <c r="F6" s="385">
        <f t="shared" si="2"/>
        <v>1224750.4962542974</v>
      </c>
      <c r="G6" s="385">
        <f t="shared" si="2"/>
        <v>1450290.6536928718</v>
      </c>
      <c r="H6" s="385">
        <f t="shared" si="2"/>
        <v>1675860.8244814463</v>
      </c>
      <c r="I6" s="385">
        <f t="shared" si="2"/>
        <v>1903673.5086200207</v>
      </c>
      <c r="J6" s="385">
        <f t="shared" si="2"/>
        <v>2133728.7061085952</v>
      </c>
      <c r="K6" s="385">
        <f t="shared" si="2"/>
        <v>2366026.4169471692</v>
      </c>
      <c r="L6" s="386">
        <f t="shared" si="2"/>
        <v>2686966.6411357438</v>
      </c>
    </row>
    <row r="7" spans="2:12" ht="15.5" x14ac:dyDescent="0.35">
      <c r="B7" s="387" t="s">
        <v>299</v>
      </c>
      <c r="C7" s="161">
        <f>C8</f>
        <v>-102935.26262809224</v>
      </c>
      <c r="D7" s="149">
        <f>D8</f>
        <v>117303.18809381542</v>
      </c>
      <c r="E7" s="149">
        <f t="shared" ref="E7:L7" si="3">E8</f>
        <v>339784.15216572309</v>
      </c>
      <c r="F7" s="149">
        <f t="shared" si="3"/>
        <v>563819.29625429749</v>
      </c>
      <c r="G7" s="149">
        <f t="shared" si="3"/>
        <v>789359.45369287184</v>
      </c>
      <c r="H7" s="149">
        <f t="shared" si="3"/>
        <v>1014929.6244814462</v>
      </c>
      <c r="I7" s="149">
        <f t="shared" si="3"/>
        <v>1242742.3086200207</v>
      </c>
      <c r="J7" s="149">
        <f t="shared" si="3"/>
        <v>1472797.5061085951</v>
      </c>
      <c r="K7" s="149">
        <f t="shared" si="3"/>
        <v>1705095.2169471695</v>
      </c>
      <c r="L7" s="150">
        <f t="shared" si="3"/>
        <v>2026035.4411357439</v>
      </c>
    </row>
    <row r="8" spans="2:12" ht="15.5" x14ac:dyDescent="0.35">
      <c r="B8" s="388" t="str">
        <f>IV0!B101</f>
        <v>CAJA</v>
      </c>
      <c r="C8" s="161">
        <f>FC!D30+EF!C19+FC!C16</f>
        <v>-102935.26262809224</v>
      </c>
      <c r="D8" s="161">
        <f>FC!E30+C8</f>
        <v>117303.18809381542</v>
      </c>
      <c r="E8" s="161">
        <f>FC!F30+D8+EF!C36</f>
        <v>339784.15216572309</v>
      </c>
      <c r="F8" s="161">
        <f>FC!G30+E8</f>
        <v>563819.29625429749</v>
      </c>
      <c r="G8" s="161">
        <f>FC!H30+F8</f>
        <v>789359.45369287184</v>
      </c>
      <c r="H8" s="161">
        <f>FC!I30+G8</f>
        <v>1014929.6244814462</v>
      </c>
      <c r="I8" s="161">
        <f>FC!J30+H8</f>
        <v>1242742.3086200207</v>
      </c>
      <c r="J8" s="161">
        <f>FC!K30+I8</f>
        <v>1472797.5061085951</v>
      </c>
      <c r="K8" s="161">
        <f>FC!L30+J8</f>
        <v>1705095.2169471695</v>
      </c>
      <c r="L8" s="284">
        <f>FC!M30+K8</f>
        <v>2026035.4411357439</v>
      </c>
    </row>
    <row r="9" spans="2:12" ht="15.5" x14ac:dyDescent="0.35">
      <c r="B9" s="389" t="s">
        <v>300</v>
      </c>
      <c r="C9" s="161">
        <f>C11+C10</f>
        <v>660931.19999999995</v>
      </c>
      <c r="D9" s="161">
        <f t="shared" ref="D9:L9" si="4">D11+D10</f>
        <v>660931.19999999995</v>
      </c>
      <c r="E9" s="161">
        <f t="shared" si="4"/>
        <v>660931.19999999995</v>
      </c>
      <c r="F9" s="161">
        <f t="shared" si="4"/>
        <v>660931.19999999995</v>
      </c>
      <c r="G9" s="161">
        <f t="shared" si="4"/>
        <v>660931.19999999995</v>
      </c>
      <c r="H9" s="161">
        <f t="shared" si="4"/>
        <v>660931.19999999995</v>
      </c>
      <c r="I9" s="161">
        <f t="shared" si="4"/>
        <v>660931.19999999995</v>
      </c>
      <c r="J9" s="161">
        <f t="shared" si="4"/>
        <v>660931.19999999995</v>
      </c>
      <c r="K9" s="161">
        <f t="shared" si="4"/>
        <v>660931.19999999995</v>
      </c>
      <c r="L9" s="284">
        <f t="shared" si="4"/>
        <v>660931.19999999995</v>
      </c>
    </row>
    <row r="10" spans="2:12" ht="15.5" x14ac:dyDescent="0.35">
      <c r="B10" s="821" t="s">
        <v>545</v>
      </c>
      <c r="C10" s="161">
        <f>IF(FC!D18=0,FC!D16+FC!D17+ABS(IGV!D4),0)</f>
        <v>42541.2</v>
      </c>
      <c r="D10" s="161">
        <f>FC!E16+FC!E17+ABS(IGV!E4)</f>
        <v>42541.2</v>
      </c>
      <c r="E10" s="161">
        <f>FC!F16+FC!F17+ABS(IGV!F4)</f>
        <v>42541.2</v>
      </c>
      <c r="F10" s="161">
        <f>FC!G16+FC!G17+ABS(IGV!G4)</f>
        <v>42541.2</v>
      </c>
      <c r="G10" s="161">
        <f>FC!H16+FC!H17+ABS(IGV!H4)</f>
        <v>42541.2</v>
      </c>
      <c r="H10" s="161">
        <f>FC!I16+FC!I17+ABS(IGV!I4)</f>
        <v>42541.2</v>
      </c>
      <c r="I10" s="161">
        <f>FC!J16+FC!J17+ABS(IGV!J4)</f>
        <v>42541.2</v>
      </c>
      <c r="J10" s="161">
        <f>FC!K16+FC!K17+ABS(IGV!K4)</f>
        <v>42541.2</v>
      </c>
      <c r="K10" s="161">
        <f>FC!L16+FC!L17+ABS(IGV!L4)</f>
        <v>42541.2</v>
      </c>
      <c r="L10" s="284">
        <f>FC!M16+FC!M17+ABS(IGV!M4)</f>
        <v>42541.2</v>
      </c>
    </row>
    <row r="11" spans="2:12" ht="15.5" x14ac:dyDescent="0.35">
      <c r="B11" s="390" t="str">
        <f>AS!B47</f>
        <v>CUENTAS POR COBRAR</v>
      </c>
      <c r="C11" s="161">
        <f>AS!C47</f>
        <v>618390</v>
      </c>
      <c r="D11" s="149">
        <f>AS!D47</f>
        <v>618390</v>
      </c>
      <c r="E11" s="149">
        <f>AS!E47</f>
        <v>618390</v>
      </c>
      <c r="F11" s="149">
        <f>AS!F47</f>
        <v>618390</v>
      </c>
      <c r="G11" s="149">
        <f>AS!G47</f>
        <v>618390</v>
      </c>
      <c r="H11" s="149">
        <f>AS!H47</f>
        <v>618390</v>
      </c>
      <c r="I11" s="149">
        <f>AS!I47</f>
        <v>618390</v>
      </c>
      <c r="J11" s="149">
        <f>AS!J47</f>
        <v>618390</v>
      </c>
      <c r="K11" s="149">
        <f>AS!K47</f>
        <v>618390</v>
      </c>
      <c r="L11" s="150">
        <f>AS!L47</f>
        <v>618390</v>
      </c>
    </row>
    <row r="12" spans="2:12" ht="15.5" x14ac:dyDescent="0.35">
      <c r="B12" s="389" t="s">
        <v>299</v>
      </c>
      <c r="C12" s="161">
        <f>C13</f>
        <v>0</v>
      </c>
      <c r="D12" s="161">
        <f t="shared" ref="D12:L12" si="5">D13</f>
        <v>0</v>
      </c>
      <c r="E12" s="161">
        <f t="shared" si="5"/>
        <v>0</v>
      </c>
      <c r="F12" s="161">
        <f t="shared" si="5"/>
        <v>0</v>
      </c>
      <c r="G12" s="161">
        <f t="shared" si="5"/>
        <v>0</v>
      </c>
      <c r="H12" s="161">
        <f t="shared" si="5"/>
        <v>0</v>
      </c>
      <c r="I12" s="161">
        <f t="shared" si="5"/>
        <v>0</v>
      </c>
      <c r="J12" s="161">
        <f t="shared" si="5"/>
        <v>0</v>
      </c>
      <c r="K12" s="161">
        <f t="shared" si="5"/>
        <v>0</v>
      </c>
      <c r="L12" s="284">
        <f t="shared" si="5"/>
        <v>0</v>
      </c>
    </row>
    <row r="13" spans="2:12" ht="15.5" x14ac:dyDescent="0.35">
      <c r="B13" s="390" t="str">
        <f>AS!B51</f>
        <v>INVENTARIO EN PRODUCTOS TERMINADO</v>
      </c>
      <c r="C13" s="149">
        <f>AS!C51</f>
        <v>0</v>
      </c>
      <c r="D13" s="149">
        <f>AS!D51</f>
        <v>0</v>
      </c>
      <c r="E13" s="149">
        <f>AS!E51</f>
        <v>0</v>
      </c>
      <c r="F13" s="149">
        <f>AS!F51</f>
        <v>0</v>
      </c>
      <c r="G13" s="149">
        <f>AS!G51</f>
        <v>0</v>
      </c>
      <c r="H13" s="149">
        <f>AS!H51</f>
        <v>0</v>
      </c>
      <c r="I13" s="149">
        <f>AS!I51</f>
        <v>0</v>
      </c>
      <c r="J13" s="149">
        <f>AS!J51</f>
        <v>0</v>
      </c>
      <c r="K13" s="149">
        <f>AS!K51</f>
        <v>0</v>
      </c>
      <c r="L13" s="150">
        <f>AS!L51</f>
        <v>0</v>
      </c>
    </row>
    <row r="14" spans="2:12" ht="15.5" x14ac:dyDescent="0.35">
      <c r="B14" s="391" t="str">
        <f>IV0!B2</f>
        <v>ACTIVOS FIJOS</v>
      </c>
      <c r="C14" s="375">
        <f>SUM(C15:C26)</f>
        <v>214462.66666666666</v>
      </c>
      <c r="D14" s="375">
        <f>SUM(D15:D26)</f>
        <v>192585.33333333334</v>
      </c>
      <c r="E14" s="375">
        <f t="shared" ref="E14:K14" si="6">SUM(E15:E26)</f>
        <v>170708</v>
      </c>
      <c r="F14" s="375">
        <f t="shared" si="6"/>
        <v>151164</v>
      </c>
      <c r="G14" s="375">
        <f t="shared" si="6"/>
        <v>134120</v>
      </c>
      <c r="H14" s="375">
        <f t="shared" si="6"/>
        <v>124576</v>
      </c>
      <c r="I14" s="375">
        <f t="shared" si="6"/>
        <v>115032</v>
      </c>
      <c r="J14" s="375">
        <f t="shared" si="6"/>
        <v>105488</v>
      </c>
      <c r="K14" s="375">
        <f t="shared" si="6"/>
        <v>95944</v>
      </c>
      <c r="L14" s="392">
        <f>SUM(L15:L26)</f>
        <v>86400</v>
      </c>
    </row>
    <row r="15" spans="2:12" ht="15.5" x14ac:dyDescent="0.35">
      <c r="B15" s="393" t="str">
        <f>IV0!B6</f>
        <v>TERRENOS</v>
      </c>
      <c r="C15" s="382">
        <f>EF!C9</f>
        <v>0</v>
      </c>
      <c r="D15" s="219">
        <f>C15</f>
        <v>0</v>
      </c>
      <c r="E15" s="219">
        <f>D15+EF!C26</f>
        <v>0</v>
      </c>
      <c r="F15" s="219">
        <f>E15</f>
        <v>0</v>
      </c>
      <c r="G15" s="219">
        <f t="shared" ref="G15:L15" si="7">F15</f>
        <v>0</v>
      </c>
      <c r="H15" s="219">
        <f t="shared" si="7"/>
        <v>0</v>
      </c>
      <c r="I15" s="219">
        <f t="shared" si="7"/>
        <v>0</v>
      </c>
      <c r="J15" s="219">
        <f t="shared" si="7"/>
        <v>0</v>
      </c>
      <c r="K15" s="219">
        <f t="shared" si="7"/>
        <v>0</v>
      </c>
      <c r="L15" s="394">
        <f t="shared" si="7"/>
        <v>0</v>
      </c>
    </row>
    <row r="16" spans="2:12" ht="15.5" x14ac:dyDescent="0.35">
      <c r="B16" s="393" t="str">
        <f>IV0!B10</f>
        <v>EDIFICIOS Y OBRAS CIVILES</v>
      </c>
      <c r="C16" s="382">
        <f>DEP!F6</f>
        <v>108000</v>
      </c>
      <c r="D16" s="219">
        <f>C16</f>
        <v>108000</v>
      </c>
      <c r="E16" s="219">
        <f>D16+EF!C27</f>
        <v>108000</v>
      </c>
      <c r="F16" s="219">
        <f t="shared" ref="F16:L16" si="8">E16</f>
        <v>108000</v>
      </c>
      <c r="G16" s="219">
        <f t="shared" si="8"/>
        <v>108000</v>
      </c>
      <c r="H16" s="219">
        <f t="shared" si="8"/>
        <v>108000</v>
      </c>
      <c r="I16" s="219">
        <f t="shared" si="8"/>
        <v>108000</v>
      </c>
      <c r="J16" s="219">
        <f t="shared" si="8"/>
        <v>108000</v>
      </c>
      <c r="K16" s="219">
        <f t="shared" si="8"/>
        <v>108000</v>
      </c>
      <c r="L16" s="394">
        <f t="shared" si="8"/>
        <v>108000</v>
      </c>
    </row>
    <row r="17" spans="2:12" ht="15.5" x14ac:dyDescent="0.35">
      <c r="B17" s="393" t="str">
        <f>IV0!B17</f>
        <v xml:space="preserve">EQUIPO Y MAQUINARIA </v>
      </c>
      <c r="C17" s="382">
        <f>DEP!F7</f>
        <v>72000</v>
      </c>
      <c r="D17" s="219">
        <f t="shared" ref="D17:L24" si="9">C17</f>
        <v>72000</v>
      </c>
      <c r="E17" s="219">
        <f>D17+EF!C28</f>
        <v>72000</v>
      </c>
      <c r="F17" s="219">
        <f t="shared" si="9"/>
        <v>72000</v>
      </c>
      <c r="G17" s="219">
        <f t="shared" si="9"/>
        <v>72000</v>
      </c>
      <c r="H17" s="219">
        <f t="shared" si="9"/>
        <v>72000</v>
      </c>
      <c r="I17" s="219">
        <f t="shared" si="9"/>
        <v>72000</v>
      </c>
      <c r="J17" s="219">
        <f t="shared" si="9"/>
        <v>72000</v>
      </c>
      <c r="K17" s="219">
        <f t="shared" si="9"/>
        <v>72000</v>
      </c>
      <c r="L17" s="394">
        <f t="shared" si="9"/>
        <v>72000</v>
      </c>
    </row>
    <row r="18" spans="2:12" ht="15.5" x14ac:dyDescent="0.35">
      <c r="B18" s="393" t="str">
        <f>IV0!B31</f>
        <v>MUEBLES Y ENSERES</v>
      </c>
      <c r="C18" s="382">
        <f>DEP!F8</f>
        <v>1840</v>
      </c>
      <c r="D18" s="219">
        <f t="shared" si="9"/>
        <v>1840</v>
      </c>
      <c r="E18" s="219">
        <f>D18+EF!C29</f>
        <v>1840</v>
      </c>
      <c r="F18" s="219">
        <f t="shared" si="9"/>
        <v>1840</v>
      </c>
      <c r="G18" s="219">
        <f t="shared" si="9"/>
        <v>1840</v>
      </c>
      <c r="H18" s="219">
        <f t="shared" si="9"/>
        <v>1840</v>
      </c>
      <c r="I18" s="219">
        <f t="shared" si="9"/>
        <v>1840</v>
      </c>
      <c r="J18" s="219">
        <f t="shared" si="9"/>
        <v>1840</v>
      </c>
      <c r="K18" s="219">
        <f t="shared" si="9"/>
        <v>1840</v>
      </c>
      <c r="L18" s="394">
        <f t="shared" si="9"/>
        <v>1840</v>
      </c>
    </row>
    <row r="19" spans="2:12" ht="15.5" x14ac:dyDescent="0.35">
      <c r="B19" s="393" t="str">
        <f>IV0!B43</f>
        <v>EQUIPOS DE COMPUTACIÓN</v>
      </c>
      <c r="C19" s="382">
        <f>DEP!F9</f>
        <v>7000</v>
      </c>
      <c r="D19" s="219">
        <f t="shared" si="9"/>
        <v>7000</v>
      </c>
      <c r="E19" s="219">
        <f>D19+EF!C30</f>
        <v>7000</v>
      </c>
      <c r="F19" s="219">
        <f t="shared" si="9"/>
        <v>7000</v>
      </c>
      <c r="G19" s="219">
        <f t="shared" si="9"/>
        <v>7000</v>
      </c>
      <c r="H19" s="219">
        <f t="shared" si="9"/>
        <v>7000</v>
      </c>
      <c r="I19" s="219">
        <f t="shared" si="9"/>
        <v>7000</v>
      </c>
      <c r="J19" s="219">
        <f t="shared" si="9"/>
        <v>7000</v>
      </c>
      <c r="K19" s="219">
        <f t="shared" si="9"/>
        <v>7000</v>
      </c>
      <c r="L19" s="394">
        <f t="shared" si="9"/>
        <v>7000</v>
      </c>
    </row>
    <row r="20" spans="2:12" ht="15.5" x14ac:dyDescent="0.35">
      <c r="B20" s="393" t="str">
        <f>IV0!B54</f>
        <v>VEHICULOS</v>
      </c>
      <c r="C20" s="382">
        <f>DEP!F10</f>
        <v>37500</v>
      </c>
      <c r="D20" s="219">
        <f t="shared" si="9"/>
        <v>37500</v>
      </c>
      <c r="E20" s="219">
        <f>D20+EF!C31</f>
        <v>37500</v>
      </c>
      <c r="F20" s="219">
        <f t="shared" si="9"/>
        <v>37500</v>
      </c>
      <c r="G20" s="219">
        <f t="shared" si="9"/>
        <v>37500</v>
      </c>
      <c r="H20" s="219">
        <f t="shared" si="9"/>
        <v>37500</v>
      </c>
      <c r="I20" s="219">
        <f t="shared" si="9"/>
        <v>37500</v>
      </c>
      <c r="J20" s="219">
        <f t="shared" si="9"/>
        <v>37500</v>
      </c>
      <c r="K20" s="219">
        <f t="shared" si="9"/>
        <v>37500</v>
      </c>
      <c r="L20" s="394">
        <f t="shared" si="9"/>
        <v>37500</v>
      </c>
    </row>
    <row r="21" spans="2:12" ht="15.5" x14ac:dyDescent="0.35">
      <c r="B21" s="393" t="str">
        <f>IV0!B65</f>
        <v>PLANTACIÓN AGRÍCOLA</v>
      </c>
      <c r="C21" s="382">
        <f>DEP!F11</f>
        <v>0</v>
      </c>
      <c r="D21" s="219">
        <f t="shared" si="9"/>
        <v>0</v>
      </c>
      <c r="E21" s="219">
        <f>D21+EF!C32</f>
        <v>0</v>
      </c>
      <c r="F21" s="219">
        <f t="shared" si="9"/>
        <v>0</v>
      </c>
      <c r="G21" s="219">
        <f t="shared" si="9"/>
        <v>0</v>
      </c>
      <c r="H21" s="219">
        <f t="shared" si="9"/>
        <v>0</v>
      </c>
      <c r="I21" s="219">
        <f t="shared" si="9"/>
        <v>0</v>
      </c>
      <c r="J21" s="219">
        <f t="shared" si="9"/>
        <v>0</v>
      </c>
      <c r="K21" s="219">
        <f t="shared" si="9"/>
        <v>0</v>
      </c>
      <c r="L21" s="394">
        <f t="shared" si="9"/>
        <v>0</v>
      </c>
    </row>
    <row r="22" spans="2:12" ht="15.5" x14ac:dyDescent="0.35">
      <c r="B22" s="393" t="str">
        <f>IV0!B73</f>
        <v>ANIMALES REPRODUCTORES</v>
      </c>
      <c r="C22" s="382">
        <f>DEP!F12</f>
        <v>0</v>
      </c>
      <c r="D22" s="219">
        <f t="shared" si="9"/>
        <v>0</v>
      </c>
      <c r="E22" s="219">
        <f>D22+EF!C33</f>
        <v>0</v>
      </c>
      <c r="F22" s="219">
        <f t="shared" si="9"/>
        <v>0</v>
      </c>
      <c r="G22" s="219">
        <f t="shared" si="9"/>
        <v>0</v>
      </c>
      <c r="H22" s="219">
        <f t="shared" si="9"/>
        <v>0</v>
      </c>
      <c r="I22" s="219">
        <f t="shared" si="9"/>
        <v>0</v>
      </c>
      <c r="J22" s="219">
        <f t="shared" si="9"/>
        <v>0</v>
      </c>
      <c r="K22" s="219">
        <f>J22</f>
        <v>0</v>
      </c>
      <c r="L22" s="394">
        <f t="shared" si="9"/>
        <v>0</v>
      </c>
    </row>
    <row r="23" spans="2:12" ht="15.5" x14ac:dyDescent="0.35">
      <c r="B23" s="393" t="str">
        <f>IV0!B81</f>
        <v>OTROS ACTIVOS</v>
      </c>
      <c r="C23" s="382">
        <f>EF!C17</f>
        <v>0</v>
      </c>
      <c r="D23" s="219">
        <f t="shared" si="9"/>
        <v>0</v>
      </c>
      <c r="E23" s="219">
        <f>D23+EF!C34</f>
        <v>0</v>
      </c>
      <c r="F23" s="219">
        <f t="shared" si="9"/>
        <v>0</v>
      </c>
      <c r="G23" s="219">
        <f t="shared" si="9"/>
        <v>0</v>
      </c>
      <c r="H23" s="219">
        <f t="shared" si="9"/>
        <v>0</v>
      </c>
      <c r="I23" s="219">
        <f t="shared" si="9"/>
        <v>0</v>
      </c>
      <c r="J23" s="219">
        <f t="shared" si="9"/>
        <v>0</v>
      </c>
      <c r="K23" s="219">
        <f t="shared" si="9"/>
        <v>0</v>
      </c>
      <c r="L23" s="394">
        <f t="shared" si="9"/>
        <v>0</v>
      </c>
    </row>
    <row r="24" spans="2:12" ht="15.5" x14ac:dyDescent="0.35">
      <c r="B24" s="393" t="str">
        <f>IV0!B89</f>
        <v>ACTIVOS DIFERIDOS</v>
      </c>
      <c r="C24" s="382">
        <f>EF!C18</f>
        <v>10000</v>
      </c>
      <c r="D24" s="219">
        <f t="shared" si="9"/>
        <v>10000</v>
      </c>
      <c r="E24" s="219">
        <f>D24+EF!C35</f>
        <v>10000</v>
      </c>
      <c r="F24" s="219">
        <f t="shared" si="9"/>
        <v>10000</v>
      </c>
      <c r="G24" s="219">
        <f t="shared" si="9"/>
        <v>10000</v>
      </c>
      <c r="H24" s="219">
        <f t="shared" si="9"/>
        <v>10000</v>
      </c>
      <c r="I24" s="219">
        <f t="shared" si="9"/>
        <v>10000</v>
      </c>
      <c r="J24" s="219">
        <f t="shared" si="9"/>
        <v>10000</v>
      </c>
      <c r="K24" s="219">
        <f t="shared" si="9"/>
        <v>10000</v>
      </c>
      <c r="L24" s="394">
        <f t="shared" si="9"/>
        <v>10000</v>
      </c>
    </row>
    <row r="25" spans="2:12" ht="15.5" x14ac:dyDescent="0.35">
      <c r="B25" s="393" t="s">
        <v>307</v>
      </c>
      <c r="C25" s="382">
        <f>-EERR!C25</f>
        <v>-19377.333333333332</v>
      </c>
      <c r="D25" s="219">
        <f>-DEP!H13+C25</f>
        <v>-38754.666666666664</v>
      </c>
      <c r="E25" s="219">
        <f>-DEP!I13+D25</f>
        <v>-58132</v>
      </c>
      <c r="F25" s="219">
        <f>-DEP!J13+E25-DEP!G36</f>
        <v>-75176</v>
      </c>
      <c r="G25" s="219">
        <f>-DEP!K13+F25-DEP!H36</f>
        <v>-92220</v>
      </c>
      <c r="H25" s="219">
        <f>-DEP!L13+G25-DEP!I36</f>
        <v>-101764</v>
      </c>
      <c r="I25" s="219">
        <f>-DEP!M13+H25-DEP!J36</f>
        <v>-111308</v>
      </c>
      <c r="J25" s="219">
        <f>-DEP!N13+I25-DEP!K36</f>
        <v>-120852</v>
      </c>
      <c r="K25" s="219">
        <f>-DEP!O13+J25-DEP!L36</f>
        <v>-130396</v>
      </c>
      <c r="L25" s="394">
        <f>-DEP!P13+K25-DEP!M36</f>
        <v>-139940</v>
      </c>
    </row>
    <row r="26" spans="2:12" ht="16" thickBot="1" x14ac:dyDescent="0.4">
      <c r="B26" s="395" t="s">
        <v>308</v>
      </c>
      <c r="C26" s="396">
        <f>-EERR!C33</f>
        <v>-2500</v>
      </c>
      <c r="D26" s="782">
        <f>-DEP!H21+C26</f>
        <v>-5000</v>
      </c>
      <c r="E26" s="782">
        <f>-DEP!I21+D26</f>
        <v>-7500</v>
      </c>
      <c r="F26" s="782">
        <f>-DEP!J21+E26-DEP!G44</f>
        <v>-10000</v>
      </c>
      <c r="G26" s="782">
        <f>-DEP!K21+F26-DEP!H44</f>
        <v>-10000</v>
      </c>
      <c r="H26" s="782">
        <f>-DEP!L21+G26-DEP!I44</f>
        <v>-10000</v>
      </c>
      <c r="I26" s="782">
        <f>-DEP!M21+H26-DEP!J44</f>
        <v>-10000</v>
      </c>
      <c r="J26" s="782">
        <f>-DEP!N21+I26-DEP!K44</f>
        <v>-10000</v>
      </c>
      <c r="K26" s="782">
        <f>-DEP!O21+J26-DEP!L44</f>
        <v>-10000</v>
      </c>
      <c r="L26" s="783">
        <f>-DEP!P21+K26-DEP!M44</f>
        <v>-10000</v>
      </c>
    </row>
    <row r="27" spans="2:12" ht="15.5" x14ac:dyDescent="0.35">
      <c r="B27" s="368"/>
      <c r="C27" s="34"/>
    </row>
    <row r="28" spans="2:12" ht="18" thickBot="1" x14ac:dyDescent="0.4">
      <c r="B28" s="824" t="s">
        <v>317</v>
      </c>
      <c r="C28" s="825">
        <f t="shared" ref="C28:L28" si="10">C29+C33</f>
        <v>772458.60403857438</v>
      </c>
      <c r="D28" s="825">
        <f t="shared" si="10"/>
        <v>970819.72142714867</v>
      </c>
      <c r="E28" s="825">
        <f t="shared" si="10"/>
        <v>1171423.3521657232</v>
      </c>
      <c r="F28" s="825">
        <f t="shared" si="10"/>
        <v>1375914.4962542974</v>
      </c>
      <c r="G28" s="825">
        <f t="shared" si="10"/>
        <v>1584410.6536928718</v>
      </c>
      <c r="H28" s="825">
        <f t="shared" si="10"/>
        <v>1800436.8244814463</v>
      </c>
      <c r="I28" s="825">
        <f t="shared" si="10"/>
        <v>2018705.5086200207</v>
      </c>
      <c r="J28" s="825">
        <f t="shared" si="10"/>
        <v>2239216.7061085952</v>
      </c>
      <c r="K28" s="825">
        <f t="shared" si="10"/>
        <v>2461970.4169471692</v>
      </c>
      <c r="L28" s="825">
        <f t="shared" si="10"/>
        <v>2686966.6411357438</v>
      </c>
    </row>
    <row r="29" spans="2:12" ht="15.5" x14ac:dyDescent="0.35">
      <c r="B29" s="384" t="s">
        <v>550</v>
      </c>
      <c r="C29" s="397">
        <f>C31+C32+C30</f>
        <v>260253</v>
      </c>
      <c r="D29" s="397">
        <f t="shared" ref="D29:K29" si="11">D31+D32+D30</f>
        <v>231336</v>
      </c>
      <c r="E29" s="397">
        <f t="shared" si="11"/>
        <v>202419</v>
      </c>
      <c r="F29" s="397">
        <f t="shared" si="11"/>
        <v>173502</v>
      </c>
      <c r="G29" s="397">
        <f t="shared" si="11"/>
        <v>144585</v>
      </c>
      <c r="H29" s="397">
        <f t="shared" si="11"/>
        <v>115668</v>
      </c>
      <c r="I29" s="397">
        <f t="shared" si="11"/>
        <v>86751</v>
      </c>
      <c r="J29" s="397">
        <f t="shared" si="11"/>
        <v>57834</v>
      </c>
      <c r="K29" s="397">
        <f t="shared" si="11"/>
        <v>28917</v>
      </c>
      <c r="L29" s="397">
        <f>L31+L32+L30</f>
        <v>0</v>
      </c>
    </row>
    <row r="30" spans="2:12" ht="15.5" x14ac:dyDescent="0.35">
      <c r="B30" s="822" t="s">
        <v>540</v>
      </c>
      <c r="C30" s="823">
        <f>IF(FC!D14&lt;0,FC!D13+FC!D14,0*1)</f>
        <v>0</v>
      </c>
      <c r="D30" s="823">
        <f>IF(FC!E14&lt;0,FC!E13+FC!E14,0*1)</f>
        <v>0</v>
      </c>
      <c r="E30" s="823">
        <f>IF(FC!F14&lt;0,FC!F13+FC!F14,0*1)</f>
        <v>0</v>
      </c>
      <c r="F30" s="823">
        <f>IF(FC!G14&lt;0,FC!G13+FC!G14,0*1)</f>
        <v>0</v>
      </c>
      <c r="G30" s="823">
        <f>IF(FC!H14&lt;0,FC!H13+FC!H14,0*1)</f>
        <v>0</v>
      </c>
      <c r="H30" s="823">
        <f>IF(FC!I14&lt;0,FC!I13+FC!I14,0*1)</f>
        <v>0</v>
      </c>
      <c r="I30" s="823">
        <f>IF(FC!J14&lt;0,FC!J13+FC!J14,0*1)</f>
        <v>0</v>
      </c>
      <c r="J30" s="823">
        <f>IF(FC!K14&lt;0,FC!K13+FC!K14,0*1)</f>
        <v>0</v>
      </c>
      <c r="K30" s="823">
        <f>IF(FC!L14&lt;0,FC!L13+FC!L14,0*1)</f>
        <v>0</v>
      </c>
      <c r="L30" s="823">
        <f>IF(FC!M14&lt;0,FC!M13+FC!M14,0*1)</f>
        <v>0</v>
      </c>
    </row>
    <row r="31" spans="2:12" ht="15.5" x14ac:dyDescent="0.35">
      <c r="B31" s="207" t="s">
        <v>210</v>
      </c>
      <c r="C31" s="383">
        <f>'SD(0)'!F12</f>
        <v>260253</v>
      </c>
      <c r="D31" s="218">
        <f>'SD(0)'!F13</f>
        <v>231336</v>
      </c>
      <c r="E31" s="218">
        <f>'SD(0)'!F14</f>
        <v>202419</v>
      </c>
      <c r="F31" s="218">
        <f>'SD(0)'!F15</f>
        <v>173502</v>
      </c>
      <c r="G31" s="218">
        <f>'SD(0)'!F16</f>
        <v>144585</v>
      </c>
      <c r="H31" s="218">
        <f>'SD(0)'!F17</f>
        <v>115668</v>
      </c>
      <c r="I31" s="218">
        <f>'SD(0)'!F18</f>
        <v>86751</v>
      </c>
      <c r="J31" s="218">
        <f>'SD(0)'!F19</f>
        <v>57834</v>
      </c>
      <c r="K31" s="218">
        <f>'SD(0)'!F20</f>
        <v>28917</v>
      </c>
      <c r="L31" s="358">
        <f>'SD(0)'!F21</f>
        <v>0</v>
      </c>
    </row>
    <row r="32" spans="2:12" ht="15.5" x14ac:dyDescent="0.35">
      <c r="B32" s="207" t="s">
        <v>210</v>
      </c>
      <c r="C32" s="383"/>
      <c r="D32" s="218"/>
      <c r="E32" s="218">
        <f>'SD(2)'!F11</f>
        <v>0</v>
      </c>
      <c r="F32" s="218">
        <f>'SD(2)'!F12</f>
        <v>0</v>
      </c>
      <c r="G32" s="218">
        <f>'SD(2)'!F13</f>
        <v>0</v>
      </c>
      <c r="H32" s="218">
        <f>'SD(2)'!F14</f>
        <v>0</v>
      </c>
      <c r="I32" s="218">
        <f>'SD(2)'!F15</f>
        <v>0</v>
      </c>
      <c r="J32" s="218">
        <f>'SD(2)'!F16</f>
        <v>0</v>
      </c>
      <c r="K32" s="218">
        <f>'SD(2)'!F17</f>
        <v>0</v>
      </c>
      <c r="L32" s="358">
        <f>'SD(2)'!F18</f>
        <v>0</v>
      </c>
    </row>
    <row r="33" spans="2:12" ht="15.5" x14ac:dyDescent="0.35">
      <c r="B33" s="398" t="s">
        <v>211</v>
      </c>
      <c r="C33" s="376">
        <f>C34+C35</f>
        <v>512205.60403857438</v>
      </c>
      <c r="D33" s="376">
        <f>D34+D35+D36</f>
        <v>739483.72142714867</v>
      </c>
      <c r="E33" s="376">
        <f t="shared" ref="E33:L33" si="12">E34+E35+E36</f>
        <v>969004.3521657231</v>
      </c>
      <c r="F33" s="376">
        <f t="shared" si="12"/>
        <v>1202412.4962542974</v>
      </c>
      <c r="G33" s="376">
        <f t="shared" si="12"/>
        <v>1439825.6536928718</v>
      </c>
      <c r="H33" s="376">
        <f t="shared" si="12"/>
        <v>1684768.8244814463</v>
      </c>
      <c r="I33" s="376">
        <f t="shared" si="12"/>
        <v>1931954.5086200207</v>
      </c>
      <c r="J33" s="376">
        <f t="shared" si="12"/>
        <v>2181382.7061085952</v>
      </c>
      <c r="K33" s="376">
        <f t="shared" si="12"/>
        <v>2433053.4169471692</v>
      </c>
      <c r="L33" s="399">
        <f t="shared" si="12"/>
        <v>2686966.6411357438</v>
      </c>
    </row>
    <row r="34" spans="2:12" ht="15.5" x14ac:dyDescent="0.35">
      <c r="B34" s="207" t="s">
        <v>243</v>
      </c>
      <c r="C34" s="383">
        <f>EF!F20</f>
        <v>287170</v>
      </c>
      <c r="D34" s="218">
        <f>C34</f>
        <v>287170</v>
      </c>
      <c r="E34" s="218">
        <f t="shared" ref="E34:L34" si="13">D34</f>
        <v>287170</v>
      </c>
      <c r="F34" s="218">
        <f t="shared" si="13"/>
        <v>287170</v>
      </c>
      <c r="G34" s="218">
        <f t="shared" si="13"/>
        <v>287170</v>
      </c>
      <c r="H34" s="218">
        <f t="shared" si="13"/>
        <v>287170</v>
      </c>
      <c r="I34" s="218">
        <f t="shared" si="13"/>
        <v>287170</v>
      </c>
      <c r="J34" s="218">
        <f t="shared" si="13"/>
        <v>287170</v>
      </c>
      <c r="K34" s="218">
        <f t="shared" si="13"/>
        <v>287170</v>
      </c>
      <c r="L34" s="358">
        <f t="shared" si="13"/>
        <v>287170</v>
      </c>
    </row>
    <row r="35" spans="2:12" ht="15.5" x14ac:dyDescent="0.35">
      <c r="B35" s="207" t="s">
        <v>212</v>
      </c>
      <c r="C35" s="383">
        <f>EERR!C48</f>
        <v>225035.60403857438</v>
      </c>
      <c r="D35" s="218">
        <f>EERR!D48</f>
        <v>227278.11738857435</v>
      </c>
      <c r="E35" s="218">
        <f>EERR!E48</f>
        <v>229520.63073857437</v>
      </c>
      <c r="F35" s="218">
        <f>EERR!F48</f>
        <v>233408.14408857434</v>
      </c>
      <c r="G35" s="218">
        <f>EERR!G48</f>
        <v>237413.15743857439</v>
      </c>
      <c r="H35" s="218">
        <f>EERR!H48</f>
        <v>244943.17078857438</v>
      </c>
      <c r="I35" s="218">
        <f>EERR!I48</f>
        <v>247185.68413857438</v>
      </c>
      <c r="J35" s="218">
        <f>EERR!J48</f>
        <v>249428.19748857437</v>
      </c>
      <c r="K35" s="218">
        <f>EERR!K48</f>
        <v>251670.71083857436</v>
      </c>
      <c r="L35" s="358">
        <f>EERR!L48</f>
        <v>253913.22418857436</v>
      </c>
    </row>
    <row r="36" spans="2:12" ht="16" thickBot="1" x14ac:dyDescent="0.4">
      <c r="B36" s="400" t="s">
        <v>318</v>
      </c>
      <c r="C36" s="401">
        <v>0</v>
      </c>
      <c r="D36" s="361">
        <f>C35+C36</f>
        <v>225035.60403857438</v>
      </c>
      <c r="E36" s="361">
        <f t="shared" ref="E36:L36" si="14">D35+D36</f>
        <v>452313.72142714873</v>
      </c>
      <c r="F36" s="361">
        <f t="shared" si="14"/>
        <v>681834.3521657231</v>
      </c>
      <c r="G36" s="361">
        <f t="shared" si="14"/>
        <v>915242.49625429744</v>
      </c>
      <c r="H36" s="361">
        <f t="shared" si="14"/>
        <v>1152655.6536928718</v>
      </c>
      <c r="I36" s="361">
        <f t="shared" si="14"/>
        <v>1397598.8244814463</v>
      </c>
      <c r="J36" s="361">
        <f t="shared" si="14"/>
        <v>1644784.5086200207</v>
      </c>
      <c r="K36" s="361">
        <f t="shared" si="14"/>
        <v>1894212.706108595</v>
      </c>
      <c r="L36" s="289">
        <f t="shared" si="14"/>
        <v>2145883.4169471692</v>
      </c>
    </row>
    <row r="37" spans="2:12" x14ac:dyDescent="0.35">
      <c r="D37" s="282"/>
    </row>
    <row r="38" spans="2:12" x14ac:dyDescent="0.35">
      <c r="E38" s="282"/>
    </row>
    <row r="39" spans="2:12" x14ac:dyDescent="0.35">
      <c r="C39" s="409">
        <f t="shared" ref="C39:K39" si="15">C28-C5</f>
        <v>0</v>
      </c>
      <c r="D39" s="409">
        <f t="shared" si="15"/>
        <v>0</v>
      </c>
      <c r="E39" s="409">
        <f t="shared" si="15"/>
        <v>0</v>
      </c>
      <c r="F39" s="409">
        <f t="shared" si="15"/>
        <v>0</v>
      </c>
      <c r="G39" s="409">
        <f t="shared" si="15"/>
        <v>0</v>
      </c>
      <c r="H39" s="409">
        <f t="shared" si="15"/>
        <v>0</v>
      </c>
      <c r="I39" s="409">
        <f t="shared" si="15"/>
        <v>0</v>
      </c>
      <c r="J39" s="369">
        <f t="shared" si="15"/>
        <v>0</v>
      </c>
      <c r="K39" s="369">
        <f t="shared" si="15"/>
        <v>0</v>
      </c>
      <c r="L39" s="369"/>
    </row>
    <row r="40" spans="2:12" x14ac:dyDescent="0.35">
      <c r="C40" s="39"/>
      <c r="D40" s="39"/>
      <c r="E40" s="39"/>
      <c r="F40" s="39"/>
      <c r="G40" s="39"/>
      <c r="H40" s="39"/>
      <c r="I40" s="39"/>
    </row>
    <row r="43" spans="2:12" x14ac:dyDescent="0.35">
      <c r="D43" s="269"/>
    </row>
    <row r="44" spans="2:12" x14ac:dyDescent="0.35">
      <c r="D44" s="282"/>
      <c r="E44" s="282"/>
      <c r="F44" s="282"/>
      <c r="G44" s="282"/>
      <c r="H44" s="282"/>
      <c r="I44" s="282"/>
      <c r="J44" s="282"/>
      <c r="K44" s="282"/>
      <c r="L44" s="282"/>
    </row>
    <row r="45" spans="2:12" x14ac:dyDescent="0.35">
      <c r="D45" s="282"/>
    </row>
    <row r="64" spans="4:13" x14ac:dyDescent="0.35">
      <c r="D64" s="282"/>
      <c r="E64" s="282"/>
      <c r="F64" s="282"/>
      <c r="G64" s="282"/>
      <c r="H64" s="282"/>
      <c r="I64" s="282"/>
      <c r="J64" s="282"/>
      <c r="K64" s="282"/>
      <c r="L64" s="282"/>
      <c r="M64" s="282"/>
    </row>
    <row r="65" spans="4:13" x14ac:dyDescent="0.35">
      <c r="D65" s="282"/>
      <c r="E65" s="282"/>
      <c r="F65" s="282"/>
      <c r="G65" s="282"/>
      <c r="H65" s="282"/>
      <c r="I65" s="282"/>
      <c r="J65" s="282"/>
      <c r="K65" s="282"/>
      <c r="L65" s="282"/>
      <c r="M65" s="282"/>
    </row>
  </sheetData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6CC9A-81C7-432D-BF23-2183D5790A9E}">
  <sheetPr codeName="Hoja22">
    <tabColor theme="5" tint="0.79998168889431442"/>
  </sheetPr>
  <dimension ref="B2:N15"/>
  <sheetViews>
    <sheetView showGridLines="0" zoomScale="62" workbookViewId="0">
      <selection activeCell="B25" sqref="B25"/>
    </sheetView>
  </sheetViews>
  <sheetFormatPr baseColWidth="10" defaultRowHeight="14.5" x14ac:dyDescent="0.35"/>
  <cols>
    <col min="2" max="2" width="50.54296875" customWidth="1"/>
    <col min="3" max="3" width="11.08984375" bestFit="1" customWidth="1"/>
    <col min="4" max="4" width="15.81640625" customWidth="1"/>
    <col min="5" max="13" width="16.81640625" customWidth="1"/>
    <col min="14" max="14" width="14.1796875" bestFit="1" customWidth="1"/>
  </cols>
  <sheetData>
    <row r="2" spans="2:14" ht="15" thickBot="1" x14ac:dyDescent="0.4"/>
    <row r="3" spans="2:14" ht="20.5" thickBot="1" x14ac:dyDescent="0.45">
      <c r="B3" s="348" t="s">
        <v>205</v>
      </c>
      <c r="C3" s="349">
        <f>FC!C4</f>
        <v>0</v>
      </c>
      <c r="D3" s="349">
        <f>FC!D4</f>
        <v>2025</v>
      </c>
      <c r="E3" s="349">
        <f>FC!E4</f>
        <v>2026</v>
      </c>
      <c r="F3" s="349">
        <f>FC!F4</f>
        <v>2027</v>
      </c>
      <c r="G3" s="349">
        <f>FC!G4</f>
        <v>2028</v>
      </c>
      <c r="H3" s="349">
        <f>FC!H4</f>
        <v>2029</v>
      </c>
      <c r="I3" s="349">
        <f>FC!I4</f>
        <v>2030</v>
      </c>
      <c r="J3" s="349">
        <f>FC!J4</f>
        <v>2031</v>
      </c>
      <c r="K3" s="349">
        <f>FC!K4</f>
        <v>2032</v>
      </c>
      <c r="L3" s="349">
        <f>FC!L4</f>
        <v>2033</v>
      </c>
      <c r="M3" s="349">
        <f>FC!M4</f>
        <v>2034</v>
      </c>
    </row>
    <row r="4" spans="2:14" x14ac:dyDescent="0.35">
      <c r="B4" s="354" t="str">
        <f>EERR!B36</f>
        <v>EBIT</v>
      </c>
      <c r="C4" s="355"/>
      <c r="D4" s="219">
        <f>EERR!C36</f>
        <v>351008.13835258776</v>
      </c>
      <c r="E4" s="219">
        <f>EERR!D36</f>
        <v>351008.13835258776</v>
      </c>
      <c r="F4" s="219">
        <f>EERR!E36</f>
        <v>351008.13835258776</v>
      </c>
      <c r="G4" s="219">
        <f>EERR!F36</f>
        <v>353341.47168592107</v>
      </c>
      <c r="H4" s="219">
        <f>EERR!G36</f>
        <v>355841.47168592107</v>
      </c>
      <c r="I4" s="219">
        <f>EERR!H36</f>
        <v>363341.47168592107</v>
      </c>
      <c r="J4" s="219">
        <f>EERR!I36</f>
        <v>363341.47168592107</v>
      </c>
      <c r="K4" s="219">
        <f>EERR!J36</f>
        <v>363341.47168592107</v>
      </c>
      <c r="L4" s="219">
        <f>EERR!K36</f>
        <v>363341.47168592107</v>
      </c>
      <c r="M4" s="219">
        <f>EERR!L36</f>
        <v>363341.47168592107</v>
      </c>
    </row>
    <row r="5" spans="2:14" x14ac:dyDescent="0.35">
      <c r="B5" s="451" t="s">
        <v>554</v>
      </c>
      <c r="C5" s="452"/>
      <c r="D5" s="219">
        <f>D4*(1-DP!$C$18)</f>
        <v>247460.73753857441</v>
      </c>
      <c r="E5" s="219">
        <f>E4*(1-DP!$C$18)</f>
        <v>247460.73753857441</v>
      </c>
      <c r="F5" s="219">
        <f>F4*(1-DP!$C$18)</f>
        <v>247460.73753857441</v>
      </c>
      <c r="G5" s="219">
        <f>G4*(1-DP!$C$18)</f>
        <v>249105.73753857438</v>
      </c>
      <c r="H5" s="219">
        <f>H4*(1-DP!$C$18)</f>
        <v>250868.23753857438</v>
      </c>
      <c r="I5" s="219">
        <f>I4*(1-DP!$C$18)</f>
        <v>256155.73753857438</v>
      </c>
      <c r="J5" s="219">
        <f>J4*(1-DP!$C$18)</f>
        <v>256155.73753857438</v>
      </c>
      <c r="K5" s="219">
        <f>K4*(1-DP!$C$18)</f>
        <v>256155.73753857438</v>
      </c>
      <c r="L5" s="219">
        <f>L4*(1-DP!$C$18)</f>
        <v>256155.73753857438</v>
      </c>
      <c r="M5" s="219">
        <f>M4*(1-DP!$C$18)</f>
        <v>256155.73753857438</v>
      </c>
    </row>
    <row r="6" spans="2:14" x14ac:dyDescent="0.35">
      <c r="B6" s="451" t="str">
        <f>EERR!B25</f>
        <v>DEPRECIACIÓN DE ACTIVOS FIJOS</v>
      </c>
      <c r="C6" s="452"/>
      <c r="D6" s="219">
        <f>EERR!C25</f>
        <v>19377.333333333332</v>
      </c>
      <c r="E6" s="219">
        <f>EERR!D25</f>
        <v>19377.333333333332</v>
      </c>
      <c r="F6" s="219">
        <f>EERR!E25</f>
        <v>19377.333333333332</v>
      </c>
      <c r="G6" s="219">
        <f>EERR!F25</f>
        <v>17044</v>
      </c>
      <c r="H6" s="219">
        <f>EERR!G25</f>
        <v>17044</v>
      </c>
      <c r="I6" s="219">
        <f>EERR!H25</f>
        <v>9544</v>
      </c>
      <c r="J6" s="219">
        <f>EERR!I25</f>
        <v>9544</v>
      </c>
      <c r="K6" s="219">
        <f>EERR!J25</f>
        <v>9544</v>
      </c>
      <c r="L6" s="219">
        <f>EERR!K25</f>
        <v>9544</v>
      </c>
      <c r="M6" s="219">
        <f>EERR!L25</f>
        <v>9544</v>
      </c>
    </row>
    <row r="7" spans="2:14" x14ac:dyDescent="0.35">
      <c r="B7" s="451" t="str">
        <f>EERR!B33</f>
        <v>AMORTIZACIÓN DE ACTIVOS FIJOS</v>
      </c>
      <c r="C7" s="452"/>
      <c r="D7" s="219">
        <f>EERR!C33</f>
        <v>2500</v>
      </c>
      <c r="E7" s="219">
        <f>EERR!D33</f>
        <v>2500</v>
      </c>
      <c r="F7" s="219">
        <f>EERR!E33</f>
        <v>2500</v>
      </c>
      <c r="G7" s="219">
        <f>EERR!F33</f>
        <v>2500</v>
      </c>
      <c r="H7" s="219">
        <f>EERR!G33</f>
        <v>0</v>
      </c>
      <c r="I7" s="219">
        <f>EERR!H33</f>
        <v>0</v>
      </c>
      <c r="J7" s="219">
        <f>EERR!I33</f>
        <v>0</v>
      </c>
      <c r="K7" s="219">
        <f>EERR!J33</f>
        <v>0</v>
      </c>
      <c r="L7" s="219">
        <f>EERR!K33</f>
        <v>0</v>
      </c>
      <c r="M7" s="219">
        <f>EERR!L33</f>
        <v>0</v>
      </c>
    </row>
    <row r="8" spans="2:14" x14ac:dyDescent="0.35">
      <c r="B8" s="451" t="s">
        <v>551</v>
      </c>
      <c r="C8" s="452"/>
      <c r="D8" s="219">
        <f>BG!C6</f>
        <v>557995.93737190776</v>
      </c>
      <c r="E8" s="219">
        <f>BG!D6</f>
        <v>778234.38809381542</v>
      </c>
      <c r="F8" s="219">
        <f>BG!E6</f>
        <v>1000715.352165723</v>
      </c>
      <c r="G8" s="219">
        <f>BG!F6</f>
        <v>1224750.4962542974</v>
      </c>
      <c r="H8" s="219">
        <f>BG!G6</f>
        <v>1450290.6536928718</v>
      </c>
      <c r="I8" s="219">
        <f>BG!H6</f>
        <v>1675860.8244814463</v>
      </c>
      <c r="J8" s="219">
        <f>BG!I6</f>
        <v>1903673.5086200207</v>
      </c>
      <c r="K8" s="219">
        <f>BG!J6</f>
        <v>2133728.7061085952</v>
      </c>
      <c r="L8" s="219">
        <f>BG!K6</f>
        <v>2366026.4169471692</v>
      </c>
      <c r="M8" s="219">
        <f>BG!L6</f>
        <v>2686966.6411357438</v>
      </c>
      <c r="N8" s="282"/>
    </row>
    <row r="9" spans="2:14" x14ac:dyDescent="0.35">
      <c r="B9" s="451" t="s">
        <v>360</v>
      </c>
      <c r="C9" s="452"/>
      <c r="D9" s="219">
        <f>E8-D8</f>
        <v>220238.45072190766</v>
      </c>
      <c r="E9" s="219">
        <f t="shared" ref="E9:K9" si="0">F8-E8</f>
        <v>222480.96407190757</v>
      </c>
      <c r="F9" s="219">
        <f t="shared" si="0"/>
        <v>224035.14408857445</v>
      </c>
      <c r="G9" s="219">
        <f t="shared" si="0"/>
        <v>225540.15743857436</v>
      </c>
      <c r="H9" s="219">
        <f t="shared" si="0"/>
        <v>225570.1707885745</v>
      </c>
      <c r="I9" s="219">
        <f t="shared" si="0"/>
        <v>227812.6841385744</v>
      </c>
      <c r="J9" s="219">
        <f t="shared" si="0"/>
        <v>230055.19748857454</v>
      </c>
      <c r="K9" s="219">
        <f t="shared" si="0"/>
        <v>232297.71083857398</v>
      </c>
      <c r="L9" s="219">
        <f>M8-L8</f>
        <v>320940.22418857459</v>
      </c>
      <c r="M9" s="219">
        <f>L9</f>
        <v>320940.22418857459</v>
      </c>
    </row>
    <row r="10" spans="2:14" x14ac:dyDescent="0.35">
      <c r="B10" s="451" t="s">
        <v>552</v>
      </c>
      <c r="C10" s="352"/>
      <c r="D10" s="219">
        <f>SUM(BG!C15:C24)-SUM(BG!D15:D24)</f>
        <v>0</v>
      </c>
      <c r="E10" s="219">
        <f>SUM(BG!D15:D24)-SUM(BG!E15:E24)</f>
        <v>0</v>
      </c>
      <c r="F10" s="219">
        <f>SUM(BG!E15:E24)-SUM(BG!F15:F24)</f>
        <v>0</v>
      </c>
      <c r="G10" s="219">
        <f>SUM(BG!F15:F24)-SUM(BG!G15:G24)</f>
        <v>0</v>
      </c>
      <c r="H10" s="219">
        <f>SUM(BG!G15:G24)-SUM(BG!H15:H24)</f>
        <v>0</v>
      </c>
      <c r="I10" s="219">
        <f>SUM(BG!H15:H24)-SUM(BG!I15:I24)</f>
        <v>0</v>
      </c>
      <c r="J10" s="219">
        <f>SUM(BG!I15:I24)-SUM(BG!J15:J24)</f>
        <v>0</v>
      </c>
      <c r="K10" s="219">
        <f>SUM(BG!J15:J24)-SUM(BG!K15:K24)</f>
        <v>0</v>
      </c>
      <c r="L10" s="219">
        <f>SUM(BG!K15:K24)-SUM(BG!L15:L24)</f>
        <v>0</v>
      </c>
      <c r="M10" s="219">
        <f>(SUM(BG!L15:L24)-SUM(BG!M15:M24))-SUM(BG!L15:L24)-SUM(BG!M15:M24)</f>
        <v>0</v>
      </c>
    </row>
    <row r="11" spans="2:14" ht="15" thickBot="1" x14ac:dyDescent="0.4">
      <c r="B11" s="366" t="s">
        <v>553</v>
      </c>
      <c r="C11" s="367"/>
      <c r="D11" s="367">
        <f>D5+D6+D7-D9-D10</f>
        <v>49099.62015000009</v>
      </c>
      <c r="E11" s="367">
        <f t="shared" ref="E11:M11" si="1">E5+E6+E7-E9-E10</f>
        <v>46857.106800000183</v>
      </c>
      <c r="F11" s="367">
        <f t="shared" si="1"/>
        <v>45302.9267833333</v>
      </c>
      <c r="G11" s="367">
        <f t="shared" si="1"/>
        <v>43109.580100000021</v>
      </c>
      <c r="H11" s="367">
        <f t="shared" si="1"/>
        <v>42342.066749999882</v>
      </c>
      <c r="I11" s="367">
        <f t="shared" si="1"/>
        <v>37887.053399999975</v>
      </c>
      <c r="J11" s="367">
        <f t="shared" si="1"/>
        <v>35644.540049999836</v>
      </c>
      <c r="K11" s="367">
        <f>K5+K6+K7-K9-K10</f>
        <v>33402.026700000395</v>
      </c>
      <c r="L11" s="367">
        <f>L5+L6+L7-L9-L10</f>
        <v>-55240.48665000021</v>
      </c>
      <c r="M11" s="367">
        <f t="shared" si="1"/>
        <v>-55240.48665000021</v>
      </c>
    </row>
    <row r="15" spans="2:14" x14ac:dyDescent="0.35">
      <c r="D15" s="282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8</vt:i4>
      </vt:variant>
    </vt:vector>
  </HeadingPairs>
  <TitlesOfParts>
    <vt:vector size="30" baseType="lpstr">
      <vt:lpstr>DP</vt:lpstr>
      <vt:lpstr>IV0</vt:lpstr>
      <vt:lpstr>IV2</vt:lpstr>
      <vt:lpstr>VPN</vt:lpstr>
      <vt:lpstr>VPE</vt:lpstr>
      <vt:lpstr>PS</vt:lpstr>
      <vt:lpstr>GC</vt:lpstr>
      <vt:lpstr>GA</vt:lpstr>
      <vt:lpstr>EF</vt:lpstr>
      <vt:lpstr>SD(0)</vt:lpstr>
      <vt:lpstr>SD(2)</vt:lpstr>
      <vt:lpstr>DEP</vt:lpstr>
      <vt:lpstr>CP</vt:lpstr>
      <vt:lpstr>RCP</vt:lpstr>
      <vt:lpstr>PT</vt:lpstr>
      <vt:lpstr>VC</vt:lpstr>
      <vt:lpstr>IGV</vt:lpstr>
      <vt:lpstr>AS</vt:lpstr>
      <vt:lpstr>EERR</vt:lpstr>
      <vt:lpstr>FC</vt:lpstr>
      <vt:lpstr>BG</vt:lpstr>
      <vt:lpstr>FCL</vt:lpstr>
      <vt:lpstr>'SD(0)'!INTERES</vt:lpstr>
      <vt:lpstr>'SD(2)'!INTERES</vt:lpstr>
      <vt:lpstr>'SD(0)'!MONTO</vt:lpstr>
      <vt:lpstr>'SD(2)'!MONTO</vt:lpstr>
      <vt:lpstr>'SD(0)'!TASA</vt:lpstr>
      <vt:lpstr>'SD(2)'!TASA</vt:lpstr>
      <vt:lpstr>'SD(0)'!TIPO</vt:lpstr>
      <vt:lpstr>'SD(2)'!TIPO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10</dc:creator>
  <cp:lastModifiedBy>WINDOWS 10</cp:lastModifiedBy>
  <dcterms:created xsi:type="dcterms:W3CDTF">2025-02-07T21:15:21Z</dcterms:created>
  <dcterms:modified xsi:type="dcterms:W3CDTF">2025-05-12T23:17:00Z</dcterms:modified>
</cp:coreProperties>
</file>